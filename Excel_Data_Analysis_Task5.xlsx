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Veda Technologies\Task5\"/>
    </mc:Choice>
  </mc:AlternateContent>
  <xr:revisionPtr revIDLastSave="0" documentId="8_{C01929C9-595E-4F60-A6C9-FF5CEEF008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Working_Analysis" sheetId="2" r:id="rId2"/>
    <sheet name="Summary" sheetId="3" r:id="rId3"/>
  </sheets>
  <definedNames>
    <definedName name="_xlnm._FilterDatabase" localSheetId="0" hidden="1">Raw_Data!$A$1:$N$1001</definedName>
    <definedName name="_xlnm._FilterDatabase" localSheetId="1" hidden="1">Working_Analysis!$A$1:$Q$1001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2" l="1"/>
  <c r="P1001" i="2" s="1"/>
  <c r="M1001" i="2"/>
  <c r="L1001" i="2"/>
  <c r="Q1001" i="2" s="1"/>
  <c r="K1001" i="2"/>
  <c r="J1001" i="2"/>
  <c r="I1001" i="2"/>
  <c r="H1001" i="2"/>
  <c r="G1001" i="2"/>
  <c r="F1001" i="2"/>
  <c r="E1001" i="2"/>
  <c r="D1001" i="2"/>
  <c r="C1001" i="2"/>
  <c r="B1001" i="2"/>
  <c r="O1001" i="2" s="1"/>
  <c r="A1001" i="2"/>
  <c r="N1000" i="2"/>
  <c r="P1000" i="2" s="1"/>
  <c r="M1000" i="2"/>
  <c r="L1000" i="2"/>
  <c r="Q1000" i="2" s="1"/>
  <c r="K1000" i="2"/>
  <c r="J1000" i="2"/>
  <c r="I1000" i="2"/>
  <c r="H1000" i="2"/>
  <c r="G1000" i="2"/>
  <c r="F1000" i="2"/>
  <c r="E1000" i="2"/>
  <c r="D1000" i="2"/>
  <c r="C1000" i="2"/>
  <c r="B1000" i="2"/>
  <c r="O1000" i="2" s="1"/>
  <c r="A1000" i="2"/>
  <c r="N999" i="2"/>
  <c r="P999" i="2" s="1"/>
  <c r="M999" i="2"/>
  <c r="L999" i="2"/>
  <c r="Q999" i="2" s="1"/>
  <c r="K999" i="2"/>
  <c r="J999" i="2"/>
  <c r="I999" i="2"/>
  <c r="H999" i="2"/>
  <c r="G999" i="2"/>
  <c r="F999" i="2"/>
  <c r="E999" i="2"/>
  <c r="D999" i="2"/>
  <c r="C999" i="2"/>
  <c r="B999" i="2"/>
  <c r="O999" i="2" s="1"/>
  <c r="A999" i="2"/>
  <c r="Q998" i="2"/>
  <c r="O998" i="2"/>
  <c r="N998" i="2"/>
  <c r="P998" i="2" s="1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Q997" i="2"/>
  <c r="P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O997" i="2" s="1"/>
  <c r="A997" i="2"/>
  <c r="Q996" i="2"/>
  <c r="N996" i="2"/>
  <c r="P996" i="2" s="1"/>
  <c r="M996" i="2"/>
  <c r="L996" i="2"/>
  <c r="K996" i="2"/>
  <c r="J996" i="2"/>
  <c r="I996" i="2"/>
  <c r="H996" i="2"/>
  <c r="G996" i="2"/>
  <c r="F996" i="2"/>
  <c r="E996" i="2"/>
  <c r="D996" i="2"/>
  <c r="C996" i="2"/>
  <c r="B996" i="2"/>
  <c r="O996" i="2" s="1"/>
  <c r="A996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O995" i="2" s="1"/>
  <c r="A995" i="2"/>
  <c r="O994" i="2"/>
  <c r="N994" i="2"/>
  <c r="M994" i="2"/>
  <c r="L994" i="2"/>
  <c r="Q994" i="2" s="1"/>
  <c r="K994" i="2"/>
  <c r="J994" i="2"/>
  <c r="I994" i="2"/>
  <c r="H994" i="2"/>
  <c r="G994" i="2"/>
  <c r="F994" i="2"/>
  <c r="E994" i="2"/>
  <c r="D994" i="2"/>
  <c r="C994" i="2"/>
  <c r="B994" i="2"/>
  <c r="A994" i="2"/>
  <c r="N993" i="2"/>
  <c r="M993" i="2"/>
  <c r="L993" i="2"/>
  <c r="Q993" i="2" s="1"/>
  <c r="K993" i="2"/>
  <c r="J993" i="2"/>
  <c r="I993" i="2"/>
  <c r="H993" i="2"/>
  <c r="G993" i="2"/>
  <c r="F993" i="2"/>
  <c r="E993" i="2"/>
  <c r="D993" i="2"/>
  <c r="C993" i="2"/>
  <c r="B993" i="2"/>
  <c r="O993" i="2" s="1"/>
  <c r="A993" i="2"/>
  <c r="N992" i="2"/>
  <c r="M992" i="2"/>
  <c r="L992" i="2"/>
  <c r="Q992" i="2" s="1"/>
  <c r="K992" i="2"/>
  <c r="J992" i="2"/>
  <c r="I992" i="2"/>
  <c r="H992" i="2"/>
  <c r="G992" i="2"/>
  <c r="F992" i="2"/>
  <c r="E992" i="2"/>
  <c r="D992" i="2"/>
  <c r="C992" i="2"/>
  <c r="B992" i="2"/>
  <c r="O992" i="2" s="1"/>
  <c r="A992" i="2"/>
  <c r="N991" i="2"/>
  <c r="M991" i="2"/>
  <c r="L991" i="2"/>
  <c r="Q991" i="2" s="1"/>
  <c r="K991" i="2"/>
  <c r="J991" i="2"/>
  <c r="I991" i="2"/>
  <c r="H991" i="2"/>
  <c r="G991" i="2"/>
  <c r="F991" i="2"/>
  <c r="E991" i="2"/>
  <c r="D991" i="2"/>
  <c r="C991" i="2"/>
  <c r="B991" i="2"/>
  <c r="O991" i="2" s="1"/>
  <c r="A991" i="2"/>
  <c r="N990" i="2"/>
  <c r="P990" i="2" s="1"/>
  <c r="M990" i="2"/>
  <c r="L990" i="2"/>
  <c r="Q990" i="2" s="1"/>
  <c r="K990" i="2"/>
  <c r="J990" i="2"/>
  <c r="I990" i="2"/>
  <c r="H990" i="2"/>
  <c r="G990" i="2"/>
  <c r="F990" i="2"/>
  <c r="E990" i="2"/>
  <c r="D990" i="2"/>
  <c r="C990" i="2"/>
  <c r="B990" i="2"/>
  <c r="O990" i="2" s="1"/>
  <c r="A990" i="2"/>
  <c r="N989" i="2"/>
  <c r="M989" i="2"/>
  <c r="L989" i="2"/>
  <c r="P989" i="2" s="1"/>
  <c r="K989" i="2"/>
  <c r="J989" i="2"/>
  <c r="I989" i="2"/>
  <c r="H989" i="2"/>
  <c r="G989" i="2"/>
  <c r="F989" i="2"/>
  <c r="E989" i="2"/>
  <c r="D989" i="2"/>
  <c r="C989" i="2"/>
  <c r="B989" i="2"/>
  <c r="O989" i="2" s="1"/>
  <c r="A989" i="2"/>
  <c r="N988" i="2"/>
  <c r="M988" i="2"/>
  <c r="L988" i="2"/>
  <c r="Q988" i="2" s="1"/>
  <c r="K988" i="2"/>
  <c r="J988" i="2"/>
  <c r="I988" i="2"/>
  <c r="H988" i="2"/>
  <c r="G988" i="2"/>
  <c r="F988" i="2"/>
  <c r="E988" i="2"/>
  <c r="D988" i="2"/>
  <c r="C988" i="2"/>
  <c r="B988" i="2"/>
  <c r="O988" i="2" s="1"/>
  <c r="A988" i="2"/>
  <c r="N987" i="2"/>
  <c r="M987" i="2"/>
  <c r="L987" i="2"/>
  <c r="Q987" i="2" s="1"/>
  <c r="K987" i="2"/>
  <c r="J987" i="2"/>
  <c r="I987" i="2"/>
  <c r="H987" i="2"/>
  <c r="G987" i="2"/>
  <c r="F987" i="2"/>
  <c r="E987" i="2"/>
  <c r="D987" i="2"/>
  <c r="C987" i="2"/>
  <c r="B987" i="2"/>
  <c r="O987" i="2" s="1"/>
  <c r="A987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N985" i="2"/>
  <c r="P985" i="2" s="1"/>
  <c r="M985" i="2"/>
  <c r="L985" i="2"/>
  <c r="Q985" i="2" s="1"/>
  <c r="K985" i="2"/>
  <c r="J985" i="2"/>
  <c r="I985" i="2"/>
  <c r="H985" i="2"/>
  <c r="G985" i="2"/>
  <c r="F985" i="2"/>
  <c r="E985" i="2"/>
  <c r="D985" i="2"/>
  <c r="C985" i="2"/>
  <c r="B985" i="2"/>
  <c r="O985" i="2" s="1"/>
  <c r="A985" i="2"/>
  <c r="O984" i="2"/>
  <c r="N984" i="2"/>
  <c r="P984" i="2" s="1"/>
  <c r="M984" i="2"/>
  <c r="L984" i="2"/>
  <c r="Q984" i="2" s="1"/>
  <c r="K984" i="2"/>
  <c r="J984" i="2"/>
  <c r="I984" i="2"/>
  <c r="H984" i="2"/>
  <c r="G984" i="2"/>
  <c r="F984" i="2"/>
  <c r="E984" i="2"/>
  <c r="D984" i="2"/>
  <c r="C984" i="2"/>
  <c r="B984" i="2"/>
  <c r="A984" i="2"/>
  <c r="O983" i="2"/>
  <c r="N983" i="2"/>
  <c r="P983" i="2" s="1"/>
  <c r="M983" i="2"/>
  <c r="L983" i="2"/>
  <c r="Q983" i="2" s="1"/>
  <c r="K983" i="2"/>
  <c r="J983" i="2"/>
  <c r="I983" i="2"/>
  <c r="H983" i="2"/>
  <c r="G983" i="2"/>
  <c r="F983" i="2"/>
  <c r="E983" i="2"/>
  <c r="D983" i="2"/>
  <c r="C983" i="2"/>
  <c r="B983" i="2"/>
  <c r="A983" i="2"/>
  <c r="O982" i="2"/>
  <c r="N982" i="2"/>
  <c r="P982" i="2" s="1"/>
  <c r="M982" i="2"/>
  <c r="L982" i="2"/>
  <c r="Q982" i="2" s="1"/>
  <c r="K982" i="2"/>
  <c r="J982" i="2"/>
  <c r="I982" i="2"/>
  <c r="H982" i="2"/>
  <c r="G982" i="2"/>
  <c r="F982" i="2"/>
  <c r="E982" i="2"/>
  <c r="D982" i="2"/>
  <c r="C982" i="2"/>
  <c r="B982" i="2"/>
  <c r="A982" i="2"/>
  <c r="Q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O981" i="2" s="1"/>
  <c r="A981" i="2"/>
  <c r="N980" i="2"/>
  <c r="M980" i="2"/>
  <c r="L980" i="2"/>
  <c r="Q980" i="2" s="1"/>
  <c r="K980" i="2"/>
  <c r="J980" i="2"/>
  <c r="I980" i="2"/>
  <c r="H980" i="2"/>
  <c r="G980" i="2"/>
  <c r="F980" i="2"/>
  <c r="E980" i="2"/>
  <c r="D980" i="2"/>
  <c r="C980" i="2"/>
  <c r="B980" i="2"/>
  <c r="O980" i="2" s="1"/>
  <c r="A980" i="2"/>
  <c r="N979" i="2"/>
  <c r="M979" i="2"/>
  <c r="L979" i="2"/>
  <c r="Q979" i="2" s="1"/>
  <c r="K979" i="2"/>
  <c r="J979" i="2"/>
  <c r="I979" i="2"/>
  <c r="H979" i="2"/>
  <c r="G979" i="2"/>
  <c r="F979" i="2"/>
  <c r="E979" i="2"/>
  <c r="D979" i="2"/>
  <c r="C979" i="2"/>
  <c r="B979" i="2"/>
  <c r="O979" i="2" s="1"/>
  <c r="A979" i="2"/>
  <c r="O978" i="2"/>
  <c r="N978" i="2"/>
  <c r="M978" i="2"/>
  <c r="L978" i="2"/>
  <c r="Q978" i="2" s="1"/>
  <c r="K978" i="2"/>
  <c r="J978" i="2"/>
  <c r="I978" i="2"/>
  <c r="H978" i="2"/>
  <c r="G978" i="2"/>
  <c r="F978" i="2"/>
  <c r="E978" i="2"/>
  <c r="D978" i="2"/>
  <c r="C978" i="2"/>
  <c r="B978" i="2"/>
  <c r="A978" i="2"/>
  <c r="N977" i="2"/>
  <c r="P977" i="2" s="1"/>
  <c r="M977" i="2"/>
  <c r="L977" i="2"/>
  <c r="Q977" i="2" s="1"/>
  <c r="K977" i="2"/>
  <c r="J977" i="2"/>
  <c r="I977" i="2"/>
  <c r="H977" i="2"/>
  <c r="G977" i="2"/>
  <c r="F977" i="2"/>
  <c r="E977" i="2"/>
  <c r="D977" i="2"/>
  <c r="C977" i="2"/>
  <c r="B977" i="2"/>
  <c r="O977" i="2" s="1"/>
  <c r="A977" i="2"/>
  <c r="Q976" i="2"/>
  <c r="O976" i="2"/>
  <c r="N976" i="2"/>
  <c r="P976" i="2" s="1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O975" i="2"/>
  <c r="N975" i="2"/>
  <c r="M975" i="2"/>
  <c r="L975" i="2"/>
  <c r="Q975" i="2" s="1"/>
  <c r="K975" i="2"/>
  <c r="J975" i="2"/>
  <c r="I975" i="2"/>
  <c r="H975" i="2"/>
  <c r="G975" i="2"/>
  <c r="F975" i="2"/>
  <c r="E975" i="2"/>
  <c r="D975" i="2"/>
  <c r="C975" i="2"/>
  <c r="B975" i="2"/>
  <c r="A975" i="2"/>
  <c r="N974" i="2"/>
  <c r="P974" i="2" s="1"/>
  <c r="M974" i="2"/>
  <c r="L974" i="2"/>
  <c r="Q974" i="2" s="1"/>
  <c r="K974" i="2"/>
  <c r="J974" i="2"/>
  <c r="I974" i="2"/>
  <c r="H974" i="2"/>
  <c r="G974" i="2"/>
  <c r="F974" i="2"/>
  <c r="E974" i="2"/>
  <c r="D974" i="2"/>
  <c r="C974" i="2"/>
  <c r="B974" i="2"/>
  <c r="O974" i="2" s="1"/>
  <c r="A974" i="2"/>
  <c r="Q973" i="2"/>
  <c r="N973" i="2"/>
  <c r="M973" i="2"/>
  <c r="L973" i="2"/>
  <c r="P973" i="2" s="1"/>
  <c r="K973" i="2"/>
  <c r="J973" i="2"/>
  <c r="I973" i="2"/>
  <c r="H973" i="2"/>
  <c r="G973" i="2"/>
  <c r="F973" i="2"/>
  <c r="E973" i="2"/>
  <c r="D973" i="2"/>
  <c r="C973" i="2"/>
  <c r="B973" i="2"/>
  <c r="O973" i="2" s="1"/>
  <c r="A973" i="2"/>
  <c r="N972" i="2"/>
  <c r="M972" i="2"/>
  <c r="L972" i="2"/>
  <c r="Q972" i="2" s="1"/>
  <c r="K972" i="2"/>
  <c r="J972" i="2"/>
  <c r="I972" i="2"/>
  <c r="H972" i="2"/>
  <c r="G972" i="2"/>
  <c r="F972" i="2"/>
  <c r="E972" i="2"/>
  <c r="D972" i="2"/>
  <c r="C972" i="2"/>
  <c r="B972" i="2"/>
  <c r="O972" i="2" s="1"/>
  <c r="A972" i="2"/>
  <c r="N971" i="2"/>
  <c r="M971" i="2"/>
  <c r="L971" i="2"/>
  <c r="Q971" i="2" s="1"/>
  <c r="K971" i="2"/>
  <c r="J971" i="2"/>
  <c r="I971" i="2"/>
  <c r="H971" i="2"/>
  <c r="G971" i="2"/>
  <c r="F971" i="2"/>
  <c r="E971" i="2"/>
  <c r="D971" i="2"/>
  <c r="C971" i="2"/>
  <c r="B971" i="2"/>
  <c r="O971" i="2" s="1"/>
  <c r="A971" i="2"/>
  <c r="O970" i="2"/>
  <c r="N970" i="2"/>
  <c r="M970" i="2"/>
  <c r="L970" i="2"/>
  <c r="Q970" i="2" s="1"/>
  <c r="K970" i="2"/>
  <c r="J970" i="2"/>
  <c r="I970" i="2"/>
  <c r="H970" i="2"/>
  <c r="G970" i="2"/>
  <c r="F970" i="2"/>
  <c r="E970" i="2"/>
  <c r="D970" i="2"/>
  <c r="C970" i="2"/>
  <c r="B970" i="2"/>
  <c r="A970" i="2"/>
  <c r="N969" i="2"/>
  <c r="P969" i="2" s="1"/>
  <c r="M969" i="2"/>
  <c r="L969" i="2"/>
  <c r="Q969" i="2" s="1"/>
  <c r="K969" i="2"/>
  <c r="J969" i="2"/>
  <c r="I969" i="2"/>
  <c r="H969" i="2"/>
  <c r="G969" i="2"/>
  <c r="F969" i="2"/>
  <c r="E969" i="2"/>
  <c r="D969" i="2"/>
  <c r="C969" i="2"/>
  <c r="B969" i="2"/>
  <c r="O969" i="2" s="1"/>
  <c r="A969" i="2"/>
  <c r="Q968" i="2"/>
  <c r="O968" i="2"/>
  <c r="N968" i="2"/>
  <c r="P968" i="2" s="1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O967" i="2"/>
  <c r="N967" i="2"/>
  <c r="P967" i="2" s="1"/>
  <c r="M967" i="2"/>
  <c r="L967" i="2"/>
  <c r="Q967" i="2" s="1"/>
  <c r="K967" i="2"/>
  <c r="J967" i="2"/>
  <c r="I967" i="2"/>
  <c r="H967" i="2"/>
  <c r="G967" i="2"/>
  <c r="F967" i="2"/>
  <c r="E967" i="2"/>
  <c r="D967" i="2"/>
  <c r="C967" i="2"/>
  <c r="B967" i="2"/>
  <c r="A967" i="2"/>
  <c r="P966" i="2"/>
  <c r="N966" i="2"/>
  <c r="M966" i="2"/>
  <c r="L966" i="2"/>
  <c r="Q966" i="2" s="1"/>
  <c r="K966" i="2"/>
  <c r="J966" i="2"/>
  <c r="I966" i="2"/>
  <c r="H966" i="2"/>
  <c r="G966" i="2"/>
  <c r="F966" i="2"/>
  <c r="E966" i="2"/>
  <c r="D966" i="2"/>
  <c r="C966" i="2"/>
  <c r="B966" i="2"/>
  <c r="O966" i="2" s="1"/>
  <c r="A966" i="2"/>
  <c r="Q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O965" i="2" s="1"/>
  <c r="A965" i="2"/>
  <c r="N964" i="2"/>
  <c r="P964" i="2" s="1"/>
  <c r="M964" i="2"/>
  <c r="L964" i="2"/>
  <c r="Q964" i="2" s="1"/>
  <c r="K964" i="2"/>
  <c r="J964" i="2"/>
  <c r="I964" i="2"/>
  <c r="H964" i="2"/>
  <c r="G964" i="2"/>
  <c r="F964" i="2"/>
  <c r="E964" i="2"/>
  <c r="D964" i="2"/>
  <c r="C964" i="2"/>
  <c r="B964" i="2"/>
  <c r="O964" i="2" s="1"/>
  <c r="A964" i="2"/>
  <c r="N963" i="2"/>
  <c r="M963" i="2"/>
  <c r="L963" i="2"/>
  <c r="Q963" i="2" s="1"/>
  <c r="K963" i="2"/>
  <c r="J963" i="2"/>
  <c r="I963" i="2"/>
  <c r="H963" i="2"/>
  <c r="G963" i="2"/>
  <c r="F963" i="2"/>
  <c r="E963" i="2"/>
  <c r="D963" i="2"/>
  <c r="C963" i="2"/>
  <c r="B963" i="2"/>
  <c r="O963" i="2" s="1"/>
  <c r="A963" i="2"/>
  <c r="O962" i="2"/>
  <c r="N962" i="2"/>
  <c r="P962" i="2" s="1"/>
  <c r="M962" i="2"/>
  <c r="L962" i="2"/>
  <c r="Q962" i="2" s="1"/>
  <c r="K962" i="2"/>
  <c r="J962" i="2"/>
  <c r="I962" i="2"/>
  <c r="H962" i="2"/>
  <c r="G962" i="2"/>
  <c r="F962" i="2"/>
  <c r="E962" i="2"/>
  <c r="D962" i="2"/>
  <c r="C962" i="2"/>
  <c r="B962" i="2"/>
  <c r="A962" i="2"/>
  <c r="N961" i="2"/>
  <c r="M961" i="2"/>
  <c r="L961" i="2"/>
  <c r="Q961" i="2" s="1"/>
  <c r="K961" i="2"/>
  <c r="J961" i="2"/>
  <c r="I961" i="2"/>
  <c r="H961" i="2"/>
  <c r="G961" i="2"/>
  <c r="F961" i="2"/>
  <c r="E961" i="2"/>
  <c r="D961" i="2"/>
  <c r="C961" i="2"/>
  <c r="B961" i="2"/>
  <c r="O961" i="2" s="1"/>
  <c r="A961" i="2"/>
  <c r="Q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P959" i="2"/>
  <c r="O959" i="2"/>
  <c r="N959" i="2"/>
  <c r="M959" i="2"/>
  <c r="L959" i="2"/>
  <c r="Q959" i="2" s="1"/>
  <c r="K959" i="2"/>
  <c r="J959" i="2"/>
  <c r="I959" i="2"/>
  <c r="H959" i="2"/>
  <c r="G959" i="2"/>
  <c r="F959" i="2"/>
  <c r="E959" i="2"/>
  <c r="D959" i="2"/>
  <c r="C959" i="2"/>
  <c r="B959" i="2"/>
  <c r="A959" i="2"/>
  <c r="N958" i="2"/>
  <c r="M958" i="2"/>
  <c r="L958" i="2"/>
  <c r="Q958" i="2" s="1"/>
  <c r="K958" i="2"/>
  <c r="J958" i="2"/>
  <c r="I958" i="2"/>
  <c r="H958" i="2"/>
  <c r="G958" i="2"/>
  <c r="F958" i="2"/>
  <c r="E958" i="2"/>
  <c r="D958" i="2"/>
  <c r="C958" i="2"/>
  <c r="B958" i="2"/>
  <c r="O958" i="2" s="1"/>
  <c r="A958" i="2"/>
  <c r="Q957" i="2"/>
  <c r="N957" i="2"/>
  <c r="M957" i="2"/>
  <c r="L957" i="2"/>
  <c r="P957" i="2" s="1"/>
  <c r="K957" i="2"/>
  <c r="J957" i="2"/>
  <c r="I957" i="2"/>
  <c r="H957" i="2"/>
  <c r="G957" i="2"/>
  <c r="F957" i="2"/>
  <c r="E957" i="2"/>
  <c r="D957" i="2"/>
  <c r="C957" i="2"/>
  <c r="B957" i="2"/>
  <c r="O957" i="2" s="1"/>
  <c r="A957" i="2"/>
  <c r="Q956" i="2"/>
  <c r="P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O956" i="2" s="1"/>
  <c r="A956" i="2"/>
  <c r="N955" i="2"/>
  <c r="M955" i="2"/>
  <c r="L955" i="2"/>
  <c r="Q955" i="2" s="1"/>
  <c r="K955" i="2"/>
  <c r="J955" i="2"/>
  <c r="I955" i="2"/>
  <c r="H955" i="2"/>
  <c r="G955" i="2"/>
  <c r="F955" i="2"/>
  <c r="E955" i="2"/>
  <c r="D955" i="2"/>
  <c r="C955" i="2"/>
  <c r="B955" i="2"/>
  <c r="O955" i="2" s="1"/>
  <c r="A955" i="2"/>
  <c r="N954" i="2"/>
  <c r="P954" i="2" s="1"/>
  <c r="M954" i="2"/>
  <c r="L954" i="2"/>
  <c r="Q954" i="2" s="1"/>
  <c r="K954" i="2"/>
  <c r="J954" i="2"/>
  <c r="I954" i="2"/>
  <c r="H954" i="2"/>
  <c r="G954" i="2"/>
  <c r="F954" i="2"/>
  <c r="E954" i="2"/>
  <c r="D954" i="2"/>
  <c r="C954" i="2"/>
  <c r="B954" i="2"/>
  <c r="O954" i="2" s="1"/>
  <c r="A954" i="2"/>
  <c r="N953" i="2"/>
  <c r="M953" i="2"/>
  <c r="L953" i="2"/>
  <c r="Q953" i="2" s="1"/>
  <c r="K953" i="2"/>
  <c r="J953" i="2"/>
  <c r="I953" i="2"/>
  <c r="H953" i="2"/>
  <c r="G953" i="2"/>
  <c r="F953" i="2"/>
  <c r="E953" i="2"/>
  <c r="D953" i="2"/>
  <c r="C953" i="2"/>
  <c r="B953" i="2"/>
  <c r="O953" i="2" s="1"/>
  <c r="A953" i="2"/>
  <c r="N952" i="2"/>
  <c r="M952" i="2"/>
  <c r="L952" i="2"/>
  <c r="Q952" i="2" s="1"/>
  <c r="K952" i="2"/>
  <c r="J952" i="2"/>
  <c r="I952" i="2"/>
  <c r="H952" i="2"/>
  <c r="G952" i="2"/>
  <c r="F952" i="2"/>
  <c r="E952" i="2"/>
  <c r="D952" i="2"/>
  <c r="C952" i="2"/>
  <c r="B952" i="2"/>
  <c r="O952" i="2" s="1"/>
  <c r="A952" i="2"/>
  <c r="N951" i="2"/>
  <c r="P951" i="2" s="1"/>
  <c r="M951" i="2"/>
  <c r="L951" i="2"/>
  <c r="Q951" i="2" s="1"/>
  <c r="K951" i="2"/>
  <c r="J951" i="2"/>
  <c r="I951" i="2"/>
  <c r="H951" i="2"/>
  <c r="G951" i="2"/>
  <c r="F951" i="2"/>
  <c r="E951" i="2"/>
  <c r="D951" i="2"/>
  <c r="C951" i="2"/>
  <c r="B951" i="2"/>
  <c r="O951" i="2" s="1"/>
  <c r="A951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N949" i="2"/>
  <c r="M949" i="2"/>
  <c r="L949" i="2"/>
  <c r="P949" i="2" s="1"/>
  <c r="K949" i="2"/>
  <c r="J949" i="2"/>
  <c r="I949" i="2"/>
  <c r="H949" i="2"/>
  <c r="G949" i="2"/>
  <c r="F949" i="2"/>
  <c r="E949" i="2"/>
  <c r="D949" i="2"/>
  <c r="C949" i="2"/>
  <c r="B949" i="2"/>
  <c r="O949" i="2" s="1"/>
  <c r="A949" i="2"/>
  <c r="N948" i="2"/>
  <c r="P948" i="2" s="1"/>
  <c r="M948" i="2"/>
  <c r="L948" i="2"/>
  <c r="Q948" i="2" s="1"/>
  <c r="K948" i="2"/>
  <c r="J948" i="2"/>
  <c r="I948" i="2"/>
  <c r="H948" i="2"/>
  <c r="G948" i="2"/>
  <c r="F948" i="2"/>
  <c r="E948" i="2"/>
  <c r="D948" i="2"/>
  <c r="C948" i="2"/>
  <c r="B948" i="2"/>
  <c r="O948" i="2" s="1"/>
  <c r="A948" i="2"/>
  <c r="N947" i="2"/>
  <c r="M947" i="2"/>
  <c r="L947" i="2"/>
  <c r="Q947" i="2" s="1"/>
  <c r="K947" i="2"/>
  <c r="J947" i="2"/>
  <c r="I947" i="2"/>
  <c r="H947" i="2"/>
  <c r="G947" i="2"/>
  <c r="F947" i="2"/>
  <c r="E947" i="2"/>
  <c r="D947" i="2"/>
  <c r="C947" i="2"/>
  <c r="B947" i="2"/>
  <c r="O947" i="2" s="1"/>
  <c r="A947" i="2"/>
  <c r="O946" i="2"/>
  <c r="N946" i="2"/>
  <c r="M946" i="2"/>
  <c r="L946" i="2"/>
  <c r="Q946" i="2" s="1"/>
  <c r="K946" i="2"/>
  <c r="J946" i="2"/>
  <c r="I946" i="2"/>
  <c r="H946" i="2"/>
  <c r="G946" i="2"/>
  <c r="F946" i="2"/>
  <c r="E946" i="2"/>
  <c r="D946" i="2"/>
  <c r="C946" i="2"/>
  <c r="B946" i="2"/>
  <c r="A946" i="2"/>
  <c r="N945" i="2"/>
  <c r="P945" i="2" s="1"/>
  <c r="M945" i="2"/>
  <c r="L945" i="2"/>
  <c r="Q945" i="2" s="1"/>
  <c r="K945" i="2"/>
  <c r="J945" i="2"/>
  <c r="I945" i="2"/>
  <c r="H945" i="2"/>
  <c r="G945" i="2"/>
  <c r="F945" i="2"/>
  <c r="E945" i="2"/>
  <c r="D945" i="2"/>
  <c r="C945" i="2"/>
  <c r="B945" i="2"/>
  <c r="O945" i="2" s="1"/>
  <c r="A945" i="2"/>
  <c r="O944" i="2"/>
  <c r="N944" i="2"/>
  <c r="P944" i="2" s="1"/>
  <c r="M944" i="2"/>
  <c r="L944" i="2"/>
  <c r="Q944" i="2" s="1"/>
  <c r="K944" i="2"/>
  <c r="J944" i="2"/>
  <c r="I944" i="2"/>
  <c r="H944" i="2"/>
  <c r="G944" i="2"/>
  <c r="F944" i="2"/>
  <c r="E944" i="2"/>
  <c r="D944" i="2"/>
  <c r="C944" i="2"/>
  <c r="B944" i="2"/>
  <c r="A944" i="2"/>
  <c r="O943" i="2"/>
  <c r="N943" i="2"/>
  <c r="P943" i="2" s="1"/>
  <c r="M943" i="2"/>
  <c r="L943" i="2"/>
  <c r="Q943" i="2" s="1"/>
  <c r="K943" i="2"/>
  <c r="J943" i="2"/>
  <c r="I943" i="2"/>
  <c r="H943" i="2"/>
  <c r="G943" i="2"/>
  <c r="F943" i="2"/>
  <c r="E943" i="2"/>
  <c r="D943" i="2"/>
  <c r="C943" i="2"/>
  <c r="B943" i="2"/>
  <c r="A943" i="2"/>
  <c r="P942" i="2"/>
  <c r="N942" i="2"/>
  <c r="M942" i="2"/>
  <c r="L942" i="2"/>
  <c r="Q942" i="2" s="1"/>
  <c r="K942" i="2"/>
  <c r="J942" i="2"/>
  <c r="I942" i="2"/>
  <c r="H942" i="2"/>
  <c r="G942" i="2"/>
  <c r="F942" i="2"/>
  <c r="E942" i="2"/>
  <c r="D942" i="2"/>
  <c r="C942" i="2"/>
  <c r="B942" i="2"/>
  <c r="O942" i="2" s="1"/>
  <c r="A942" i="2"/>
  <c r="Q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O941" i="2" s="1"/>
  <c r="A941" i="2"/>
  <c r="P940" i="2"/>
  <c r="N940" i="2"/>
  <c r="M940" i="2"/>
  <c r="L940" i="2"/>
  <c r="Q940" i="2" s="1"/>
  <c r="K940" i="2"/>
  <c r="J940" i="2"/>
  <c r="I940" i="2"/>
  <c r="H940" i="2"/>
  <c r="G940" i="2"/>
  <c r="F940" i="2"/>
  <c r="E940" i="2"/>
  <c r="D940" i="2"/>
  <c r="C940" i="2"/>
  <c r="B940" i="2"/>
  <c r="O940" i="2" s="1"/>
  <c r="A940" i="2"/>
  <c r="N939" i="2"/>
  <c r="M939" i="2"/>
  <c r="L939" i="2"/>
  <c r="Q939" i="2" s="1"/>
  <c r="K939" i="2"/>
  <c r="J939" i="2"/>
  <c r="I939" i="2"/>
  <c r="H939" i="2"/>
  <c r="G939" i="2"/>
  <c r="F939" i="2"/>
  <c r="E939" i="2"/>
  <c r="D939" i="2"/>
  <c r="C939" i="2"/>
  <c r="B939" i="2"/>
  <c r="O939" i="2" s="1"/>
  <c r="A939" i="2"/>
  <c r="N938" i="2"/>
  <c r="M938" i="2"/>
  <c r="L938" i="2"/>
  <c r="Q938" i="2" s="1"/>
  <c r="K938" i="2"/>
  <c r="J938" i="2"/>
  <c r="I938" i="2"/>
  <c r="H938" i="2"/>
  <c r="G938" i="2"/>
  <c r="F938" i="2"/>
  <c r="E938" i="2"/>
  <c r="D938" i="2"/>
  <c r="C938" i="2"/>
  <c r="B938" i="2"/>
  <c r="O938" i="2" s="1"/>
  <c r="A938" i="2"/>
  <c r="N937" i="2"/>
  <c r="M937" i="2"/>
  <c r="L937" i="2"/>
  <c r="Q937" i="2" s="1"/>
  <c r="K937" i="2"/>
  <c r="J937" i="2"/>
  <c r="I937" i="2"/>
  <c r="H937" i="2"/>
  <c r="G937" i="2"/>
  <c r="F937" i="2"/>
  <c r="E937" i="2"/>
  <c r="D937" i="2"/>
  <c r="C937" i="2"/>
  <c r="B937" i="2"/>
  <c r="O937" i="2" s="1"/>
  <c r="A937" i="2"/>
  <c r="Q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O936" i="2" s="1"/>
  <c r="A936" i="2"/>
  <c r="P935" i="2"/>
  <c r="N935" i="2"/>
  <c r="M935" i="2"/>
  <c r="L935" i="2"/>
  <c r="Q935" i="2" s="1"/>
  <c r="K935" i="2"/>
  <c r="J935" i="2"/>
  <c r="I935" i="2"/>
  <c r="H935" i="2"/>
  <c r="G935" i="2"/>
  <c r="F935" i="2"/>
  <c r="E935" i="2"/>
  <c r="D935" i="2"/>
  <c r="C935" i="2"/>
  <c r="B935" i="2"/>
  <c r="O935" i="2" s="1"/>
  <c r="A935" i="2"/>
  <c r="Q934" i="2"/>
  <c r="O934" i="2"/>
  <c r="N934" i="2"/>
  <c r="P934" i="2" s="1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N933" i="2"/>
  <c r="M933" i="2"/>
  <c r="L933" i="2"/>
  <c r="P933" i="2" s="1"/>
  <c r="K933" i="2"/>
  <c r="J933" i="2"/>
  <c r="I933" i="2"/>
  <c r="H933" i="2"/>
  <c r="G933" i="2"/>
  <c r="F933" i="2"/>
  <c r="E933" i="2"/>
  <c r="D933" i="2"/>
  <c r="C933" i="2"/>
  <c r="B933" i="2"/>
  <c r="O933" i="2" s="1"/>
  <c r="A933" i="2"/>
  <c r="Q932" i="2"/>
  <c r="N932" i="2"/>
  <c r="P932" i="2" s="1"/>
  <c r="M932" i="2"/>
  <c r="L932" i="2"/>
  <c r="K932" i="2"/>
  <c r="J932" i="2"/>
  <c r="I932" i="2"/>
  <c r="H932" i="2"/>
  <c r="G932" i="2"/>
  <c r="F932" i="2"/>
  <c r="E932" i="2"/>
  <c r="D932" i="2"/>
  <c r="C932" i="2"/>
  <c r="B932" i="2"/>
  <c r="O932" i="2" s="1"/>
  <c r="A932" i="2"/>
  <c r="N931" i="2"/>
  <c r="P931" i="2" s="1"/>
  <c r="M931" i="2"/>
  <c r="L931" i="2"/>
  <c r="Q931" i="2" s="1"/>
  <c r="K931" i="2"/>
  <c r="J931" i="2"/>
  <c r="I931" i="2"/>
  <c r="H931" i="2"/>
  <c r="G931" i="2"/>
  <c r="F931" i="2"/>
  <c r="E931" i="2"/>
  <c r="D931" i="2"/>
  <c r="C931" i="2"/>
  <c r="B931" i="2"/>
  <c r="O931" i="2" s="1"/>
  <c r="A931" i="2"/>
  <c r="O930" i="2"/>
  <c r="N930" i="2"/>
  <c r="M930" i="2"/>
  <c r="L930" i="2"/>
  <c r="Q930" i="2" s="1"/>
  <c r="K930" i="2"/>
  <c r="J930" i="2"/>
  <c r="I930" i="2"/>
  <c r="H930" i="2"/>
  <c r="G930" i="2"/>
  <c r="F930" i="2"/>
  <c r="E930" i="2"/>
  <c r="D930" i="2"/>
  <c r="C930" i="2"/>
  <c r="B930" i="2"/>
  <c r="A930" i="2"/>
  <c r="N929" i="2"/>
  <c r="M929" i="2"/>
  <c r="L929" i="2"/>
  <c r="Q929" i="2" s="1"/>
  <c r="K929" i="2"/>
  <c r="J929" i="2"/>
  <c r="I929" i="2"/>
  <c r="H929" i="2"/>
  <c r="G929" i="2"/>
  <c r="F929" i="2"/>
  <c r="E929" i="2"/>
  <c r="D929" i="2"/>
  <c r="C929" i="2"/>
  <c r="B929" i="2"/>
  <c r="O929" i="2" s="1"/>
  <c r="A929" i="2"/>
  <c r="Q928" i="2"/>
  <c r="O928" i="2"/>
  <c r="N928" i="2"/>
  <c r="P928" i="2" s="1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P927" i="2"/>
  <c r="O927" i="2"/>
  <c r="N927" i="2"/>
  <c r="M927" i="2"/>
  <c r="L927" i="2"/>
  <c r="Q927" i="2" s="1"/>
  <c r="K927" i="2"/>
  <c r="J927" i="2"/>
  <c r="I927" i="2"/>
  <c r="H927" i="2"/>
  <c r="G927" i="2"/>
  <c r="F927" i="2"/>
  <c r="E927" i="2"/>
  <c r="D927" i="2"/>
  <c r="C927" i="2"/>
  <c r="B927" i="2"/>
  <c r="A927" i="2"/>
  <c r="N926" i="2"/>
  <c r="P926" i="2" s="1"/>
  <c r="M926" i="2"/>
  <c r="L926" i="2"/>
  <c r="Q926" i="2" s="1"/>
  <c r="K926" i="2"/>
  <c r="J926" i="2"/>
  <c r="I926" i="2"/>
  <c r="H926" i="2"/>
  <c r="G926" i="2"/>
  <c r="F926" i="2"/>
  <c r="E926" i="2"/>
  <c r="D926" i="2"/>
  <c r="C926" i="2"/>
  <c r="B926" i="2"/>
  <c r="O926" i="2" s="1"/>
  <c r="A926" i="2"/>
  <c r="Q925" i="2"/>
  <c r="N925" i="2"/>
  <c r="M925" i="2"/>
  <c r="L925" i="2"/>
  <c r="P925" i="2" s="1"/>
  <c r="K925" i="2"/>
  <c r="J925" i="2"/>
  <c r="I925" i="2"/>
  <c r="H925" i="2"/>
  <c r="G925" i="2"/>
  <c r="F925" i="2"/>
  <c r="E925" i="2"/>
  <c r="D925" i="2"/>
  <c r="C925" i="2"/>
  <c r="B925" i="2"/>
  <c r="O925" i="2" s="1"/>
  <c r="A925" i="2"/>
  <c r="N924" i="2"/>
  <c r="M924" i="2"/>
  <c r="L924" i="2"/>
  <c r="Q924" i="2" s="1"/>
  <c r="K924" i="2"/>
  <c r="J924" i="2"/>
  <c r="I924" i="2"/>
  <c r="H924" i="2"/>
  <c r="G924" i="2"/>
  <c r="F924" i="2"/>
  <c r="E924" i="2"/>
  <c r="D924" i="2"/>
  <c r="C924" i="2"/>
  <c r="B924" i="2"/>
  <c r="O924" i="2" s="1"/>
  <c r="A924" i="2"/>
  <c r="N923" i="2"/>
  <c r="M923" i="2"/>
  <c r="L923" i="2"/>
  <c r="Q923" i="2" s="1"/>
  <c r="K923" i="2"/>
  <c r="J923" i="2"/>
  <c r="I923" i="2"/>
  <c r="H923" i="2"/>
  <c r="G923" i="2"/>
  <c r="F923" i="2"/>
  <c r="E923" i="2"/>
  <c r="D923" i="2"/>
  <c r="C923" i="2"/>
  <c r="B923" i="2"/>
  <c r="O923" i="2" s="1"/>
  <c r="A923" i="2"/>
  <c r="O922" i="2"/>
  <c r="N922" i="2"/>
  <c r="M922" i="2"/>
  <c r="L922" i="2"/>
  <c r="Q922" i="2" s="1"/>
  <c r="K922" i="2"/>
  <c r="J922" i="2"/>
  <c r="I922" i="2"/>
  <c r="H922" i="2"/>
  <c r="G922" i="2"/>
  <c r="F922" i="2"/>
  <c r="E922" i="2"/>
  <c r="D922" i="2"/>
  <c r="C922" i="2"/>
  <c r="B922" i="2"/>
  <c r="A922" i="2"/>
  <c r="N921" i="2"/>
  <c r="M921" i="2"/>
  <c r="L921" i="2"/>
  <c r="Q921" i="2" s="1"/>
  <c r="K921" i="2"/>
  <c r="J921" i="2"/>
  <c r="I921" i="2"/>
  <c r="H921" i="2"/>
  <c r="G921" i="2"/>
  <c r="F921" i="2"/>
  <c r="E921" i="2"/>
  <c r="D921" i="2"/>
  <c r="C921" i="2"/>
  <c r="B921" i="2"/>
  <c r="O921" i="2" s="1"/>
  <c r="A921" i="2"/>
  <c r="O920" i="2"/>
  <c r="N920" i="2"/>
  <c r="M920" i="2"/>
  <c r="L920" i="2"/>
  <c r="Q920" i="2" s="1"/>
  <c r="K920" i="2"/>
  <c r="J920" i="2"/>
  <c r="I920" i="2"/>
  <c r="H920" i="2"/>
  <c r="G920" i="2"/>
  <c r="F920" i="2"/>
  <c r="E920" i="2"/>
  <c r="D920" i="2"/>
  <c r="C920" i="2"/>
  <c r="B920" i="2"/>
  <c r="A920" i="2"/>
  <c r="O919" i="2"/>
  <c r="N919" i="2"/>
  <c r="P919" i="2" s="1"/>
  <c r="M919" i="2"/>
  <c r="L919" i="2"/>
  <c r="Q919" i="2" s="1"/>
  <c r="K919" i="2"/>
  <c r="J919" i="2"/>
  <c r="I919" i="2"/>
  <c r="H919" i="2"/>
  <c r="G919" i="2"/>
  <c r="F919" i="2"/>
  <c r="E919" i="2"/>
  <c r="D919" i="2"/>
  <c r="C919" i="2"/>
  <c r="B919" i="2"/>
  <c r="A919" i="2"/>
  <c r="P918" i="2"/>
  <c r="N918" i="2"/>
  <c r="M918" i="2"/>
  <c r="L918" i="2"/>
  <c r="Q918" i="2" s="1"/>
  <c r="K918" i="2"/>
  <c r="J918" i="2"/>
  <c r="I918" i="2"/>
  <c r="H918" i="2"/>
  <c r="G918" i="2"/>
  <c r="F918" i="2"/>
  <c r="E918" i="2"/>
  <c r="D918" i="2"/>
  <c r="C918" i="2"/>
  <c r="B918" i="2"/>
  <c r="O918" i="2" s="1"/>
  <c r="A918" i="2"/>
  <c r="Q917" i="2"/>
  <c r="N917" i="2"/>
  <c r="M917" i="2"/>
  <c r="L917" i="2"/>
  <c r="P917" i="2" s="1"/>
  <c r="K917" i="2"/>
  <c r="J917" i="2"/>
  <c r="I917" i="2"/>
  <c r="H917" i="2"/>
  <c r="G917" i="2"/>
  <c r="F917" i="2"/>
  <c r="E917" i="2"/>
  <c r="D917" i="2"/>
  <c r="C917" i="2"/>
  <c r="B917" i="2"/>
  <c r="O917" i="2" s="1"/>
  <c r="A917" i="2"/>
  <c r="N916" i="2"/>
  <c r="P916" i="2" s="1"/>
  <c r="M916" i="2"/>
  <c r="L916" i="2"/>
  <c r="Q916" i="2" s="1"/>
  <c r="K916" i="2"/>
  <c r="J916" i="2"/>
  <c r="I916" i="2"/>
  <c r="H916" i="2"/>
  <c r="G916" i="2"/>
  <c r="F916" i="2"/>
  <c r="E916" i="2"/>
  <c r="D916" i="2"/>
  <c r="C916" i="2"/>
  <c r="B916" i="2"/>
  <c r="O916" i="2" s="1"/>
  <c r="A916" i="2"/>
  <c r="N915" i="2"/>
  <c r="M915" i="2"/>
  <c r="L915" i="2"/>
  <c r="Q915" i="2" s="1"/>
  <c r="K915" i="2"/>
  <c r="J915" i="2"/>
  <c r="I915" i="2"/>
  <c r="H915" i="2"/>
  <c r="G915" i="2"/>
  <c r="F915" i="2"/>
  <c r="E915" i="2"/>
  <c r="D915" i="2"/>
  <c r="C915" i="2"/>
  <c r="B915" i="2"/>
  <c r="O915" i="2" s="1"/>
  <c r="A915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N913" i="2"/>
  <c r="M913" i="2"/>
  <c r="L913" i="2"/>
  <c r="Q913" i="2" s="1"/>
  <c r="K913" i="2"/>
  <c r="J913" i="2"/>
  <c r="I913" i="2"/>
  <c r="H913" i="2"/>
  <c r="G913" i="2"/>
  <c r="F913" i="2"/>
  <c r="E913" i="2"/>
  <c r="D913" i="2"/>
  <c r="C913" i="2"/>
  <c r="B913" i="2"/>
  <c r="O913" i="2" s="1"/>
  <c r="A913" i="2"/>
  <c r="O912" i="2"/>
  <c r="N912" i="2"/>
  <c r="M912" i="2"/>
  <c r="L912" i="2"/>
  <c r="Q912" i="2" s="1"/>
  <c r="K912" i="2"/>
  <c r="J912" i="2"/>
  <c r="I912" i="2"/>
  <c r="H912" i="2"/>
  <c r="G912" i="2"/>
  <c r="F912" i="2"/>
  <c r="E912" i="2"/>
  <c r="D912" i="2"/>
  <c r="C912" i="2"/>
  <c r="B912" i="2"/>
  <c r="A912" i="2"/>
  <c r="P911" i="2"/>
  <c r="N911" i="2"/>
  <c r="M911" i="2"/>
  <c r="L911" i="2"/>
  <c r="Q911" i="2" s="1"/>
  <c r="K911" i="2"/>
  <c r="J911" i="2"/>
  <c r="I911" i="2"/>
  <c r="H911" i="2"/>
  <c r="G911" i="2"/>
  <c r="F911" i="2"/>
  <c r="E911" i="2"/>
  <c r="D911" i="2"/>
  <c r="C911" i="2"/>
  <c r="B911" i="2"/>
  <c r="O911" i="2" s="1"/>
  <c r="A911" i="2"/>
  <c r="Q910" i="2"/>
  <c r="O910" i="2"/>
  <c r="N910" i="2"/>
  <c r="P910" i="2" s="1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N909" i="2"/>
  <c r="M909" i="2"/>
  <c r="L909" i="2"/>
  <c r="P909" i="2" s="1"/>
  <c r="K909" i="2"/>
  <c r="J909" i="2"/>
  <c r="I909" i="2"/>
  <c r="H909" i="2"/>
  <c r="G909" i="2"/>
  <c r="F909" i="2"/>
  <c r="E909" i="2"/>
  <c r="D909" i="2"/>
  <c r="C909" i="2"/>
  <c r="B909" i="2"/>
  <c r="O909" i="2" s="1"/>
  <c r="A909" i="2"/>
  <c r="Q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O908" i="2" s="1"/>
  <c r="A908" i="2"/>
  <c r="N907" i="2"/>
  <c r="M907" i="2"/>
  <c r="L907" i="2"/>
  <c r="Q907" i="2" s="1"/>
  <c r="K907" i="2"/>
  <c r="J907" i="2"/>
  <c r="I907" i="2"/>
  <c r="H907" i="2"/>
  <c r="G907" i="2"/>
  <c r="F907" i="2"/>
  <c r="E907" i="2"/>
  <c r="D907" i="2"/>
  <c r="C907" i="2"/>
  <c r="B907" i="2"/>
  <c r="O907" i="2" s="1"/>
  <c r="A907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O906" i="2" s="1"/>
  <c r="A906" i="2"/>
  <c r="O905" i="2"/>
  <c r="N905" i="2"/>
  <c r="P905" i="2" s="1"/>
  <c r="M905" i="2"/>
  <c r="L905" i="2"/>
  <c r="Q905" i="2" s="1"/>
  <c r="K905" i="2"/>
  <c r="J905" i="2"/>
  <c r="I905" i="2"/>
  <c r="H905" i="2"/>
  <c r="G905" i="2"/>
  <c r="F905" i="2"/>
  <c r="E905" i="2"/>
  <c r="D905" i="2"/>
  <c r="C905" i="2"/>
  <c r="B905" i="2"/>
  <c r="A905" i="2"/>
  <c r="Q904" i="2"/>
  <c r="O904" i="2"/>
  <c r="N904" i="2"/>
  <c r="P904" i="2" s="1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N903" i="2"/>
  <c r="P903" i="2" s="1"/>
  <c r="M903" i="2"/>
  <c r="L903" i="2"/>
  <c r="Q903" i="2" s="1"/>
  <c r="K903" i="2"/>
  <c r="J903" i="2"/>
  <c r="I903" i="2"/>
  <c r="H903" i="2"/>
  <c r="G903" i="2"/>
  <c r="F903" i="2"/>
  <c r="E903" i="2"/>
  <c r="D903" i="2"/>
  <c r="C903" i="2"/>
  <c r="B903" i="2"/>
  <c r="O903" i="2" s="1"/>
  <c r="A903" i="2"/>
  <c r="Q902" i="2"/>
  <c r="O902" i="2"/>
  <c r="N902" i="2"/>
  <c r="M902" i="2"/>
  <c r="L902" i="2"/>
  <c r="P902" i="2" s="1"/>
  <c r="K902" i="2"/>
  <c r="J902" i="2"/>
  <c r="I902" i="2"/>
  <c r="H902" i="2"/>
  <c r="G902" i="2"/>
  <c r="F902" i="2"/>
  <c r="E902" i="2"/>
  <c r="D902" i="2"/>
  <c r="C902" i="2"/>
  <c r="B902" i="2"/>
  <c r="A902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O901" i="2" s="1"/>
  <c r="A901" i="2"/>
  <c r="Q900" i="2"/>
  <c r="N900" i="2"/>
  <c r="P900" i="2" s="1"/>
  <c r="M900" i="2"/>
  <c r="L900" i="2"/>
  <c r="K900" i="2"/>
  <c r="J900" i="2"/>
  <c r="I900" i="2"/>
  <c r="H900" i="2"/>
  <c r="G900" i="2"/>
  <c r="F900" i="2"/>
  <c r="E900" i="2"/>
  <c r="D900" i="2"/>
  <c r="C900" i="2"/>
  <c r="B900" i="2"/>
  <c r="O900" i="2" s="1"/>
  <c r="A900" i="2"/>
  <c r="N899" i="2"/>
  <c r="P899" i="2" s="1"/>
  <c r="M899" i="2"/>
  <c r="L899" i="2"/>
  <c r="Q899" i="2" s="1"/>
  <c r="K899" i="2"/>
  <c r="J899" i="2"/>
  <c r="I899" i="2"/>
  <c r="H899" i="2"/>
  <c r="G899" i="2"/>
  <c r="F899" i="2"/>
  <c r="E899" i="2"/>
  <c r="D899" i="2"/>
  <c r="C899" i="2"/>
  <c r="B899" i="2"/>
  <c r="O899" i="2" s="1"/>
  <c r="A899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O898" i="2" s="1"/>
  <c r="A898" i="2"/>
  <c r="O897" i="2"/>
  <c r="N897" i="2"/>
  <c r="M897" i="2"/>
  <c r="L897" i="2"/>
  <c r="Q897" i="2" s="1"/>
  <c r="K897" i="2"/>
  <c r="J897" i="2"/>
  <c r="I897" i="2"/>
  <c r="H897" i="2"/>
  <c r="G897" i="2"/>
  <c r="F897" i="2"/>
  <c r="E897" i="2"/>
  <c r="D897" i="2"/>
  <c r="C897" i="2"/>
  <c r="B897" i="2"/>
  <c r="A897" i="2"/>
  <c r="O896" i="2"/>
  <c r="N896" i="2"/>
  <c r="M896" i="2"/>
  <c r="L896" i="2"/>
  <c r="Q896" i="2" s="1"/>
  <c r="K896" i="2"/>
  <c r="J896" i="2"/>
  <c r="I896" i="2"/>
  <c r="H896" i="2"/>
  <c r="G896" i="2"/>
  <c r="F896" i="2"/>
  <c r="E896" i="2"/>
  <c r="D896" i="2"/>
  <c r="C896" i="2"/>
  <c r="B896" i="2"/>
  <c r="A896" i="2"/>
  <c r="P895" i="2"/>
  <c r="N895" i="2"/>
  <c r="M895" i="2"/>
  <c r="L895" i="2"/>
  <c r="Q895" i="2" s="1"/>
  <c r="K895" i="2"/>
  <c r="J895" i="2"/>
  <c r="I895" i="2"/>
  <c r="H895" i="2"/>
  <c r="G895" i="2"/>
  <c r="F895" i="2"/>
  <c r="E895" i="2"/>
  <c r="D895" i="2"/>
  <c r="C895" i="2"/>
  <c r="B895" i="2"/>
  <c r="O895" i="2" s="1"/>
  <c r="A895" i="2"/>
  <c r="Q894" i="2"/>
  <c r="O894" i="2"/>
  <c r="N894" i="2"/>
  <c r="P894" i="2" s="1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Q893" i="2"/>
  <c r="P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O893" i="2" s="1"/>
  <c r="A893" i="2"/>
  <c r="N892" i="2"/>
  <c r="M892" i="2"/>
  <c r="L892" i="2"/>
  <c r="Q892" i="2" s="1"/>
  <c r="K892" i="2"/>
  <c r="J892" i="2"/>
  <c r="I892" i="2"/>
  <c r="H892" i="2"/>
  <c r="G892" i="2"/>
  <c r="F892" i="2"/>
  <c r="E892" i="2"/>
  <c r="D892" i="2"/>
  <c r="C892" i="2"/>
  <c r="B892" i="2"/>
  <c r="O892" i="2" s="1"/>
  <c r="A892" i="2"/>
  <c r="N891" i="2"/>
  <c r="P891" i="2" s="1"/>
  <c r="M891" i="2"/>
  <c r="L891" i="2"/>
  <c r="Q891" i="2" s="1"/>
  <c r="K891" i="2"/>
  <c r="J891" i="2"/>
  <c r="I891" i="2"/>
  <c r="H891" i="2"/>
  <c r="G891" i="2"/>
  <c r="F891" i="2"/>
  <c r="E891" i="2"/>
  <c r="D891" i="2"/>
  <c r="C891" i="2"/>
  <c r="B891" i="2"/>
  <c r="O891" i="2" s="1"/>
  <c r="A891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N889" i="2"/>
  <c r="P889" i="2" s="1"/>
  <c r="M889" i="2"/>
  <c r="L889" i="2"/>
  <c r="Q889" i="2" s="1"/>
  <c r="K889" i="2"/>
  <c r="J889" i="2"/>
  <c r="I889" i="2"/>
  <c r="H889" i="2"/>
  <c r="G889" i="2"/>
  <c r="F889" i="2"/>
  <c r="E889" i="2"/>
  <c r="D889" i="2"/>
  <c r="C889" i="2"/>
  <c r="B889" i="2"/>
  <c r="O889" i="2" s="1"/>
  <c r="A889" i="2"/>
  <c r="N888" i="2"/>
  <c r="P888" i="2" s="1"/>
  <c r="M888" i="2"/>
  <c r="L888" i="2"/>
  <c r="Q888" i="2" s="1"/>
  <c r="K888" i="2"/>
  <c r="J888" i="2"/>
  <c r="I888" i="2"/>
  <c r="H888" i="2"/>
  <c r="G888" i="2"/>
  <c r="F888" i="2"/>
  <c r="E888" i="2"/>
  <c r="D888" i="2"/>
  <c r="C888" i="2"/>
  <c r="B888" i="2"/>
  <c r="O888" i="2" s="1"/>
  <c r="A888" i="2"/>
  <c r="Q887" i="2"/>
  <c r="O887" i="2"/>
  <c r="N887" i="2"/>
  <c r="P887" i="2" s="1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P886" i="2"/>
  <c r="N886" i="2"/>
  <c r="M886" i="2"/>
  <c r="L886" i="2"/>
  <c r="Q886" i="2" s="1"/>
  <c r="K886" i="2"/>
  <c r="J886" i="2"/>
  <c r="I886" i="2"/>
  <c r="H886" i="2"/>
  <c r="G886" i="2"/>
  <c r="F886" i="2"/>
  <c r="E886" i="2"/>
  <c r="D886" i="2"/>
  <c r="C886" i="2"/>
  <c r="B886" i="2"/>
  <c r="O886" i="2" s="1"/>
  <c r="A886" i="2"/>
  <c r="Q885" i="2"/>
  <c r="N885" i="2"/>
  <c r="P885" i="2" s="1"/>
  <c r="M885" i="2"/>
  <c r="L885" i="2"/>
  <c r="K885" i="2"/>
  <c r="J885" i="2"/>
  <c r="I885" i="2"/>
  <c r="H885" i="2"/>
  <c r="G885" i="2"/>
  <c r="F885" i="2"/>
  <c r="E885" i="2"/>
  <c r="D885" i="2"/>
  <c r="C885" i="2"/>
  <c r="B885" i="2"/>
  <c r="O885" i="2" s="1"/>
  <c r="A885" i="2"/>
  <c r="Q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O884" i="2" s="1"/>
  <c r="A884" i="2"/>
  <c r="N883" i="2"/>
  <c r="M883" i="2"/>
  <c r="L883" i="2"/>
  <c r="Q883" i="2" s="1"/>
  <c r="K883" i="2"/>
  <c r="J883" i="2"/>
  <c r="I883" i="2"/>
  <c r="H883" i="2"/>
  <c r="G883" i="2"/>
  <c r="F883" i="2"/>
  <c r="E883" i="2"/>
  <c r="D883" i="2"/>
  <c r="C883" i="2"/>
  <c r="B883" i="2"/>
  <c r="O883" i="2" s="1"/>
  <c r="A883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O882" i="2" s="1"/>
  <c r="A882" i="2"/>
  <c r="O881" i="2"/>
  <c r="N881" i="2"/>
  <c r="P881" i="2" s="1"/>
  <c r="M881" i="2"/>
  <c r="L881" i="2"/>
  <c r="Q881" i="2" s="1"/>
  <c r="K881" i="2"/>
  <c r="J881" i="2"/>
  <c r="I881" i="2"/>
  <c r="H881" i="2"/>
  <c r="G881" i="2"/>
  <c r="F881" i="2"/>
  <c r="E881" i="2"/>
  <c r="D881" i="2"/>
  <c r="C881" i="2"/>
  <c r="B881" i="2"/>
  <c r="A881" i="2"/>
  <c r="Q880" i="2"/>
  <c r="O880" i="2"/>
  <c r="N880" i="2"/>
  <c r="P880" i="2" s="1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N879" i="2"/>
  <c r="M879" i="2"/>
  <c r="L879" i="2"/>
  <c r="Q879" i="2" s="1"/>
  <c r="K879" i="2"/>
  <c r="J879" i="2"/>
  <c r="I879" i="2"/>
  <c r="H879" i="2"/>
  <c r="G879" i="2"/>
  <c r="F879" i="2"/>
  <c r="E879" i="2"/>
  <c r="D879" i="2"/>
  <c r="C879" i="2"/>
  <c r="B879" i="2"/>
  <c r="O879" i="2" s="1"/>
  <c r="A879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Q877" i="2"/>
  <c r="P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O877" i="2" s="1"/>
  <c r="A877" i="2"/>
  <c r="N876" i="2"/>
  <c r="M876" i="2"/>
  <c r="L876" i="2"/>
  <c r="Q876" i="2" s="1"/>
  <c r="K876" i="2"/>
  <c r="J876" i="2"/>
  <c r="I876" i="2"/>
  <c r="H876" i="2"/>
  <c r="G876" i="2"/>
  <c r="F876" i="2"/>
  <c r="E876" i="2"/>
  <c r="D876" i="2"/>
  <c r="C876" i="2"/>
  <c r="B876" i="2"/>
  <c r="O876" i="2" s="1"/>
  <c r="A876" i="2"/>
  <c r="N875" i="2"/>
  <c r="M875" i="2"/>
  <c r="L875" i="2"/>
  <c r="Q875" i="2" s="1"/>
  <c r="K875" i="2"/>
  <c r="J875" i="2"/>
  <c r="I875" i="2"/>
  <c r="H875" i="2"/>
  <c r="G875" i="2"/>
  <c r="F875" i="2"/>
  <c r="E875" i="2"/>
  <c r="D875" i="2"/>
  <c r="C875" i="2"/>
  <c r="B875" i="2"/>
  <c r="O875" i="2" s="1"/>
  <c r="A875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N873" i="2"/>
  <c r="P873" i="2" s="1"/>
  <c r="M873" i="2"/>
  <c r="L873" i="2"/>
  <c r="Q873" i="2" s="1"/>
  <c r="K873" i="2"/>
  <c r="J873" i="2"/>
  <c r="I873" i="2"/>
  <c r="H873" i="2"/>
  <c r="G873" i="2"/>
  <c r="F873" i="2"/>
  <c r="E873" i="2"/>
  <c r="D873" i="2"/>
  <c r="C873" i="2"/>
  <c r="B873" i="2"/>
  <c r="O873" i="2" s="1"/>
  <c r="A873" i="2"/>
  <c r="Q872" i="2"/>
  <c r="N872" i="2"/>
  <c r="P872" i="2" s="1"/>
  <c r="M872" i="2"/>
  <c r="L872" i="2"/>
  <c r="K872" i="2"/>
  <c r="J872" i="2"/>
  <c r="I872" i="2"/>
  <c r="H872" i="2"/>
  <c r="G872" i="2"/>
  <c r="F872" i="2"/>
  <c r="E872" i="2"/>
  <c r="D872" i="2"/>
  <c r="C872" i="2"/>
  <c r="B872" i="2"/>
  <c r="O872" i="2" s="1"/>
  <c r="A872" i="2"/>
  <c r="Q871" i="2"/>
  <c r="O871" i="2"/>
  <c r="N871" i="2"/>
  <c r="P871" i="2" s="1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P870" i="2"/>
  <c r="N870" i="2"/>
  <c r="M870" i="2"/>
  <c r="L870" i="2"/>
  <c r="Q870" i="2" s="1"/>
  <c r="K870" i="2"/>
  <c r="J870" i="2"/>
  <c r="I870" i="2"/>
  <c r="H870" i="2"/>
  <c r="G870" i="2"/>
  <c r="F870" i="2"/>
  <c r="E870" i="2"/>
  <c r="D870" i="2"/>
  <c r="C870" i="2"/>
  <c r="B870" i="2"/>
  <c r="O870" i="2" s="1"/>
  <c r="A870" i="2"/>
  <c r="Q869" i="2"/>
  <c r="N869" i="2"/>
  <c r="P869" i="2" s="1"/>
  <c r="M869" i="2"/>
  <c r="L869" i="2"/>
  <c r="K869" i="2"/>
  <c r="J869" i="2"/>
  <c r="I869" i="2"/>
  <c r="H869" i="2"/>
  <c r="G869" i="2"/>
  <c r="F869" i="2"/>
  <c r="E869" i="2"/>
  <c r="D869" i="2"/>
  <c r="C869" i="2"/>
  <c r="B869" i="2"/>
  <c r="O869" i="2" s="1"/>
  <c r="A869" i="2"/>
  <c r="Q868" i="2"/>
  <c r="N868" i="2"/>
  <c r="P868" i="2" s="1"/>
  <c r="M868" i="2"/>
  <c r="L868" i="2"/>
  <c r="K868" i="2"/>
  <c r="J868" i="2"/>
  <c r="I868" i="2"/>
  <c r="H868" i="2"/>
  <c r="G868" i="2"/>
  <c r="F868" i="2"/>
  <c r="E868" i="2"/>
  <c r="D868" i="2"/>
  <c r="C868" i="2"/>
  <c r="B868" i="2"/>
  <c r="O868" i="2" s="1"/>
  <c r="A868" i="2"/>
  <c r="N867" i="2"/>
  <c r="M867" i="2"/>
  <c r="L867" i="2"/>
  <c r="Q867" i="2" s="1"/>
  <c r="K867" i="2"/>
  <c r="J867" i="2"/>
  <c r="I867" i="2"/>
  <c r="H867" i="2"/>
  <c r="G867" i="2"/>
  <c r="F867" i="2"/>
  <c r="E867" i="2"/>
  <c r="D867" i="2"/>
  <c r="C867" i="2"/>
  <c r="B867" i="2"/>
  <c r="O867" i="2" s="1"/>
  <c r="A867" i="2"/>
  <c r="N866" i="2"/>
  <c r="P866" i="2" s="1"/>
  <c r="M866" i="2"/>
  <c r="L866" i="2"/>
  <c r="Q866" i="2" s="1"/>
  <c r="K866" i="2"/>
  <c r="J866" i="2"/>
  <c r="I866" i="2"/>
  <c r="H866" i="2"/>
  <c r="G866" i="2"/>
  <c r="F866" i="2"/>
  <c r="E866" i="2"/>
  <c r="D866" i="2"/>
  <c r="C866" i="2"/>
  <c r="B866" i="2"/>
  <c r="O866" i="2" s="1"/>
  <c r="A866" i="2"/>
  <c r="O865" i="2"/>
  <c r="N865" i="2"/>
  <c r="P865" i="2" s="1"/>
  <c r="M865" i="2"/>
  <c r="L865" i="2"/>
  <c r="Q865" i="2" s="1"/>
  <c r="K865" i="2"/>
  <c r="J865" i="2"/>
  <c r="I865" i="2"/>
  <c r="H865" i="2"/>
  <c r="G865" i="2"/>
  <c r="F865" i="2"/>
  <c r="E865" i="2"/>
  <c r="D865" i="2"/>
  <c r="C865" i="2"/>
  <c r="B865" i="2"/>
  <c r="A865" i="2"/>
  <c r="Q864" i="2"/>
  <c r="N864" i="2"/>
  <c r="P864" i="2" s="1"/>
  <c r="M864" i="2"/>
  <c r="L864" i="2"/>
  <c r="K864" i="2"/>
  <c r="J864" i="2"/>
  <c r="I864" i="2"/>
  <c r="H864" i="2"/>
  <c r="G864" i="2"/>
  <c r="F864" i="2"/>
  <c r="E864" i="2"/>
  <c r="D864" i="2"/>
  <c r="C864" i="2"/>
  <c r="B864" i="2"/>
  <c r="O864" i="2" s="1"/>
  <c r="A864" i="2"/>
  <c r="N863" i="2"/>
  <c r="P863" i="2" s="1"/>
  <c r="M863" i="2"/>
  <c r="L863" i="2"/>
  <c r="Q863" i="2" s="1"/>
  <c r="K863" i="2"/>
  <c r="J863" i="2"/>
  <c r="I863" i="2"/>
  <c r="H863" i="2"/>
  <c r="G863" i="2"/>
  <c r="F863" i="2"/>
  <c r="E863" i="2"/>
  <c r="D863" i="2"/>
  <c r="C863" i="2"/>
  <c r="B863" i="2"/>
  <c r="O863" i="2" s="1"/>
  <c r="A863" i="2"/>
  <c r="O862" i="2"/>
  <c r="N862" i="2"/>
  <c r="M862" i="2"/>
  <c r="L862" i="2"/>
  <c r="P862" i="2" s="1"/>
  <c r="K862" i="2"/>
  <c r="J862" i="2"/>
  <c r="I862" i="2"/>
  <c r="H862" i="2"/>
  <c r="G862" i="2"/>
  <c r="F862" i="2"/>
  <c r="E862" i="2"/>
  <c r="D862" i="2"/>
  <c r="C862" i="2"/>
  <c r="B862" i="2"/>
  <c r="A862" i="2"/>
  <c r="P861" i="2"/>
  <c r="N861" i="2"/>
  <c r="M861" i="2"/>
  <c r="L861" i="2"/>
  <c r="Q861" i="2" s="1"/>
  <c r="K861" i="2"/>
  <c r="J861" i="2"/>
  <c r="I861" i="2"/>
  <c r="H861" i="2"/>
  <c r="G861" i="2"/>
  <c r="F861" i="2"/>
  <c r="E861" i="2"/>
  <c r="D861" i="2"/>
  <c r="C861" i="2"/>
  <c r="B861" i="2"/>
  <c r="O861" i="2" s="1"/>
  <c r="A861" i="2"/>
  <c r="N860" i="2"/>
  <c r="P860" i="2" s="1"/>
  <c r="M860" i="2"/>
  <c r="L860" i="2"/>
  <c r="Q860" i="2" s="1"/>
  <c r="K860" i="2"/>
  <c r="J860" i="2"/>
  <c r="I860" i="2"/>
  <c r="H860" i="2"/>
  <c r="G860" i="2"/>
  <c r="F860" i="2"/>
  <c r="E860" i="2"/>
  <c r="D860" i="2"/>
  <c r="C860" i="2"/>
  <c r="B860" i="2"/>
  <c r="O860" i="2" s="1"/>
  <c r="A860" i="2"/>
  <c r="N859" i="2"/>
  <c r="M859" i="2"/>
  <c r="L859" i="2"/>
  <c r="Q859" i="2" s="1"/>
  <c r="K859" i="2"/>
  <c r="J859" i="2"/>
  <c r="I859" i="2"/>
  <c r="H859" i="2"/>
  <c r="G859" i="2"/>
  <c r="F859" i="2"/>
  <c r="E859" i="2"/>
  <c r="D859" i="2"/>
  <c r="C859" i="2"/>
  <c r="B859" i="2"/>
  <c r="O859" i="2" s="1"/>
  <c r="A859" i="2"/>
  <c r="O858" i="2"/>
  <c r="N858" i="2"/>
  <c r="P858" i="2" s="1"/>
  <c r="M858" i="2"/>
  <c r="L858" i="2"/>
  <c r="Q858" i="2" s="1"/>
  <c r="K858" i="2"/>
  <c r="J858" i="2"/>
  <c r="I858" i="2"/>
  <c r="H858" i="2"/>
  <c r="G858" i="2"/>
  <c r="F858" i="2"/>
  <c r="E858" i="2"/>
  <c r="D858" i="2"/>
  <c r="C858" i="2"/>
  <c r="B858" i="2"/>
  <c r="A858" i="2"/>
  <c r="N857" i="2"/>
  <c r="M857" i="2"/>
  <c r="L857" i="2"/>
  <c r="Q857" i="2" s="1"/>
  <c r="K857" i="2"/>
  <c r="J857" i="2"/>
  <c r="I857" i="2"/>
  <c r="H857" i="2"/>
  <c r="G857" i="2"/>
  <c r="F857" i="2"/>
  <c r="E857" i="2"/>
  <c r="D857" i="2"/>
  <c r="C857" i="2"/>
  <c r="B857" i="2"/>
  <c r="O857" i="2" s="1"/>
  <c r="A857" i="2"/>
  <c r="Q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O856" i="2" s="1"/>
  <c r="A856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N854" i="2"/>
  <c r="P854" i="2" s="1"/>
  <c r="M854" i="2"/>
  <c r="L854" i="2"/>
  <c r="Q854" i="2" s="1"/>
  <c r="K854" i="2"/>
  <c r="J854" i="2"/>
  <c r="I854" i="2"/>
  <c r="H854" i="2"/>
  <c r="G854" i="2"/>
  <c r="F854" i="2"/>
  <c r="E854" i="2"/>
  <c r="D854" i="2"/>
  <c r="C854" i="2"/>
  <c r="B854" i="2"/>
  <c r="O854" i="2" s="1"/>
  <c r="A854" i="2"/>
  <c r="N853" i="2"/>
  <c r="P853" i="2" s="1"/>
  <c r="M853" i="2"/>
  <c r="L853" i="2"/>
  <c r="Q853" i="2" s="1"/>
  <c r="K853" i="2"/>
  <c r="J853" i="2"/>
  <c r="I853" i="2"/>
  <c r="H853" i="2"/>
  <c r="G853" i="2"/>
  <c r="F853" i="2"/>
  <c r="E853" i="2"/>
  <c r="D853" i="2"/>
  <c r="C853" i="2"/>
  <c r="B853" i="2"/>
  <c r="O853" i="2" s="1"/>
  <c r="A853" i="2"/>
  <c r="Q852" i="2"/>
  <c r="N852" i="2"/>
  <c r="P852" i="2" s="1"/>
  <c r="M852" i="2"/>
  <c r="L852" i="2"/>
  <c r="K852" i="2"/>
  <c r="J852" i="2"/>
  <c r="I852" i="2"/>
  <c r="H852" i="2"/>
  <c r="G852" i="2"/>
  <c r="F852" i="2"/>
  <c r="E852" i="2"/>
  <c r="D852" i="2"/>
  <c r="C852" i="2"/>
  <c r="B852" i="2"/>
  <c r="O852" i="2" s="1"/>
  <c r="A852" i="2"/>
  <c r="N851" i="2"/>
  <c r="M851" i="2"/>
  <c r="L851" i="2"/>
  <c r="Q851" i="2" s="1"/>
  <c r="K851" i="2"/>
  <c r="J851" i="2"/>
  <c r="I851" i="2"/>
  <c r="H851" i="2"/>
  <c r="G851" i="2"/>
  <c r="F851" i="2"/>
  <c r="E851" i="2"/>
  <c r="D851" i="2"/>
  <c r="C851" i="2"/>
  <c r="B851" i="2"/>
  <c r="O851" i="2" s="1"/>
  <c r="A851" i="2"/>
  <c r="N850" i="2"/>
  <c r="P850" i="2" s="1"/>
  <c r="M850" i="2"/>
  <c r="L850" i="2"/>
  <c r="Q850" i="2" s="1"/>
  <c r="K850" i="2"/>
  <c r="J850" i="2"/>
  <c r="I850" i="2"/>
  <c r="H850" i="2"/>
  <c r="G850" i="2"/>
  <c r="F850" i="2"/>
  <c r="E850" i="2"/>
  <c r="D850" i="2"/>
  <c r="C850" i="2"/>
  <c r="B850" i="2"/>
  <c r="O850" i="2" s="1"/>
  <c r="A850" i="2"/>
  <c r="O849" i="2"/>
  <c r="N849" i="2"/>
  <c r="M849" i="2"/>
  <c r="L849" i="2"/>
  <c r="Q849" i="2" s="1"/>
  <c r="K849" i="2"/>
  <c r="J849" i="2"/>
  <c r="I849" i="2"/>
  <c r="H849" i="2"/>
  <c r="G849" i="2"/>
  <c r="F849" i="2"/>
  <c r="E849" i="2"/>
  <c r="D849" i="2"/>
  <c r="C849" i="2"/>
  <c r="B849" i="2"/>
  <c r="A849" i="2"/>
  <c r="O848" i="2"/>
  <c r="N848" i="2"/>
  <c r="M848" i="2"/>
  <c r="L848" i="2"/>
  <c r="Q848" i="2" s="1"/>
  <c r="K848" i="2"/>
  <c r="J848" i="2"/>
  <c r="I848" i="2"/>
  <c r="H848" i="2"/>
  <c r="G848" i="2"/>
  <c r="F848" i="2"/>
  <c r="E848" i="2"/>
  <c r="D848" i="2"/>
  <c r="C848" i="2"/>
  <c r="B848" i="2"/>
  <c r="A848" i="2"/>
  <c r="P847" i="2"/>
  <c r="N847" i="2"/>
  <c r="M847" i="2"/>
  <c r="L847" i="2"/>
  <c r="Q847" i="2" s="1"/>
  <c r="K847" i="2"/>
  <c r="J847" i="2"/>
  <c r="I847" i="2"/>
  <c r="H847" i="2"/>
  <c r="G847" i="2"/>
  <c r="F847" i="2"/>
  <c r="E847" i="2"/>
  <c r="D847" i="2"/>
  <c r="C847" i="2"/>
  <c r="B847" i="2"/>
  <c r="O847" i="2" s="1"/>
  <c r="A847" i="2"/>
  <c r="Q846" i="2"/>
  <c r="O846" i="2"/>
  <c r="N846" i="2"/>
  <c r="P846" i="2" s="1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P845" i="2"/>
  <c r="N845" i="2"/>
  <c r="M845" i="2"/>
  <c r="L845" i="2"/>
  <c r="Q845" i="2" s="1"/>
  <c r="K845" i="2"/>
  <c r="J845" i="2"/>
  <c r="I845" i="2"/>
  <c r="H845" i="2"/>
  <c r="G845" i="2"/>
  <c r="F845" i="2"/>
  <c r="E845" i="2"/>
  <c r="D845" i="2"/>
  <c r="C845" i="2"/>
  <c r="B845" i="2"/>
  <c r="O845" i="2" s="1"/>
  <c r="A845" i="2"/>
  <c r="N844" i="2"/>
  <c r="P844" i="2" s="1"/>
  <c r="M844" i="2"/>
  <c r="L844" i="2"/>
  <c r="Q844" i="2" s="1"/>
  <c r="K844" i="2"/>
  <c r="J844" i="2"/>
  <c r="I844" i="2"/>
  <c r="H844" i="2"/>
  <c r="G844" i="2"/>
  <c r="F844" i="2"/>
  <c r="E844" i="2"/>
  <c r="D844" i="2"/>
  <c r="C844" i="2"/>
  <c r="B844" i="2"/>
  <c r="O844" i="2" s="1"/>
  <c r="A844" i="2"/>
  <c r="N843" i="2"/>
  <c r="P843" i="2" s="1"/>
  <c r="M843" i="2"/>
  <c r="L843" i="2"/>
  <c r="Q843" i="2" s="1"/>
  <c r="K843" i="2"/>
  <c r="J843" i="2"/>
  <c r="I843" i="2"/>
  <c r="H843" i="2"/>
  <c r="G843" i="2"/>
  <c r="F843" i="2"/>
  <c r="E843" i="2"/>
  <c r="D843" i="2"/>
  <c r="C843" i="2"/>
  <c r="B843" i="2"/>
  <c r="O843" i="2" s="1"/>
  <c r="A843" i="2"/>
  <c r="N842" i="2"/>
  <c r="P842" i="2" s="1"/>
  <c r="M842" i="2"/>
  <c r="L842" i="2"/>
  <c r="Q842" i="2" s="1"/>
  <c r="K842" i="2"/>
  <c r="J842" i="2"/>
  <c r="I842" i="2"/>
  <c r="H842" i="2"/>
  <c r="G842" i="2"/>
  <c r="F842" i="2"/>
  <c r="E842" i="2"/>
  <c r="D842" i="2"/>
  <c r="C842" i="2"/>
  <c r="B842" i="2"/>
  <c r="O842" i="2" s="1"/>
  <c r="A842" i="2"/>
  <c r="P841" i="2"/>
  <c r="N841" i="2"/>
  <c r="M841" i="2"/>
  <c r="L841" i="2"/>
  <c r="Q841" i="2" s="1"/>
  <c r="K841" i="2"/>
  <c r="J841" i="2"/>
  <c r="I841" i="2"/>
  <c r="H841" i="2"/>
  <c r="G841" i="2"/>
  <c r="F841" i="2"/>
  <c r="E841" i="2"/>
  <c r="D841" i="2"/>
  <c r="C841" i="2"/>
  <c r="B841" i="2"/>
  <c r="O841" i="2" s="1"/>
  <c r="A841" i="2"/>
  <c r="Q840" i="2"/>
  <c r="N840" i="2"/>
  <c r="P840" i="2" s="1"/>
  <c r="M840" i="2"/>
  <c r="L840" i="2"/>
  <c r="K840" i="2"/>
  <c r="J840" i="2"/>
  <c r="I840" i="2"/>
  <c r="H840" i="2"/>
  <c r="G840" i="2"/>
  <c r="F840" i="2"/>
  <c r="E840" i="2"/>
  <c r="D840" i="2"/>
  <c r="C840" i="2"/>
  <c r="B840" i="2"/>
  <c r="O840" i="2" s="1"/>
  <c r="A840" i="2"/>
  <c r="N839" i="2"/>
  <c r="P839" i="2" s="1"/>
  <c r="M839" i="2"/>
  <c r="L839" i="2"/>
  <c r="Q839" i="2" s="1"/>
  <c r="K839" i="2"/>
  <c r="J839" i="2"/>
  <c r="I839" i="2"/>
  <c r="H839" i="2"/>
  <c r="G839" i="2"/>
  <c r="F839" i="2"/>
  <c r="E839" i="2"/>
  <c r="D839" i="2"/>
  <c r="C839" i="2"/>
  <c r="B839" i="2"/>
  <c r="O839" i="2" s="1"/>
  <c r="A839" i="2"/>
  <c r="O838" i="2"/>
  <c r="N838" i="2"/>
  <c r="P838" i="2" s="1"/>
  <c r="M838" i="2"/>
  <c r="L838" i="2"/>
  <c r="Q838" i="2" s="1"/>
  <c r="K838" i="2"/>
  <c r="J838" i="2"/>
  <c r="I838" i="2"/>
  <c r="H838" i="2"/>
  <c r="G838" i="2"/>
  <c r="F838" i="2"/>
  <c r="E838" i="2"/>
  <c r="D838" i="2"/>
  <c r="C838" i="2"/>
  <c r="B838" i="2"/>
  <c r="A838" i="2"/>
  <c r="P837" i="2"/>
  <c r="N837" i="2"/>
  <c r="M837" i="2"/>
  <c r="L837" i="2"/>
  <c r="Q837" i="2" s="1"/>
  <c r="K837" i="2"/>
  <c r="J837" i="2"/>
  <c r="I837" i="2"/>
  <c r="H837" i="2"/>
  <c r="G837" i="2"/>
  <c r="F837" i="2"/>
  <c r="E837" i="2"/>
  <c r="D837" i="2"/>
  <c r="C837" i="2"/>
  <c r="B837" i="2"/>
  <c r="O837" i="2" s="1"/>
  <c r="A837" i="2"/>
  <c r="N836" i="2"/>
  <c r="P836" i="2" s="1"/>
  <c r="M836" i="2"/>
  <c r="L836" i="2"/>
  <c r="Q836" i="2" s="1"/>
  <c r="K836" i="2"/>
  <c r="J836" i="2"/>
  <c r="I836" i="2"/>
  <c r="H836" i="2"/>
  <c r="G836" i="2"/>
  <c r="F836" i="2"/>
  <c r="E836" i="2"/>
  <c r="D836" i="2"/>
  <c r="C836" i="2"/>
  <c r="B836" i="2"/>
  <c r="O836" i="2" s="1"/>
  <c r="A836" i="2"/>
  <c r="N835" i="2"/>
  <c r="M835" i="2"/>
  <c r="L835" i="2"/>
  <c r="Q835" i="2" s="1"/>
  <c r="K835" i="2"/>
  <c r="J835" i="2"/>
  <c r="I835" i="2"/>
  <c r="H835" i="2"/>
  <c r="G835" i="2"/>
  <c r="F835" i="2"/>
  <c r="E835" i="2"/>
  <c r="D835" i="2"/>
  <c r="C835" i="2"/>
  <c r="B835" i="2"/>
  <c r="O835" i="2" s="1"/>
  <c r="A835" i="2"/>
  <c r="O834" i="2"/>
  <c r="N834" i="2"/>
  <c r="P834" i="2" s="1"/>
  <c r="M834" i="2"/>
  <c r="L834" i="2"/>
  <c r="Q834" i="2" s="1"/>
  <c r="K834" i="2"/>
  <c r="J834" i="2"/>
  <c r="I834" i="2"/>
  <c r="H834" i="2"/>
  <c r="G834" i="2"/>
  <c r="F834" i="2"/>
  <c r="E834" i="2"/>
  <c r="D834" i="2"/>
  <c r="C834" i="2"/>
  <c r="B834" i="2"/>
  <c r="A834" i="2"/>
  <c r="N833" i="2"/>
  <c r="P833" i="2" s="1"/>
  <c r="M833" i="2"/>
  <c r="L833" i="2"/>
  <c r="Q833" i="2" s="1"/>
  <c r="K833" i="2"/>
  <c r="J833" i="2"/>
  <c r="I833" i="2"/>
  <c r="H833" i="2"/>
  <c r="G833" i="2"/>
  <c r="F833" i="2"/>
  <c r="E833" i="2"/>
  <c r="D833" i="2"/>
  <c r="C833" i="2"/>
  <c r="B833" i="2"/>
  <c r="O833" i="2" s="1"/>
  <c r="A833" i="2"/>
  <c r="Q832" i="2"/>
  <c r="N832" i="2"/>
  <c r="P832" i="2" s="1"/>
  <c r="M832" i="2"/>
  <c r="L832" i="2"/>
  <c r="K832" i="2"/>
  <c r="J832" i="2"/>
  <c r="I832" i="2"/>
  <c r="H832" i="2"/>
  <c r="G832" i="2"/>
  <c r="F832" i="2"/>
  <c r="E832" i="2"/>
  <c r="D832" i="2"/>
  <c r="C832" i="2"/>
  <c r="B832" i="2"/>
  <c r="O832" i="2" s="1"/>
  <c r="A832" i="2"/>
  <c r="Q831" i="2"/>
  <c r="N831" i="2"/>
  <c r="P831" i="2" s="1"/>
  <c r="M831" i="2"/>
  <c r="L831" i="2"/>
  <c r="K831" i="2"/>
  <c r="J831" i="2"/>
  <c r="I831" i="2"/>
  <c r="H831" i="2"/>
  <c r="G831" i="2"/>
  <c r="F831" i="2"/>
  <c r="E831" i="2"/>
  <c r="D831" i="2"/>
  <c r="C831" i="2"/>
  <c r="B831" i="2"/>
  <c r="O831" i="2" s="1"/>
  <c r="A831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Q829" i="2"/>
  <c r="P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O829" i="2" s="1"/>
  <c r="A829" i="2"/>
  <c r="Q828" i="2"/>
  <c r="N828" i="2"/>
  <c r="P828" i="2" s="1"/>
  <c r="M828" i="2"/>
  <c r="L828" i="2"/>
  <c r="K828" i="2"/>
  <c r="J828" i="2"/>
  <c r="I828" i="2"/>
  <c r="H828" i="2"/>
  <c r="G828" i="2"/>
  <c r="F828" i="2"/>
  <c r="E828" i="2"/>
  <c r="D828" i="2"/>
  <c r="C828" i="2"/>
  <c r="B828" i="2"/>
  <c r="O828" i="2" s="1"/>
  <c r="A828" i="2"/>
  <c r="N827" i="2"/>
  <c r="M827" i="2"/>
  <c r="L827" i="2"/>
  <c r="Q827" i="2" s="1"/>
  <c r="K827" i="2"/>
  <c r="J827" i="2"/>
  <c r="I827" i="2"/>
  <c r="H827" i="2"/>
  <c r="G827" i="2"/>
  <c r="F827" i="2"/>
  <c r="E827" i="2"/>
  <c r="D827" i="2"/>
  <c r="C827" i="2"/>
  <c r="B827" i="2"/>
  <c r="O827" i="2" s="1"/>
  <c r="A827" i="2"/>
  <c r="O826" i="2"/>
  <c r="N826" i="2"/>
  <c r="M826" i="2"/>
  <c r="L826" i="2"/>
  <c r="Q826" i="2" s="1"/>
  <c r="K826" i="2"/>
  <c r="J826" i="2"/>
  <c r="I826" i="2"/>
  <c r="H826" i="2"/>
  <c r="G826" i="2"/>
  <c r="F826" i="2"/>
  <c r="E826" i="2"/>
  <c r="D826" i="2"/>
  <c r="C826" i="2"/>
  <c r="B826" i="2"/>
  <c r="A826" i="2"/>
  <c r="N825" i="2"/>
  <c r="P825" i="2" s="1"/>
  <c r="M825" i="2"/>
  <c r="L825" i="2"/>
  <c r="Q825" i="2" s="1"/>
  <c r="K825" i="2"/>
  <c r="J825" i="2"/>
  <c r="I825" i="2"/>
  <c r="H825" i="2"/>
  <c r="G825" i="2"/>
  <c r="F825" i="2"/>
  <c r="E825" i="2"/>
  <c r="D825" i="2"/>
  <c r="C825" i="2"/>
  <c r="B825" i="2"/>
  <c r="O825" i="2" s="1"/>
  <c r="A825" i="2"/>
  <c r="Q824" i="2"/>
  <c r="O824" i="2"/>
  <c r="N824" i="2"/>
  <c r="P824" i="2" s="1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O823" i="2"/>
  <c r="N823" i="2"/>
  <c r="M823" i="2"/>
  <c r="L823" i="2"/>
  <c r="Q823" i="2" s="1"/>
  <c r="K823" i="2"/>
  <c r="J823" i="2"/>
  <c r="I823" i="2"/>
  <c r="H823" i="2"/>
  <c r="G823" i="2"/>
  <c r="F823" i="2"/>
  <c r="E823" i="2"/>
  <c r="D823" i="2"/>
  <c r="C823" i="2"/>
  <c r="B823" i="2"/>
  <c r="A823" i="2"/>
  <c r="P822" i="2"/>
  <c r="N822" i="2"/>
  <c r="M822" i="2"/>
  <c r="L822" i="2"/>
  <c r="Q822" i="2" s="1"/>
  <c r="K822" i="2"/>
  <c r="J822" i="2"/>
  <c r="I822" i="2"/>
  <c r="H822" i="2"/>
  <c r="G822" i="2"/>
  <c r="F822" i="2"/>
  <c r="E822" i="2"/>
  <c r="D822" i="2"/>
  <c r="C822" i="2"/>
  <c r="B822" i="2"/>
  <c r="O822" i="2" s="1"/>
  <c r="A822" i="2"/>
  <c r="P821" i="2"/>
  <c r="N821" i="2"/>
  <c r="M821" i="2"/>
  <c r="L821" i="2"/>
  <c r="Q821" i="2" s="1"/>
  <c r="K821" i="2"/>
  <c r="J821" i="2"/>
  <c r="I821" i="2"/>
  <c r="H821" i="2"/>
  <c r="G821" i="2"/>
  <c r="F821" i="2"/>
  <c r="E821" i="2"/>
  <c r="D821" i="2"/>
  <c r="C821" i="2"/>
  <c r="B821" i="2"/>
  <c r="O821" i="2" s="1"/>
  <c r="A821" i="2"/>
  <c r="N820" i="2"/>
  <c r="M820" i="2"/>
  <c r="L820" i="2"/>
  <c r="Q820" i="2" s="1"/>
  <c r="K820" i="2"/>
  <c r="J820" i="2"/>
  <c r="I820" i="2"/>
  <c r="H820" i="2"/>
  <c r="G820" i="2"/>
  <c r="F820" i="2"/>
  <c r="E820" i="2"/>
  <c r="D820" i="2"/>
  <c r="C820" i="2"/>
  <c r="B820" i="2"/>
  <c r="O820" i="2" s="1"/>
  <c r="A820" i="2"/>
  <c r="N819" i="2"/>
  <c r="M819" i="2"/>
  <c r="L819" i="2"/>
  <c r="Q819" i="2" s="1"/>
  <c r="K819" i="2"/>
  <c r="J819" i="2"/>
  <c r="I819" i="2"/>
  <c r="H819" i="2"/>
  <c r="G819" i="2"/>
  <c r="F819" i="2"/>
  <c r="E819" i="2"/>
  <c r="D819" i="2"/>
  <c r="C819" i="2"/>
  <c r="B819" i="2"/>
  <c r="O819" i="2" s="1"/>
  <c r="A819" i="2"/>
  <c r="N818" i="2"/>
  <c r="P818" i="2" s="1"/>
  <c r="M818" i="2"/>
  <c r="L818" i="2"/>
  <c r="Q818" i="2" s="1"/>
  <c r="K818" i="2"/>
  <c r="J818" i="2"/>
  <c r="I818" i="2"/>
  <c r="H818" i="2"/>
  <c r="G818" i="2"/>
  <c r="F818" i="2"/>
  <c r="E818" i="2"/>
  <c r="D818" i="2"/>
  <c r="C818" i="2"/>
  <c r="B818" i="2"/>
  <c r="O818" i="2" s="1"/>
  <c r="A818" i="2"/>
  <c r="P817" i="2"/>
  <c r="N817" i="2"/>
  <c r="M817" i="2"/>
  <c r="L817" i="2"/>
  <c r="Q817" i="2" s="1"/>
  <c r="K817" i="2"/>
  <c r="J817" i="2"/>
  <c r="I817" i="2"/>
  <c r="H817" i="2"/>
  <c r="G817" i="2"/>
  <c r="F817" i="2"/>
  <c r="E817" i="2"/>
  <c r="D817" i="2"/>
  <c r="C817" i="2"/>
  <c r="B817" i="2"/>
  <c r="O817" i="2" s="1"/>
  <c r="A817" i="2"/>
  <c r="Q816" i="2"/>
  <c r="N816" i="2"/>
  <c r="P816" i="2" s="1"/>
  <c r="M816" i="2"/>
  <c r="L816" i="2"/>
  <c r="K816" i="2"/>
  <c r="J816" i="2"/>
  <c r="I816" i="2"/>
  <c r="H816" i="2"/>
  <c r="G816" i="2"/>
  <c r="F816" i="2"/>
  <c r="E816" i="2"/>
  <c r="D816" i="2"/>
  <c r="C816" i="2"/>
  <c r="B816" i="2"/>
  <c r="O816" i="2" s="1"/>
  <c r="A816" i="2"/>
  <c r="Q815" i="2"/>
  <c r="N815" i="2"/>
  <c r="P815" i="2" s="1"/>
  <c r="M815" i="2"/>
  <c r="L815" i="2"/>
  <c r="K815" i="2"/>
  <c r="J815" i="2"/>
  <c r="I815" i="2"/>
  <c r="H815" i="2"/>
  <c r="G815" i="2"/>
  <c r="F815" i="2"/>
  <c r="E815" i="2"/>
  <c r="D815" i="2"/>
  <c r="C815" i="2"/>
  <c r="B815" i="2"/>
  <c r="O815" i="2" s="1"/>
  <c r="A815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N813" i="2"/>
  <c r="M813" i="2"/>
  <c r="L813" i="2"/>
  <c r="Q813" i="2" s="1"/>
  <c r="K813" i="2"/>
  <c r="J813" i="2"/>
  <c r="I813" i="2"/>
  <c r="H813" i="2"/>
  <c r="G813" i="2"/>
  <c r="F813" i="2"/>
  <c r="E813" i="2"/>
  <c r="D813" i="2"/>
  <c r="C813" i="2"/>
  <c r="B813" i="2"/>
  <c r="O813" i="2" s="1"/>
  <c r="A813" i="2"/>
  <c r="N812" i="2"/>
  <c r="M812" i="2"/>
  <c r="L812" i="2"/>
  <c r="Q812" i="2" s="1"/>
  <c r="K812" i="2"/>
  <c r="J812" i="2"/>
  <c r="I812" i="2"/>
  <c r="H812" i="2"/>
  <c r="G812" i="2"/>
  <c r="F812" i="2"/>
  <c r="E812" i="2"/>
  <c r="D812" i="2"/>
  <c r="C812" i="2"/>
  <c r="B812" i="2"/>
  <c r="O812" i="2" s="1"/>
  <c r="A812" i="2"/>
  <c r="N811" i="2"/>
  <c r="M811" i="2"/>
  <c r="L811" i="2"/>
  <c r="Q811" i="2" s="1"/>
  <c r="K811" i="2"/>
  <c r="J811" i="2"/>
  <c r="I811" i="2"/>
  <c r="H811" i="2"/>
  <c r="G811" i="2"/>
  <c r="F811" i="2"/>
  <c r="E811" i="2"/>
  <c r="D811" i="2"/>
  <c r="C811" i="2"/>
  <c r="B811" i="2"/>
  <c r="O811" i="2" s="1"/>
  <c r="A811" i="2"/>
  <c r="N810" i="2"/>
  <c r="M810" i="2"/>
  <c r="L810" i="2"/>
  <c r="Q810" i="2" s="1"/>
  <c r="K810" i="2"/>
  <c r="J810" i="2"/>
  <c r="I810" i="2"/>
  <c r="H810" i="2"/>
  <c r="G810" i="2"/>
  <c r="F810" i="2"/>
  <c r="E810" i="2"/>
  <c r="D810" i="2"/>
  <c r="C810" i="2"/>
  <c r="B810" i="2"/>
  <c r="O810" i="2" s="1"/>
  <c r="A810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O809" i="2" s="1"/>
  <c r="A809" i="2"/>
  <c r="Q808" i="2"/>
  <c r="P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O808" i="2" s="1"/>
  <c r="A808" i="2"/>
  <c r="Q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O807" i="2" s="1"/>
  <c r="A807" i="2"/>
  <c r="Q806" i="2"/>
  <c r="P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O806" i="2" s="1"/>
  <c r="A806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O805" i="2" s="1"/>
  <c r="A805" i="2"/>
  <c r="N804" i="2"/>
  <c r="M804" i="2"/>
  <c r="L804" i="2"/>
  <c r="Q804" i="2" s="1"/>
  <c r="K804" i="2"/>
  <c r="J804" i="2"/>
  <c r="I804" i="2"/>
  <c r="H804" i="2"/>
  <c r="G804" i="2"/>
  <c r="F804" i="2"/>
  <c r="E804" i="2"/>
  <c r="D804" i="2"/>
  <c r="C804" i="2"/>
  <c r="B804" i="2"/>
  <c r="O804" i="2" s="1"/>
  <c r="A804" i="2"/>
  <c r="N803" i="2"/>
  <c r="M803" i="2"/>
  <c r="L803" i="2"/>
  <c r="Q803" i="2" s="1"/>
  <c r="K803" i="2"/>
  <c r="J803" i="2"/>
  <c r="I803" i="2"/>
  <c r="H803" i="2"/>
  <c r="G803" i="2"/>
  <c r="F803" i="2"/>
  <c r="E803" i="2"/>
  <c r="D803" i="2"/>
  <c r="C803" i="2"/>
  <c r="B803" i="2"/>
  <c r="O803" i="2" s="1"/>
  <c r="A803" i="2"/>
  <c r="O802" i="2"/>
  <c r="N802" i="2"/>
  <c r="M802" i="2"/>
  <c r="L802" i="2"/>
  <c r="Q802" i="2" s="1"/>
  <c r="K802" i="2"/>
  <c r="J802" i="2"/>
  <c r="I802" i="2"/>
  <c r="H802" i="2"/>
  <c r="G802" i="2"/>
  <c r="F802" i="2"/>
  <c r="E802" i="2"/>
  <c r="D802" i="2"/>
  <c r="C802" i="2"/>
  <c r="B802" i="2"/>
  <c r="A802" i="2"/>
  <c r="N801" i="2"/>
  <c r="P801" i="2" s="1"/>
  <c r="M801" i="2"/>
  <c r="L801" i="2"/>
  <c r="Q801" i="2" s="1"/>
  <c r="K801" i="2"/>
  <c r="J801" i="2"/>
  <c r="I801" i="2"/>
  <c r="H801" i="2"/>
  <c r="G801" i="2"/>
  <c r="F801" i="2"/>
  <c r="E801" i="2"/>
  <c r="D801" i="2"/>
  <c r="C801" i="2"/>
  <c r="B801" i="2"/>
  <c r="O801" i="2" s="1"/>
  <c r="A801" i="2"/>
  <c r="N800" i="2"/>
  <c r="P800" i="2" s="1"/>
  <c r="M800" i="2"/>
  <c r="L800" i="2"/>
  <c r="Q800" i="2" s="1"/>
  <c r="K800" i="2"/>
  <c r="J800" i="2"/>
  <c r="I800" i="2"/>
  <c r="H800" i="2"/>
  <c r="G800" i="2"/>
  <c r="F800" i="2"/>
  <c r="E800" i="2"/>
  <c r="D800" i="2"/>
  <c r="C800" i="2"/>
  <c r="B800" i="2"/>
  <c r="O800" i="2" s="1"/>
  <c r="A800" i="2"/>
  <c r="N799" i="2"/>
  <c r="M799" i="2"/>
  <c r="L799" i="2"/>
  <c r="Q799" i="2" s="1"/>
  <c r="K799" i="2"/>
  <c r="J799" i="2"/>
  <c r="I799" i="2"/>
  <c r="H799" i="2"/>
  <c r="G799" i="2"/>
  <c r="F799" i="2"/>
  <c r="E799" i="2"/>
  <c r="D799" i="2"/>
  <c r="C799" i="2"/>
  <c r="B799" i="2"/>
  <c r="O799" i="2" s="1"/>
  <c r="A799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O798" i="2" s="1"/>
  <c r="A798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O797" i="2" s="1"/>
  <c r="A797" i="2"/>
  <c r="N796" i="2"/>
  <c r="M796" i="2"/>
  <c r="L796" i="2"/>
  <c r="Q796" i="2" s="1"/>
  <c r="K796" i="2"/>
  <c r="J796" i="2"/>
  <c r="I796" i="2"/>
  <c r="H796" i="2"/>
  <c r="G796" i="2"/>
  <c r="F796" i="2"/>
  <c r="E796" i="2"/>
  <c r="D796" i="2"/>
  <c r="C796" i="2"/>
  <c r="B796" i="2"/>
  <c r="O796" i="2" s="1"/>
  <c r="A796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O795" i="2" s="1"/>
  <c r="A795" i="2"/>
  <c r="N794" i="2"/>
  <c r="M794" i="2"/>
  <c r="L794" i="2"/>
  <c r="Q794" i="2" s="1"/>
  <c r="K794" i="2"/>
  <c r="J794" i="2"/>
  <c r="I794" i="2"/>
  <c r="H794" i="2"/>
  <c r="G794" i="2"/>
  <c r="F794" i="2"/>
  <c r="E794" i="2"/>
  <c r="D794" i="2"/>
  <c r="C794" i="2"/>
  <c r="B794" i="2"/>
  <c r="O794" i="2" s="1"/>
  <c r="A794" i="2"/>
  <c r="O793" i="2"/>
  <c r="N793" i="2"/>
  <c r="P793" i="2" s="1"/>
  <c r="M793" i="2"/>
  <c r="L793" i="2"/>
  <c r="Q793" i="2" s="1"/>
  <c r="K793" i="2"/>
  <c r="J793" i="2"/>
  <c r="I793" i="2"/>
  <c r="H793" i="2"/>
  <c r="G793" i="2"/>
  <c r="F793" i="2"/>
  <c r="E793" i="2"/>
  <c r="D793" i="2"/>
  <c r="C793" i="2"/>
  <c r="B793" i="2"/>
  <c r="A793" i="2"/>
  <c r="P792" i="2"/>
  <c r="O792" i="2"/>
  <c r="N792" i="2"/>
  <c r="M792" i="2"/>
  <c r="L792" i="2"/>
  <c r="Q792" i="2" s="1"/>
  <c r="K792" i="2"/>
  <c r="J792" i="2"/>
  <c r="I792" i="2"/>
  <c r="H792" i="2"/>
  <c r="G792" i="2"/>
  <c r="F792" i="2"/>
  <c r="E792" i="2"/>
  <c r="D792" i="2"/>
  <c r="C792" i="2"/>
  <c r="B792" i="2"/>
  <c r="A792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O791" i="2" s="1"/>
  <c r="A791" i="2"/>
  <c r="N790" i="2"/>
  <c r="P790" i="2" s="1"/>
  <c r="M790" i="2"/>
  <c r="L790" i="2"/>
  <c r="Q790" i="2" s="1"/>
  <c r="K790" i="2"/>
  <c r="J790" i="2"/>
  <c r="I790" i="2"/>
  <c r="H790" i="2"/>
  <c r="G790" i="2"/>
  <c r="F790" i="2"/>
  <c r="E790" i="2"/>
  <c r="D790" i="2"/>
  <c r="C790" i="2"/>
  <c r="B790" i="2"/>
  <c r="O790" i="2" s="1"/>
  <c r="A790" i="2"/>
  <c r="N789" i="2"/>
  <c r="M789" i="2"/>
  <c r="L789" i="2"/>
  <c r="Q789" i="2" s="1"/>
  <c r="K789" i="2"/>
  <c r="J789" i="2"/>
  <c r="I789" i="2"/>
  <c r="H789" i="2"/>
  <c r="G789" i="2"/>
  <c r="F789" i="2"/>
  <c r="E789" i="2"/>
  <c r="D789" i="2"/>
  <c r="C789" i="2"/>
  <c r="B789" i="2"/>
  <c r="O789" i="2" s="1"/>
  <c r="A789" i="2"/>
  <c r="N788" i="2"/>
  <c r="P788" i="2" s="1"/>
  <c r="M788" i="2"/>
  <c r="L788" i="2"/>
  <c r="Q788" i="2" s="1"/>
  <c r="K788" i="2"/>
  <c r="J788" i="2"/>
  <c r="I788" i="2"/>
  <c r="H788" i="2"/>
  <c r="G788" i="2"/>
  <c r="F788" i="2"/>
  <c r="E788" i="2"/>
  <c r="D788" i="2"/>
  <c r="C788" i="2"/>
  <c r="B788" i="2"/>
  <c r="O788" i="2" s="1"/>
  <c r="A788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O787" i="2" s="1"/>
  <c r="A787" i="2"/>
  <c r="Q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O786" i="2" s="1"/>
  <c r="A786" i="2"/>
  <c r="N785" i="2"/>
  <c r="P785" i="2" s="1"/>
  <c r="M785" i="2"/>
  <c r="L785" i="2"/>
  <c r="Q785" i="2" s="1"/>
  <c r="K785" i="2"/>
  <c r="J785" i="2"/>
  <c r="I785" i="2"/>
  <c r="H785" i="2"/>
  <c r="G785" i="2"/>
  <c r="F785" i="2"/>
  <c r="E785" i="2"/>
  <c r="D785" i="2"/>
  <c r="C785" i="2"/>
  <c r="B785" i="2"/>
  <c r="O785" i="2" s="1"/>
  <c r="A785" i="2"/>
  <c r="N784" i="2"/>
  <c r="P784" i="2" s="1"/>
  <c r="M784" i="2"/>
  <c r="L784" i="2"/>
  <c r="Q784" i="2" s="1"/>
  <c r="K784" i="2"/>
  <c r="J784" i="2"/>
  <c r="I784" i="2"/>
  <c r="H784" i="2"/>
  <c r="G784" i="2"/>
  <c r="F784" i="2"/>
  <c r="E784" i="2"/>
  <c r="D784" i="2"/>
  <c r="C784" i="2"/>
  <c r="B784" i="2"/>
  <c r="O784" i="2" s="1"/>
  <c r="A784" i="2"/>
  <c r="P783" i="2"/>
  <c r="O783" i="2"/>
  <c r="N783" i="2"/>
  <c r="M783" i="2"/>
  <c r="L783" i="2"/>
  <c r="Q783" i="2" s="1"/>
  <c r="K783" i="2"/>
  <c r="J783" i="2"/>
  <c r="I783" i="2"/>
  <c r="H783" i="2"/>
  <c r="G783" i="2"/>
  <c r="F783" i="2"/>
  <c r="E783" i="2"/>
  <c r="D783" i="2"/>
  <c r="C783" i="2"/>
  <c r="B783" i="2"/>
  <c r="A783" i="2"/>
  <c r="Q782" i="2"/>
  <c r="P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O782" i="2" s="1"/>
  <c r="A782" i="2"/>
  <c r="Q781" i="2"/>
  <c r="P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O781" i="2" s="1"/>
  <c r="A781" i="2"/>
  <c r="N780" i="2"/>
  <c r="P780" i="2" s="1"/>
  <c r="M780" i="2"/>
  <c r="L780" i="2"/>
  <c r="Q780" i="2" s="1"/>
  <c r="K780" i="2"/>
  <c r="J780" i="2"/>
  <c r="I780" i="2"/>
  <c r="H780" i="2"/>
  <c r="G780" i="2"/>
  <c r="F780" i="2"/>
  <c r="E780" i="2"/>
  <c r="D780" i="2"/>
  <c r="C780" i="2"/>
  <c r="B780" i="2"/>
  <c r="O780" i="2" s="1"/>
  <c r="A780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O779" i="2" s="1"/>
  <c r="A779" i="2"/>
  <c r="Q778" i="2"/>
  <c r="N778" i="2"/>
  <c r="P778" i="2" s="1"/>
  <c r="M778" i="2"/>
  <c r="L778" i="2"/>
  <c r="K778" i="2"/>
  <c r="J778" i="2"/>
  <c r="I778" i="2"/>
  <c r="H778" i="2"/>
  <c r="G778" i="2"/>
  <c r="F778" i="2"/>
  <c r="E778" i="2"/>
  <c r="D778" i="2"/>
  <c r="C778" i="2"/>
  <c r="B778" i="2"/>
  <c r="O778" i="2" s="1"/>
  <c r="A778" i="2"/>
  <c r="N777" i="2"/>
  <c r="P777" i="2" s="1"/>
  <c r="M777" i="2"/>
  <c r="L777" i="2"/>
  <c r="Q777" i="2" s="1"/>
  <c r="K777" i="2"/>
  <c r="J777" i="2"/>
  <c r="I777" i="2"/>
  <c r="H777" i="2"/>
  <c r="G777" i="2"/>
  <c r="F777" i="2"/>
  <c r="E777" i="2"/>
  <c r="D777" i="2"/>
  <c r="C777" i="2"/>
  <c r="B777" i="2"/>
  <c r="O777" i="2" s="1"/>
  <c r="A777" i="2"/>
  <c r="N776" i="2"/>
  <c r="P776" i="2" s="1"/>
  <c r="M776" i="2"/>
  <c r="L776" i="2"/>
  <c r="Q776" i="2" s="1"/>
  <c r="K776" i="2"/>
  <c r="J776" i="2"/>
  <c r="I776" i="2"/>
  <c r="H776" i="2"/>
  <c r="G776" i="2"/>
  <c r="F776" i="2"/>
  <c r="E776" i="2"/>
  <c r="D776" i="2"/>
  <c r="C776" i="2"/>
  <c r="B776" i="2"/>
  <c r="O776" i="2" s="1"/>
  <c r="A776" i="2"/>
  <c r="Q775" i="2"/>
  <c r="O775" i="2"/>
  <c r="N775" i="2"/>
  <c r="P775" i="2" s="1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N774" i="2"/>
  <c r="P774" i="2" s="1"/>
  <c r="M774" i="2"/>
  <c r="L774" i="2"/>
  <c r="Q774" i="2" s="1"/>
  <c r="K774" i="2"/>
  <c r="J774" i="2"/>
  <c r="I774" i="2"/>
  <c r="H774" i="2"/>
  <c r="G774" i="2"/>
  <c r="F774" i="2"/>
  <c r="E774" i="2"/>
  <c r="D774" i="2"/>
  <c r="C774" i="2"/>
  <c r="B774" i="2"/>
  <c r="O774" i="2" s="1"/>
  <c r="A774" i="2"/>
  <c r="N773" i="2"/>
  <c r="P773" i="2" s="1"/>
  <c r="M773" i="2"/>
  <c r="L773" i="2"/>
  <c r="Q773" i="2" s="1"/>
  <c r="K773" i="2"/>
  <c r="J773" i="2"/>
  <c r="I773" i="2"/>
  <c r="H773" i="2"/>
  <c r="G773" i="2"/>
  <c r="F773" i="2"/>
  <c r="E773" i="2"/>
  <c r="D773" i="2"/>
  <c r="C773" i="2"/>
  <c r="B773" i="2"/>
  <c r="O773" i="2" s="1"/>
  <c r="A773" i="2"/>
  <c r="N772" i="2"/>
  <c r="P772" i="2" s="1"/>
  <c r="M772" i="2"/>
  <c r="L772" i="2"/>
  <c r="Q772" i="2" s="1"/>
  <c r="K772" i="2"/>
  <c r="J772" i="2"/>
  <c r="I772" i="2"/>
  <c r="H772" i="2"/>
  <c r="G772" i="2"/>
  <c r="F772" i="2"/>
  <c r="E772" i="2"/>
  <c r="D772" i="2"/>
  <c r="C772" i="2"/>
  <c r="B772" i="2"/>
  <c r="O772" i="2" s="1"/>
  <c r="A772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O771" i="2" s="1"/>
  <c r="A771" i="2"/>
  <c r="Q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O770" i="2" s="1"/>
  <c r="A770" i="2"/>
  <c r="N769" i="2"/>
  <c r="P769" i="2" s="1"/>
  <c r="M769" i="2"/>
  <c r="L769" i="2"/>
  <c r="Q769" i="2" s="1"/>
  <c r="K769" i="2"/>
  <c r="J769" i="2"/>
  <c r="I769" i="2"/>
  <c r="H769" i="2"/>
  <c r="G769" i="2"/>
  <c r="F769" i="2"/>
  <c r="E769" i="2"/>
  <c r="D769" i="2"/>
  <c r="C769" i="2"/>
  <c r="B769" i="2"/>
  <c r="O769" i="2" s="1"/>
  <c r="A769" i="2"/>
  <c r="N768" i="2"/>
  <c r="P768" i="2" s="1"/>
  <c r="M768" i="2"/>
  <c r="L768" i="2"/>
  <c r="Q768" i="2" s="1"/>
  <c r="K768" i="2"/>
  <c r="J768" i="2"/>
  <c r="I768" i="2"/>
  <c r="H768" i="2"/>
  <c r="G768" i="2"/>
  <c r="F768" i="2"/>
  <c r="E768" i="2"/>
  <c r="D768" i="2"/>
  <c r="C768" i="2"/>
  <c r="B768" i="2"/>
  <c r="O768" i="2" s="1"/>
  <c r="A768" i="2"/>
  <c r="P767" i="2"/>
  <c r="O767" i="2"/>
  <c r="N767" i="2"/>
  <c r="M767" i="2"/>
  <c r="L767" i="2"/>
  <c r="Q767" i="2" s="1"/>
  <c r="K767" i="2"/>
  <c r="J767" i="2"/>
  <c r="I767" i="2"/>
  <c r="H767" i="2"/>
  <c r="G767" i="2"/>
  <c r="F767" i="2"/>
  <c r="E767" i="2"/>
  <c r="D767" i="2"/>
  <c r="C767" i="2"/>
  <c r="B767" i="2"/>
  <c r="A767" i="2"/>
  <c r="Q766" i="2"/>
  <c r="P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O766" i="2" s="1"/>
  <c r="A766" i="2"/>
  <c r="Q765" i="2"/>
  <c r="P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O765" i="2" s="1"/>
  <c r="A765" i="2"/>
  <c r="N764" i="2"/>
  <c r="P764" i="2" s="1"/>
  <c r="M764" i="2"/>
  <c r="L764" i="2"/>
  <c r="Q764" i="2" s="1"/>
  <c r="K764" i="2"/>
  <c r="J764" i="2"/>
  <c r="I764" i="2"/>
  <c r="H764" i="2"/>
  <c r="G764" i="2"/>
  <c r="F764" i="2"/>
  <c r="E764" i="2"/>
  <c r="D764" i="2"/>
  <c r="C764" i="2"/>
  <c r="B764" i="2"/>
  <c r="O764" i="2" s="1"/>
  <c r="A764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O763" i="2" s="1"/>
  <c r="A763" i="2"/>
  <c r="Q762" i="2"/>
  <c r="N762" i="2"/>
  <c r="P762" i="2" s="1"/>
  <c r="M762" i="2"/>
  <c r="L762" i="2"/>
  <c r="K762" i="2"/>
  <c r="J762" i="2"/>
  <c r="I762" i="2"/>
  <c r="H762" i="2"/>
  <c r="G762" i="2"/>
  <c r="F762" i="2"/>
  <c r="E762" i="2"/>
  <c r="D762" i="2"/>
  <c r="C762" i="2"/>
  <c r="B762" i="2"/>
  <c r="O762" i="2" s="1"/>
  <c r="A762" i="2"/>
  <c r="N761" i="2"/>
  <c r="M761" i="2"/>
  <c r="L761" i="2"/>
  <c r="Q761" i="2" s="1"/>
  <c r="K761" i="2"/>
  <c r="J761" i="2"/>
  <c r="I761" i="2"/>
  <c r="H761" i="2"/>
  <c r="G761" i="2"/>
  <c r="F761" i="2"/>
  <c r="E761" i="2"/>
  <c r="D761" i="2"/>
  <c r="C761" i="2"/>
  <c r="B761" i="2"/>
  <c r="O761" i="2" s="1"/>
  <c r="A761" i="2"/>
  <c r="N760" i="2"/>
  <c r="P760" i="2" s="1"/>
  <c r="M760" i="2"/>
  <c r="L760" i="2"/>
  <c r="Q760" i="2" s="1"/>
  <c r="K760" i="2"/>
  <c r="J760" i="2"/>
  <c r="I760" i="2"/>
  <c r="H760" i="2"/>
  <c r="G760" i="2"/>
  <c r="F760" i="2"/>
  <c r="E760" i="2"/>
  <c r="D760" i="2"/>
  <c r="C760" i="2"/>
  <c r="B760" i="2"/>
  <c r="O760" i="2" s="1"/>
  <c r="A760" i="2"/>
  <c r="Q759" i="2"/>
  <c r="O759" i="2"/>
  <c r="N759" i="2"/>
  <c r="P759" i="2" s="1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N758" i="2"/>
  <c r="P758" i="2" s="1"/>
  <c r="M758" i="2"/>
  <c r="L758" i="2"/>
  <c r="Q758" i="2" s="1"/>
  <c r="K758" i="2"/>
  <c r="J758" i="2"/>
  <c r="I758" i="2"/>
  <c r="H758" i="2"/>
  <c r="G758" i="2"/>
  <c r="F758" i="2"/>
  <c r="E758" i="2"/>
  <c r="D758" i="2"/>
  <c r="C758" i="2"/>
  <c r="B758" i="2"/>
  <c r="O758" i="2" s="1"/>
  <c r="A758" i="2"/>
  <c r="N757" i="2"/>
  <c r="P757" i="2" s="1"/>
  <c r="M757" i="2"/>
  <c r="L757" i="2"/>
  <c r="Q757" i="2" s="1"/>
  <c r="K757" i="2"/>
  <c r="J757" i="2"/>
  <c r="I757" i="2"/>
  <c r="H757" i="2"/>
  <c r="G757" i="2"/>
  <c r="F757" i="2"/>
  <c r="E757" i="2"/>
  <c r="D757" i="2"/>
  <c r="C757" i="2"/>
  <c r="B757" i="2"/>
  <c r="O757" i="2" s="1"/>
  <c r="A757" i="2"/>
  <c r="N756" i="2"/>
  <c r="P756" i="2" s="1"/>
  <c r="M756" i="2"/>
  <c r="L756" i="2"/>
  <c r="Q756" i="2" s="1"/>
  <c r="K756" i="2"/>
  <c r="J756" i="2"/>
  <c r="I756" i="2"/>
  <c r="H756" i="2"/>
  <c r="G756" i="2"/>
  <c r="F756" i="2"/>
  <c r="E756" i="2"/>
  <c r="D756" i="2"/>
  <c r="C756" i="2"/>
  <c r="B756" i="2"/>
  <c r="O756" i="2" s="1"/>
  <c r="A756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O755" i="2" s="1"/>
  <c r="A755" i="2"/>
  <c r="Q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O754" i="2" s="1"/>
  <c r="A754" i="2"/>
  <c r="N753" i="2"/>
  <c r="P753" i="2" s="1"/>
  <c r="M753" i="2"/>
  <c r="L753" i="2"/>
  <c r="Q753" i="2" s="1"/>
  <c r="K753" i="2"/>
  <c r="J753" i="2"/>
  <c r="I753" i="2"/>
  <c r="H753" i="2"/>
  <c r="G753" i="2"/>
  <c r="F753" i="2"/>
  <c r="E753" i="2"/>
  <c r="D753" i="2"/>
  <c r="C753" i="2"/>
  <c r="B753" i="2"/>
  <c r="O753" i="2" s="1"/>
  <c r="A753" i="2"/>
  <c r="N752" i="2"/>
  <c r="P752" i="2" s="1"/>
  <c r="M752" i="2"/>
  <c r="L752" i="2"/>
  <c r="Q752" i="2" s="1"/>
  <c r="K752" i="2"/>
  <c r="J752" i="2"/>
  <c r="I752" i="2"/>
  <c r="H752" i="2"/>
  <c r="G752" i="2"/>
  <c r="F752" i="2"/>
  <c r="E752" i="2"/>
  <c r="D752" i="2"/>
  <c r="C752" i="2"/>
  <c r="B752" i="2"/>
  <c r="O752" i="2" s="1"/>
  <c r="A752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Q750" i="2"/>
  <c r="P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O750" i="2" s="1"/>
  <c r="A750" i="2"/>
  <c r="Q749" i="2"/>
  <c r="P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O749" i="2" s="1"/>
  <c r="A749" i="2"/>
  <c r="N748" i="2"/>
  <c r="P748" i="2" s="1"/>
  <c r="M748" i="2"/>
  <c r="L748" i="2"/>
  <c r="Q748" i="2" s="1"/>
  <c r="K748" i="2"/>
  <c r="J748" i="2"/>
  <c r="I748" i="2"/>
  <c r="H748" i="2"/>
  <c r="G748" i="2"/>
  <c r="F748" i="2"/>
  <c r="E748" i="2"/>
  <c r="D748" i="2"/>
  <c r="C748" i="2"/>
  <c r="B748" i="2"/>
  <c r="O748" i="2" s="1"/>
  <c r="A748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O747" i="2" s="1"/>
  <c r="A747" i="2"/>
  <c r="Q746" i="2"/>
  <c r="N746" i="2"/>
  <c r="P746" i="2" s="1"/>
  <c r="M746" i="2"/>
  <c r="L746" i="2"/>
  <c r="K746" i="2"/>
  <c r="J746" i="2"/>
  <c r="I746" i="2"/>
  <c r="H746" i="2"/>
  <c r="G746" i="2"/>
  <c r="F746" i="2"/>
  <c r="E746" i="2"/>
  <c r="D746" i="2"/>
  <c r="C746" i="2"/>
  <c r="B746" i="2"/>
  <c r="O746" i="2" s="1"/>
  <c r="A746" i="2"/>
  <c r="O745" i="2"/>
  <c r="N745" i="2"/>
  <c r="P745" i="2" s="1"/>
  <c r="M745" i="2"/>
  <c r="L745" i="2"/>
  <c r="Q745" i="2" s="1"/>
  <c r="K745" i="2"/>
  <c r="J745" i="2"/>
  <c r="I745" i="2"/>
  <c r="H745" i="2"/>
  <c r="G745" i="2"/>
  <c r="F745" i="2"/>
  <c r="E745" i="2"/>
  <c r="D745" i="2"/>
  <c r="C745" i="2"/>
  <c r="B745" i="2"/>
  <c r="A745" i="2"/>
  <c r="O744" i="2"/>
  <c r="N744" i="2"/>
  <c r="P744" i="2" s="1"/>
  <c r="M744" i="2"/>
  <c r="L744" i="2"/>
  <c r="Q744" i="2" s="1"/>
  <c r="K744" i="2"/>
  <c r="J744" i="2"/>
  <c r="I744" i="2"/>
  <c r="H744" i="2"/>
  <c r="G744" i="2"/>
  <c r="F744" i="2"/>
  <c r="E744" i="2"/>
  <c r="D744" i="2"/>
  <c r="C744" i="2"/>
  <c r="B744" i="2"/>
  <c r="A744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Q742" i="2"/>
  <c r="P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O742" i="2" s="1"/>
  <c r="A742" i="2"/>
  <c r="Q741" i="2"/>
  <c r="P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O741" i="2" s="1"/>
  <c r="A741" i="2"/>
  <c r="O740" i="2"/>
  <c r="N740" i="2"/>
  <c r="P740" i="2" s="1"/>
  <c r="M740" i="2"/>
  <c r="L740" i="2"/>
  <c r="Q740" i="2" s="1"/>
  <c r="K740" i="2"/>
  <c r="J740" i="2"/>
  <c r="I740" i="2"/>
  <c r="H740" i="2"/>
  <c r="G740" i="2"/>
  <c r="F740" i="2"/>
  <c r="E740" i="2"/>
  <c r="D740" i="2"/>
  <c r="C740" i="2"/>
  <c r="B740" i="2"/>
  <c r="A740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O739" i="2" s="1"/>
  <c r="A739" i="2"/>
  <c r="N738" i="2"/>
  <c r="M738" i="2"/>
  <c r="L738" i="2"/>
  <c r="Q738" i="2" s="1"/>
  <c r="K738" i="2"/>
  <c r="J738" i="2"/>
  <c r="I738" i="2"/>
  <c r="H738" i="2"/>
  <c r="G738" i="2"/>
  <c r="F738" i="2"/>
  <c r="E738" i="2"/>
  <c r="D738" i="2"/>
  <c r="C738" i="2"/>
  <c r="B738" i="2"/>
  <c r="O738" i="2" s="1"/>
  <c r="A738" i="2"/>
  <c r="N737" i="2"/>
  <c r="P737" i="2" s="1"/>
  <c r="M737" i="2"/>
  <c r="L737" i="2"/>
  <c r="Q737" i="2" s="1"/>
  <c r="K737" i="2"/>
  <c r="J737" i="2"/>
  <c r="I737" i="2"/>
  <c r="H737" i="2"/>
  <c r="G737" i="2"/>
  <c r="F737" i="2"/>
  <c r="E737" i="2"/>
  <c r="D737" i="2"/>
  <c r="C737" i="2"/>
  <c r="B737" i="2"/>
  <c r="O737" i="2" s="1"/>
  <c r="A737" i="2"/>
  <c r="N736" i="2"/>
  <c r="P736" i="2" s="1"/>
  <c r="M736" i="2"/>
  <c r="L736" i="2"/>
  <c r="Q736" i="2" s="1"/>
  <c r="K736" i="2"/>
  <c r="J736" i="2"/>
  <c r="I736" i="2"/>
  <c r="H736" i="2"/>
  <c r="G736" i="2"/>
  <c r="F736" i="2"/>
  <c r="E736" i="2"/>
  <c r="D736" i="2"/>
  <c r="C736" i="2"/>
  <c r="B736" i="2"/>
  <c r="O736" i="2" s="1"/>
  <c r="A736" i="2"/>
  <c r="O735" i="2"/>
  <c r="N735" i="2"/>
  <c r="P735" i="2" s="1"/>
  <c r="M735" i="2"/>
  <c r="L735" i="2"/>
  <c r="Q735" i="2" s="1"/>
  <c r="K735" i="2"/>
  <c r="J735" i="2"/>
  <c r="I735" i="2"/>
  <c r="H735" i="2"/>
  <c r="G735" i="2"/>
  <c r="F735" i="2"/>
  <c r="E735" i="2"/>
  <c r="D735" i="2"/>
  <c r="C735" i="2"/>
  <c r="B735" i="2"/>
  <c r="A735" i="2"/>
  <c r="P734" i="2"/>
  <c r="N734" i="2"/>
  <c r="M734" i="2"/>
  <c r="L734" i="2"/>
  <c r="Q734" i="2" s="1"/>
  <c r="K734" i="2"/>
  <c r="J734" i="2"/>
  <c r="I734" i="2"/>
  <c r="H734" i="2"/>
  <c r="G734" i="2"/>
  <c r="F734" i="2"/>
  <c r="E734" i="2"/>
  <c r="D734" i="2"/>
  <c r="C734" i="2"/>
  <c r="B734" i="2"/>
  <c r="O734" i="2" s="1"/>
  <c r="A734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O733" i="2" s="1"/>
  <c r="A733" i="2"/>
  <c r="N732" i="2"/>
  <c r="M732" i="2"/>
  <c r="L732" i="2"/>
  <c r="Q732" i="2" s="1"/>
  <c r="K732" i="2"/>
  <c r="J732" i="2"/>
  <c r="I732" i="2"/>
  <c r="H732" i="2"/>
  <c r="G732" i="2"/>
  <c r="F732" i="2"/>
  <c r="E732" i="2"/>
  <c r="D732" i="2"/>
  <c r="C732" i="2"/>
  <c r="B732" i="2"/>
  <c r="O732" i="2" s="1"/>
  <c r="A732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O731" i="2" s="1"/>
  <c r="A731" i="2"/>
  <c r="N730" i="2"/>
  <c r="P730" i="2" s="1"/>
  <c r="M730" i="2"/>
  <c r="L730" i="2"/>
  <c r="Q730" i="2" s="1"/>
  <c r="K730" i="2"/>
  <c r="J730" i="2"/>
  <c r="I730" i="2"/>
  <c r="H730" i="2"/>
  <c r="G730" i="2"/>
  <c r="F730" i="2"/>
  <c r="E730" i="2"/>
  <c r="D730" i="2"/>
  <c r="C730" i="2"/>
  <c r="B730" i="2"/>
  <c r="O730" i="2" s="1"/>
  <c r="A730" i="2"/>
  <c r="O729" i="2"/>
  <c r="N729" i="2"/>
  <c r="M729" i="2"/>
  <c r="L729" i="2"/>
  <c r="Q729" i="2" s="1"/>
  <c r="K729" i="2"/>
  <c r="J729" i="2"/>
  <c r="I729" i="2"/>
  <c r="H729" i="2"/>
  <c r="G729" i="2"/>
  <c r="F729" i="2"/>
  <c r="E729" i="2"/>
  <c r="D729" i="2"/>
  <c r="C729" i="2"/>
  <c r="B729" i="2"/>
  <c r="A729" i="2"/>
  <c r="P728" i="2"/>
  <c r="O728" i="2"/>
  <c r="N728" i="2"/>
  <c r="M728" i="2"/>
  <c r="L728" i="2"/>
  <c r="Q728" i="2" s="1"/>
  <c r="K728" i="2"/>
  <c r="J728" i="2"/>
  <c r="I728" i="2"/>
  <c r="H728" i="2"/>
  <c r="G728" i="2"/>
  <c r="F728" i="2"/>
  <c r="E728" i="2"/>
  <c r="D728" i="2"/>
  <c r="C728" i="2"/>
  <c r="B728" i="2"/>
  <c r="A728" i="2"/>
  <c r="Q727" i="2"/>
  <c r="O727" i="2"/>
  <c r="N727" i="2"/>
  <c r="P727" i="2" s="1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N726" i="2"/>
  <c r="P726" i="2" s="1"/>
  <c r="M726" i="2"/>
  <c r="L726" i="2"/>
  <c r="Q726" i="2" s="1"/>
  <c r="K726" i="2"/>
  <c r="J726" i="2"/>
  <c r="I726" i="2"/>
  <c r="H726" i="2"/>
  <c r="G726" i="2"/>
  <c r="F726" i="2"/>
  <c r="E726" i="2"/>
  <c r="D726" i="2"/>
  <c r="C726" i="2"/>
  <c r="B726" i="2"/>
  <c r="O726" i="2" s="1"/>
  <c r="A726" i="2"/>
  <c r="N725" i="2"/>
  <c r="P725" i="2" s="1"/>
  <c r="M725" i="2"/>
  <c r="L725" i="2"/>
  <c r="Q725" i="2" s="1"/>
  <c r="K725" i="2"/>
  <c r="J725" i="2"/>
  <c r="I725" i="2"/>
  <c r="H725" i="2"/>
  <c r="G725" i="2"/>
  <c r="F725" i="2"/>
  <c r="E725" i="2"/>
  <c r="D725" i="2"/>
  <c r="C725" i="2"/>
  <c r="B725" i="2"/>
  <c r="O725" i="2" s="1"/>
  <c r="A725" i="2"/>
  <c r="N724" i="2"/>
  <c r="M724" i="2"/>
  <c r="L724" i="2"/>
  <c r="Q724" i="2" s="1"/>
  <c r="K724" i="2"/>
  <c r="J724" i="2"/>
  <c r="I724" i="2"/>
  <c r="H724" i="2"/>
  <c r="G724" i="2"/>
  <c r="F724" i="2"/>
  <c r="E724" i="2"/>
  <c r="D724" i="2"/>
  <c r="C724" i="2"/>
  <c r="B724" i="2"/>
  <c r="O724" i="2" s="1"/>
  <c r="A724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O723" i="2" s="1"/>
  <c r="A723" i="2"/>
  <c r="N722" i="2"/>
  <c r="P722" i="2" s="1"/>
  <c r="M722" i="2"/>
  <c r="L722" i="2"/>
  <c r="Q722" i="2" s="1"/>
  <c r="K722" i="2"/>
  <c r="J722" i="2"/>
  <c r="I722" i="2"/>
  <c r="H722" i="2"/>
  <c r="G722" i="2"/>
  <c r="F722" i="2"/>
  <c r="E722" i="2"/>
  <c r="D722" i="2"/>
  <c r="C722" i="2"/>
  <c r="B722" i="2"/>
  <c r="O722" i="2" s="1"/>
  <c r="A722" i="2"/>
  <c r="N721" i="2"/>
  <c r="P721" i="2" s="1"/>
  <c r="M721" i="2"/>
  <c r="L721" i="2"/>
  <c r="Q721" i="2" s="1"/>
  <c r="K721" i="2"/>
  <c r="J721" i="2"/>
  <c r="I721" i="2"/>
  <c r="H721" i="2"/>
  <c r="G721" i="2"/>
  <c r="F721" i="2"/>
  <c r="E721" i="2"/>
  <c r="D721" i="2"/>
  <c r="C721" i="2"/>
  <c r="B721" i="2"/>
  <c r="O721" i="2" s="1"/>
  <c r="A721" i="2"/>
  <c r="N720" i="2"/>
  <c r="P720" i="2" s="1"/>
  <c r="M720" i="2"/>
  <c r="L720" i="2"/>
  <c r="Q720" i="2" s="1"/>
  <c r="K720" i="2"/>
  <c r="J720" i="2"/>
  <c r="I720" i="2"/>
  <c r="H720" i="2"/>
  <c r="G720" i="2"/>
  <c r="F720" i="2"/>
  <c r="E720" i="2"/>
  <c r="D720" i="2"/>
  <c r="C720" i="2"/>
  <c r="B720" i="2"/>
  <c r="O720" i="2" s="1"/>
  <c r="A720" i="2"/>
  <c r="Q719" i="2"/>
  <c r="P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O719" i="2" s="1"/>
  <c r="A719" i="2"/>
  <c r="Q718" i="2"/>
  <c r="P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O718" i="2" s="1"/>
  <c r="A718" i="2"/>
  <c r="Q717" i="2"/>
  <c r="P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O717" i="2" s="1"/>
  <c r="A717" i="2"/>
  <c r="N716" i="2"/>
  <c r="P716" i="2" s="1"/>
  <c r="M716" i="2"/>
  <c r="L716" i="2"/>
  <c r="Q716" i="2" s="1"/>
  <c r="K716" i="2"/>
  <c r="J716" i="2"/>
  <c r="I716" i="2"/>
  <c r="H716" i="2"/>
  <c r="G716" i="2"/>
  <c r="F716" i="2"/>
  <c r="E716" i="2"/>
  <c r="D716" i="2"/>
  <c r="C716" i="2"/>
  <c r="B716" i="2"/>
  <c r="O716" i="2" s="1"/>
  <c r="A716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O715" i="2" s="1"/>
  <c r="A715" i="2"/>
  <c r="N714" i="2"/>
  <c r="P714" i="2" s="1"/>
  <c r="M714" i="2"/>
  <c r="L714" i="2"/>
  <c r="Q714" i="2" s="1"/>
  <c r="K714" i="2"/>
  <c r="J714" i="2"/>
  <c r="I714" i="2"/>
  <c r="H714" i="2"/>
  <c r="G714" i="2"/>
  <c r="F714" i="2"/>
  <c r="E714" i="2"/>
  <c r="D714" i="2"/>
  <c r="C714" i="2"/>
  <c r="B714" i="2"/>
  <c r="O714" i="2" s="1"/>
  <c r="A714" i="2"/>
  <c r="N713" i="2"/>
  <c r="M713" i="2"/>
  <c r="L713" i="2"/>
  <c r="Q713" i="2" s="1"/>
  <c r="K713" i="2"/>
  <c r="J713" i="2"/>
  <c r="I713" i="2"/>
  <c r="H713" i="2"/>
  <c r="G713" i="2"/>
  <c r="F713" i="2"/>
  <c r="E713" i="2"/>
  <c r="D713" i="2"/>
  <c r="C713" i="2"/>
  <c r="B713" i="2"/>
  <c r="O713" i="2" s="1"/>
  <c r="A713" i="2"/>
  <c r="Q712" i="2"/>
  <c r="N712" i="2"/>
  <c r="P712" i="2" s="1"/>
  <c r="M712" i="2"/>
  <c r="L712" i="2"/>
  <c r="K712" i="2"/>
  <c r="J712" i="2"/>
  <c r="I712" i="2"/>
  <c r="H712" i="2"/>
  <c r="G712" i="2"/>
  <c r="F712" i="2"/>
  <c r="E712" i="2"/>
  <c r="D712" i="2"/>
  <c r="C712" i="2"/>
  <c r="B712" i="2"/>
  <c r="O712" i="2" s="1"/>
  <c r="A712" i="2"/>
  <c r="O711" i="2"/>
  <c r="N711" i="2"/>
  <c r="M711" i="2"/>
  <c r="L711" i="2"/>
  <c r="Q711" i="2" s="1"/>
  <c r="K711" i="2"/>
  <c r="J711" i="2"/>
  <c r="I711" i="2"/>
  <c r="H711" i="2"/>
  <c r="G711" i="2"/>
  <c r="F711" i="2"/>
  <c r="E711" i="2"/>
  <c r="D711" i="2"/>
  <c r="C711" i="2"/>
  <c r="B711" i="2"/>
  <c r="A711" i="2"/>
  <c r="N710" i="2"/>
  <c r="P710" i="2" s="1"/>
  <c r="M710" i="2"/>
  <c r="L710" i="2"/>
  <c r="Q710" i="2" s="1"/>
  <c r="K710" i="2"/>
  <c r="J710" i="2"/>
  <c r="I710" i="2"/>
  <c r="H710" i="2"/>
  <c r="G710" i="2"/>
  <c r="F710" i="2"/>
  <c r="E710" i="2"/>
  <c r="D710" i="2"/>
  <c r="C710" i="2"/>
  <c r="B710" i="2"/>
  <c r="O710" i="2" s="1"/>
  <c r="A710" i="2"/>
  <c r="N709" i="2"/>
  <c r="P709" i="2" s="1"/>
  <c r="M709" i="2"/>
  <c r="L709" i="2"/>
  <c r="Q709" i="2" s="1"/>
  <c r="K709" i="2"/>
  <c r="J709" i="2"/>
  <c r="I709" i="2"/>
  <c r="H709" i="2"/>
  <c r="G709" i="2"/>
  <c r="F709" i="2"/>
  <c r="E709" i="2"/>
  <c r="D709" i="2"/>
  <c r="C709" i="2"/>
  <c r="B709" i="2"/>
  <c r="O709" i="2" s="1"/>
  <c r="A709" i="2"/>
  <c r="N708" i="2"/>
  <c r="M708" i="2"/>
  <c r="L708" i="2"/>
  <c r="Q708" i="2" s="1"/>
  <c r="K708" i="2"/>
  <c r="J708" i="2"/>
  <c r="I708" i="2"/>
  <c r="H708" i="2"/>
  <c r="G708" i="2"/>
  <c r="F708" i="2"/>
  <c r="E708" i="2"/>
  <c r="D708" i="2"/>
  <c r="C708" i="2"/>
  <c r="B708" i="2"/>
  <c r="O708" i="2" s="1"/>
  <c r="A708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O707" i="2" s="1"/>
  <c r="A707" i="2"/>
  <c r="O706" i="2"/>
  <c r="N706" i="2"/>
  <c r="P706" i="2" s="1"/>
  <c r="M706" i="2"/>
  <c r="L706" i="2"/>
  <c r="Q706" i="2" s="1"/>
  <c r="K706" i="2"/>
  <c r="J706" i="2"/>
  <c r="I706" i="2"/>
  <c r="H706" i="2"/>
  <c r="G706" i="2"/>
  <c r="F706" i="2"/>
  <c r="E706" i="2"/>
  <c r="D706" i="2"/>
  <c r="C706" i="2"/>
  <c r="B706" i="2"/>
  <c r="A706" i="2"/>
  <c r="O705" i="2"/>
  <c r="N705" i="2"/>
  <c r="M705" i="2"/>
  <c r="L705" i="2"/>
  <c r="Q705" i="2" s="1"/>
  <c r="K705" i="2"/>
  <c r="J705" i="2"/>
  <c r="I705" i="2"/>
  <c r="H705" i="2"/>
  <c r="G705" i="2"/>
  <c r="F705" i="2"/>
  <c r="E705" i="2"/>
  <c r="D705" i="2"/>
  <c r="C705" i="2"/>
  <c r="B705" i="2"/>
  <c r="A705" i="2"/>
  <c r="Q704" i="2"/>
  <c r="O704" i="2"/>
  <c r="N704" i="2"/>
  <c r="P704" i="2" s="1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Q702" i="2"/>
  <c r="P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O702" i="2" s="1"/>
  <c r="A702" i="2"/>
  <c r="Q701" i="2"/>
  <c r="P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O701" i="2" s="1"/>
  <c r="A701" i="2"/>
  <c r="N700" i="2"/>
  <c r="P700" i="2" s="1"/>
  <c r="M700" i="2"/>
  <c r="L700" i="2"/>
  <c r="Q700" i="2" s="1"/>
  <c r="K700" i="2"/>
  <c r="J700" i="2"/>
  <c r="I700" i="2"/>
  <c r="H700" i="2"/>
  <c r="G700" i="2"/>
  <c r="F700" i="2"/>
  <c r="E700" i="2"/>
  <c r="D700" i="2"/>
  <c r="C700" i="2"/>
  <c r="B700" i="2"/>
  <c r="O700" i="2" s="1"/>
  <c r="A700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O699" i="2" s="1"/>
  <c r="A699" i="2"/>
  <c r="N698" i="2"/>
  <c r="P698" i="2" s="1"/>
  <c r="M698" i="2"/>
  <c r="L698" i="2"/>
  <c r="Q698" i="2" s="1"/>
  <c r="K698" i="2"/>
  <c r="J698" i="2"/>
  <c r="I698" i="2"/>
  <c r="H698" i="2"/>
  <c r="G698" i="2"/>
  <c r="F698" i="2"/>
  <c r="E698" i="2"/>
  <c r="D698" i="2"/>
  <c r="C698" i="2"/>
  <c r="B698" i="2"/>
  <c r="O698" i="2" s="1"/>
  <c r="A698" i="2"/>
  <c r="N697" i="2"/>
  <c r="M697" i="2"/>
  <c r="L697" i="2"/>
  <c r="Q697" i="2" s="1"/>
  <c r="K697" i="2"/>
  <c r="J697" i="2"/>
  <c r="I697" i="2"/>
  <c r="H697" i="2"/>
  <c r="G697" i="2"/>
  <c r="F697" i="2"/>
  <c r="E697" i="2"/>
  <c r="D697" i="2"/>
  <c r="C697" i="2"/>
  <c r="B697" i="2"/>
  <c r="O697" i="2" s="1"/>
  <c r="A697" i="2"/>
  <c r="Q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O696" i="2" s="1"/>
  <c r="A696" i="2"/>
  <c r="O695" i="2"/>
  <c r="N695" i="2"/>
  <c r="P695" i="2" s="1"/>
  <c r="M695" i="2"/>
  <c r="L695" i="2"/>
  <c r="Q695" i="2" s="1"/>
  <c r="K695" i="2"/>
  <c r="J695" i="2"/>
  <c r="I695" i="2"/>
  <c r="H695" i="2"/>
  <c r="G695" i="2"/>
  <c r="F695" i="2"/>
  <c r="E695" i="2"/>
  <c r="D695" i="2"/>
  <c r="C695" i="2"/>
  <c r="B695" i="2"/>
  <c r="A695" i="2"/>
  <c r="N694" i="2"/>
  <c r="P694" i="2" s="1"/>
  <c r="M694" i="2"/>
  <c r="L694" i="2"/>
  <c r="Q694" i="2" s="1"/>
  <c r="K694" i="2"/>
  <c r="J694" i="2"/>
  <c r="I694" i="2"/>
  <c r="H694" i="2"/>
  <c r="G694" i="2"/>
  <c r="F694" i="2"/>
  <c r="E694" i="2"/>
  <c r="D694" i="2"/>
  <c r="C694" i="2"/>
  <c r="B694" i="2"/>
  <c r="O694" i="2" s="1"/>
  <c r="A694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O693" i="2" s="1"/>
  <c r="A693" i="2"/>
  <c r="N692" i="2"/>
  <c r="M692" i="2"/>
  <c r="L692" i="2"/>
  <c r="Q692" i="2" s="1"/>
  <c r="K692" i="2"/>
  <c r="J692" i="2"/>
  <c r="I692" i="2"/>
  <c r="H692" i="2"/>
  <c r="G692" i="2"/>
  <c r="F692" i="2"/>
  <c r="E692" i="2"/>
  <c r="D692" i="2"/>
  <c r="C692" i="2"/>
  <c r="B692" i="2"/>
  <c r="O692" i="2" s="1"/>
  <c r="A692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O691" i="2" s="1"/>
  <c r="A691" i="2"/>
  <c r="O690" i="2"/>
  <c r="N690" i="2"/>
  <c r="P690" i="2" s="1"/>
  <c r="M690" i="2"/>
  <c r="L690" i="2"/>
  <c r="Q690" i="2" s="1"/>
  <c r="K690" i="2"/>
  <c r="J690" i="2"/>
  <c r="I690" i="2"/>
  <c r="H690" i="2"/>
  <c r="G690" i="2"/>
  <c r="F690" i="2"/>
  <c r="E690" i="2"/>
  <c r="D690" i="2"/>
  <c r="C690" i="2"/>
  <c r="B690" i="2"/>
  <c r="A690" i="2"/>
  <c r="O689" i="2"/>
  <c r="N689" i="2"/>
  <c r="P689" i="2" s="1"/>
  <c r="M689" i="2"/>
  <c r="L689" i="2"/>
  <c r="Q689" i="2" s="1"/>
  <c r="K689" i="2"/>
  <c r="J689" i="2"/>
  <c r="I689" i="2"/>
  <c r="H689" i="2"/>
  <c r="G689" i="2"/>
  <c r="F689" i="2"/>
  <c r="E689" i="2"/>
  <c r="D689" i="2"/>
  <c r="C689" i="2"/>
  <c r="B689" i="2"/>
  <c r="A689" i="2"/>
  <c r="P688" i="2"/>
  <c r="O688" i="2"/>
  <c r="N688" i="2"/>
  <c r="M688" i="2"/>
  <c r="L688" i="2"/>
  <c r="Q688" i="2" s="1"/>
  <c r="K688" i="2"/>
  <c r="J688" i="2"/>
  <c r="I688" i="2"/>
  <c r="H688" i="2"/>
  <c r="G688" i="2"/>
  <c r="F688" i="2"/>
  <c r="E688" i="2"/>
  <c r="D688" i="2"/>
  <c r="C688" i="2"/>
  <c r="B688" i="2"/>
  <c r="A688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Q686" i="2"/>
  <c r="P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O686" i="2" s="1"/>
  <c r="A686" i="2"/>
  <c r="Q685" i="2"/>
  <c r="P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O685" i="2" s="1"/>
  <c r="A685" i="2"/>
  <c r="N684" i="2"/>
  <c r="P684" i="2" s="1"/>
  <c r="M684" i="2"/>
  <c r="L684" i="2"/>
  <c r="Q684" i="2" s="1"/>
  <c r="K684" i="2"/>
  <c r="J684" i="2"/>
  <c r="I684" i="2"/>
  <c r="H684" i="2"/>
  <c r="G684" i="2"/>
  <c r="F684" i="2"/>
  <c r="E684" i="2"/>
  <c r="D684" i="2"/>
  <c r="C684" i="2"/>
  <c r="B684" i="2"/>
  <c r="O684" i="2" s="1"/>
  <c r="A684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O683" i="2" s="1"/>
  <c r="A683" i="2"/>
  <c r="N682" i="2"/>
  <c r="M682" i="2"/>
  <c r="L682" i="2"/>
  <c r="Q682" i="2" s="1"/>
  <c r="K682" i="2"/>
  <c r="J682" i="2"/>
  <c r="I682" i="2"/>
  <c r="H682" i="2"/>
  <c r="G682" i="2"/>
  <c r="F682" i="2"/>
  <c r="E682" i="2"/>
  <c r="D682" i="2"/>
  <c r="C682" i="2"/>
  <c r="B682" i="2"/>
  <c r="O682" i="2" s="1"/>
  <c r="A682" i="2"/>
  <c r="N681" i="2"/>
  <c r="M681" i="2"/>
  <c r="L681" i="2"/>
  <c r="Q681" i="2" s="1"/>
  <c r="K681" i="2"/>
  <c r="J681" i="2"/>
  <c r="I681" i="2"/>
  <c r="H681" i="2"/>
  <c r="G681" i="2"/>
  <c r="F681" i="2"/>
  <c r="E681" i="2"/>
  <c r="D681" i="2"/>
  <c r="C681" i="2"/>
  <c r="B681" i="2"/>
  <c r="O681" i="2" s="1"/>
  <c r="A681" i="2"/>
  <c r="N680" i="2"/>
  <c r="P680" i="2" s="1"/>
  <c r="M680" i="2"/>
  <c r="L680" i="2"/>
  <c r="Q680" i="2" s="1"/>
  <c r="K680" i="2"/>
  <c r="J680" i="2"/>
  <c r="I680" i="2"/>
  <c r="H680" i="2"/>
  <c r="G680" i="2"/>
  <c r="F680" i="2"/>
  <c r="E680" i="2"/>
  <c r="D680" i="2"/>
  <c r="C680" i="2"/>
  <c r="B680" i="2"/>
  <c r="O680" i="2" s="1"/>
  <c r="A680" i="2"/>
  <c r="N679" i="2"/>
  <c r="M679" i="2"/>
  <c r="L679" i="2"/>
  <c r="Q679" i="2" s="1"/>
  <c r="K679" i="2"/>
  <c r="J679" i="2"/>
  <c r="I679" i="2"/>
  <c r="H679" i="2"/>
  <c r="G679" i="2"/>
  <c r="F679" i="2"/>
  <c r="E679" i="2"/>
  <c r="D679" i="2"/>
  <c r="C679" i="2"/>
  <c r="B679" i="2"/>
  <c r="O679" i="2" s="1"/>
  <c r="A679" i="2"/>
  <c r="Q678" i="2"/>
  <c r="N678" i="2"/>
  <c r="P678" i="2" s="1"/>
  <c r="M678" i="2"/>
  <c r="L678" i="2"/>
  <c r="K678" i="2"/>
  <c r="J678" i="2"/>
  <c r="I678" i="2"/>
  <c r="H678" i="2"/>
  <c r="G678" i="2"/>
  <c r="F678" i="2"/>
  <c r="E678" i="2"/>
  <c r="D678" i="2"/>
  <c r="C678" i="2"/>
  <c r="B678" i="2"/>
  <c r="O678" i="2" s="1"/>
  <c r="A678" i="2"/>
  <c r="Q677" i="2"/>
  <c r="N677" i="2"/>
  <c r="P677" i="2" s="1"/>
  <c r="M677" i="2"/>
  <c r="L677" i="2"/>
  <c r="K677" i="2"/>
  <c r="J677" i="2"/>
  <c r="I677" i="2"/>
  <c r="H677" i="2"/>
  <c r="G677" i="2"/>
  <c r="F677" i="2"/>
  <c r="E677" i="2"/>
  <c r="D677" i="2"/>
  <c r="C677" i="2"/>
  <c r="B677" i="2"/>
  <c r="O677" i="2" s="1"/>
  <c r="A677" i="2"/>
  <c r="N676" i="2"/>
  <c r="P676" i="2" s="1"/>
  <c r="M676" i="2"/>
  <c r="L676" i="2"/>
  <c r="Q676" i="2" s="1"/>
  <c r="K676" i="2"/>
  <c r="J676" i="2"/>
  <c r="I676" i="2"/>
  <c r="H676" i="2"/>
  <c r="G676" i="2"/>
  <c r="F676" i="2"/>
  <c r="E676" i="2"/>
  <c r="D676" i="2"/>
  <c r="C676" i="2"/>
  <c r="B676" i="2"/>
  <c r="O676" i="2" s="1"/>
  <c r="A676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O675" i="2" s="1"/>
  <c r="A675" i="2"/>
  <c r="O674" i="2"/>
  <c r="N674" i="2"/>
  <c r="M674" i="2"/>
  <c r="L674" i="2"/>
  <c r="Q674" i="2" s="1"/>
  <c r="K674" i="2"/>
  <c r="J674" i="2"/>
  <c r="I674" i="2"/>
  <c r="H674" i="2"/>
  <c r="G674" i="2"/>
  <c r="F674" i="2"/>
  <c r="E674" i="2"/>
  <c r="D674" i="2"/>
  <c r="C674" i="2"/>
  <c r="B674" i="2"/>
  <c r="A674" i="2"/>
  <c r="N673" i="2"/>
  <c r="M673" i="2"/>
  <c r="L673" i="2"/>
  <c r="Q673" i="2" s="1"/>
  <c r="K673" i="2"/>
  <c r="J673" i="2"/>
  <c r="I673" i="2"/>
  <c r="H673" i="2"/>
  <c r="G673" i="2"/>
  <c r="F673" i="2"/>
  <c r="E673" i="2"/>
  <c r="D673" i="2"/>
  <c r="C673" i="2"/>
  <c r="B673" i="2"/>
  <c r="O673" i="2" s="1"/>
  <c r="A673" i="2"/>
  <c r="O672" i="2"/>
  <c r="N672" i="2"/>
  <c r="M672" i="2"/>
  <c r="L672" i="2"/>
  <c r="Q672" i="2" s="1"/>
  <c r="K672" i="2"/>
  <c r="J672" i="2"/>
  <c r="I672" i="2"/>
  <c r="H672" i="2"/>
  <c r="G672" i="2"/>
  <c r="F672" i="2"/>
  <c r="E672" i="2"/>
  <c r="D672" i="2"/>
  <c r="C672" i="2"/>
  <c r="B672" i="2"/>
  <c r="A672" i="2"/>
  <c r="N671" i="2"/>
  <c r="P671" i="2" s="1"/>
  <c r="M671" i="2"/>
  <c r="L671" i="2"/>
  <c r="Q671" i="2" s="1"/>
  <c r="K671" i="2"/>
  <c r="J671" i="2"/>
  <c r="I671" i="2"/>
  <c r="H671" i="2"/>
  <c r="G671" i="2"/>
  <c r="F671" i="2"/>
  <c r="E671" i="2"/>
  <c r="D671" i="2"/>
  <c r="C671" i="2"/>
  <c r="B671" i="2"/>
  <c r="O671" i="2" s="1"/>
  <c r="A671" i="2"/>
  <c r="Q670" i="2"/>
  <c r="N670" i="2"/>
  <c r="P670" i="2" s="1"/>
  <c r="M670" i="2"/>
  <c r="L670" i="2"/>
  <c r="K670" i="2"/>
  <c r="J670" i="2"/>
  <c r="I670" i="2"/>
  <c r="H670" i="2"/>
  <c r="G670" i="2"/>
  <c r="F670" i="2"/>
  <c r="E670" i="2"/>
  <c r="D670" i="2"/>
  <c r="C670" i="2"/>
  <c r="B670" i="2"/>
  <c r="O670" i="2" s="1"/>
  <c r="A670" i="2"/>
  <c r="Q669" i="2"/>
  <c r="N669" i="2"/>
  <c r="P669" i="2" s="1"/>
  <c r="M669" i="2"/>
  <c r="L669" i="2"/>
  <c r="K669" i="2"/>
  <c r="J669" i="2"/>
  <c r="I669" i="2"/>
  <c r="H669" i="2"/>
  <c r="G669" i="2"/>
  <c r="F669" i="2"/>
  <c r="E669" i="2"/>
  <c r="D669" i="2"/>
  <c r="C669" i="2"/>
  <c r="B669" i="2"/>
  <c r="O669" i="2" s="1"/>
  <c r="A669" i="2"/>
  <c r="N668" i="2"/>
  <c r="M668" i="2"/>
  <c r="L668" i="2"/>
  <c r="Q668" i="2" s="1"/>
  <c r="K668" i="2"/>
  <c r="J668" i="2"/>
  <c r="I668" i="2"/>
  <c r="H668" i="2"/>
  <c r="G668" i="2"/>
  <c r="F668" i="2"/>
  <c r="E668" i="2"/>
  <c r="D668" i="2"/>
  <c r="C668" i="2"/>
  <c r="B668" i="2"/>
  <c r="O668" i="2" s="1"/>
  <c r="A668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O667" i="2" s="1"/>
  <c r="A667" i="2"/>
  <c r="O666" i="2"/>
  <c r="N666" i="2"/>
  <c r="P666" i="2" s="1"/>
  <c r="M666" i="2"/>
  <c r="L666" i="2"/>
  <c r="Q666" i="2" s="1"/>
  <c r="K666" i="2"/>
  <c r="J666" i="2"/>
  <c r="I666" i="2"/>
  <c r="H666" i="2"/>
  <c r="G666" i="2"/>
  <c r="F666" i="2"/>
  <c r="E666" i="2"/>
  <c r="D666" i="2"/>
  <c r="C666" i="2"/>
  <c r="B666" i="2"/>
  <c r="A666" i="2"/>
  <c r="O665" i="2"/>
  <c r="N665" i="2"/>
  <c r="M665" i="2"/>
  <c r="L665" i="2"/>
  <c r="Q665" i="2" s="1"/>
  <c r="K665" i="2"/>
  <c r="J665" i="2"/>
  <c r="I665" i="2"/>
  <c r="H665" i="2"/>
  <c r="G665" i="2"/>
  <c r="F665" i="2"/>
  <c r="E665" i="2"/>
  <c r="D665" i="2"/>
  <c r="C665" i="2"/>
  <c r="B665" i="2"/>
  <c r="A665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Q663" i="2"/>
  <c r="N663" i="2"/>
  <c r="P663" i="2" s="1"/>
  <c r="M663" i="2"/>
  <c r="L663" i="2"/>
  <c r="K663" i="2"/>
  <c r="J663" i="2"/>
  <c r="I663" i="2"/>
  <c r="H663" i="2"/>
  <c r="G663" i="2"/>
  <c r="F663" i="2"/>
  <c r="E663" i="2"/>
  <c r="D663" i="2"/>
  <c r="C663" i="2"/>
  <c r="B663" i="2"/>
  <c r="O663" i="2" s="1"/>
  <c r="A663" i="2"/>
  <c r="Q662" i="2"/>
  <c r="N662" i="2"/>
  <c r="P662" i="2" s="1"/>
  <c r="M662" i="2"/>
  <c r="L662" i="2"/>
  <c r="K662" i="2"/>
  <c r="J662" i="2"/>
  <c r="I662" i="2"/>
  <c r="H662" i="2"/>
  <c r="G662" i="2"/>
  <c r="F662" i="2"/>
  <c r="E662" i="2"/>
  <c r="D662" i="2"/>
  <c r="C662" i="2"/>
  <c r="B662" i="2"/>
  <c r="O662" i="2" s="1"/>
  <c r="A662" i="2"/>
  <c r="Q661" i="2"/>
  <c r="N661" i="2"/>
  <c r="P661" i="2" s="1"/>
  <c r="M661" i="2"/>
  <c r="L661" i="2"/>
  <c r="K661" i="2"/>
  <c r="J661" i="2"/>
  <c r="I661" i="2"/>
  <c r="H661" i="2"/>
  <c r="G661" i="2"/>
  <c r="F661" i="2"/>
  <c r="E661" i="2"/>
  <c r="D661" i="2"/>
  <c r="C661" i="2"/>
  <c r="B661" i="2"/>
  <c r="O661" i="2" s="1"/>
  <c r="A661" i="2"/>
  <c r="N660" i="2"/>
  <c r="M660" i="2"/>
  <c r="L660" i="2"/>
  <c r="Q660" i="2" s="1"/>
  <c r="K660" i="2"/>
  <c r="J660" i="2"/>
  <c r="I660" i="2"/>
  <c r="H660" i="2"/>
  <c r="G660" i="2"/>
  <c r="F660" i="2"/>
  <c r="E660" i="2"/>
  <c r="D660" i="2"/>
  <c r="C660" i="2"/>
  <c r="B660" i="2"/>
  <c r="O660" i="2" s="1"/>
  <c r="A660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O659" i="2" s="1"/>
  <c r="A659" i="2"/>
  <c r="N658" i="2"/>
  <c r="M658" i="2"/>
  <c r="L658" i="2"/>
  <c r="Q658" i="2" s="1"/>
  <c r="K658" i="2"/>
  <c r="J658" i="2"/>
  <c r="I658" i="2"/>
  <c r="H658" i="2"/>
  <c r="G658" i="2"/>
  <c r="F658" i="2"/>
  <c r="E658" i="2"/>
  <c r="D658" i="2"/>
  <c r="C658" i="2"/>
  <c r="B658" i="2"/>
  <c r="O658" i="2" s="1"/>
  <c r="A658" i="2"/>
  <c r="N657" i="2"/>
  <c r="M657" i="2"/>
  <c r="L657" i="2"/>
  <c r="Q657" i="2" s="1"/>
  <c r="K657" i="2"/>
  <c r="J657" i="2"/>
  <c r="I657" i="2"/>
  <c r="H657" i="2"/>
  <c r="G657" i="2"/>
  <c r="F657" i="2"/>
  <c r="E657" i="2"/>
  <c r="D657" i="2"/>
  <c r="C657" i="2"/>
  <c r="B657" i="2"/>
  <c r="O657" i="2" s="1"/>
  <c r="A657" i="2"/>
  <c r="N656" i="2"/>
  <c r="M656" i="2"/>
  <c r="L656" i="2"/>
  <c r="Q656" i="2" s="1"/>
  <c r="K656" i="2"/>
  <c r="J656" i="2"/>
  <c r="I656" i="2"/>
  <c r="H656" i="2"/>
  <c r="G656" i="2"/>
  <c r="F656" i="2"/>
  <c r="E656" i="2"/>
  <c r="D656" i="2"/>
  <c r="C656" i="2"/>
  <c r="B656" i="2"/>
  <c r="O656" i="2" s="1"/>
  <c r="A656" i="2"/>
  <c r="N655" i="2"/>
  <c r="M655" i="2"/>
  <c r="L655" i="2"/>
  <c r="Q655" i="2" s="1"/>
  <c r="K655" i="2"/>
  <c r="J655" i="2"/>
  <c r="I655" i="2"/>
  <c r="H655" i="2"/>
  <c r="G655" i="2"/>
  <c r="F655" i="2"/>
  <c r="E655" i="2"/>
  <c r="D655" i="2"/>
  <c r="C655" i="2"/>
  <c r="B655" i="2"/>
  <c r="O655" i="2" s="1"/>
  <c r="A655" i="2"/>
  <c r="N654" i="2"/>
  <c r="P654" i="2" s="1"/>
  <c r="M654" i="2"/>
  <c r="L654" i="2"/>
  <c r="Q654" i="2" s="1"/>
  <c r="K654" i="2"/>
  <c r="J654" i="2"/>
  <c r="I654" i="2"/>
  <c r="H654" i="2"/>
  <c r="G654" i="2"/>
  <c r="F654" i="2"/>
  <c r="E654" i="2"/>
  <c r="D654" i="2"/>
  <c r="C654" i="2"/>
  <c r="B654" i="2"/>
  <c r="O654" i="2" s="1"/>
  <c r="A654" i="2"/>
  <c r="N653" i="2"/>
  <c r="P653" i="2" s="1"/>
  <c r="M653" i="2"/>
  <c r="L653" i="2"/>
  <c r="Q653" i="2" s="1"/>
  <c r="K653" i="2"/>
  <c r="J653" i="2"/>
  <c r="I653" i="2"/>
  <c r="H653" i="2"/>
  <c r="G653" i="2"/>
  <c r="F653" i="2"/>
  <c r="E653" i="2"/>
  <c r="D653" i="2"/>
  <c r="C653" i="2"/>
  <c r="B653" i="2"/>
  <c r="O653" i="2" s="1"/>
  <c r="A653" i="2"/>
  <c r="N652" i="2"/>
  <c r="P652" i="2" s="1"/>
  <c r="M652" i="2"/>
  <c r="L652" i="2"/>
  <c r="Q652" i="2" s="1"/>
  <c r="K652" i="2"/>
  <c r="J652" i="2"/>
  <c r="I652" i="2"/>
  <c r="H652" i="2"/>
  <c r="G652" i="2"/>
  <c r="F652" i="2"/>
  <c r="E652" i="2"/>
  <c r="D652" i="2"/>
  <c r="C652" i="2"/>
  <c r="B652" i="2"/>
  <c r="O652" i="2" s="1"/>
  <c r="A652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O651" i="2" s="1"/>
  <c r="A651" i="2"/>
  <c r="N650" i="2"/>
  <c r="P650" i="2" s="1"/>
  <c r="M650" i="2"/>
  <c r="L650" i="2"/>
  <c r="Q650" i="2" s="1"/>
  <c r="K650" i="2"/>
  <c r="J650" i="2"/>
  <c r="I650" i="2"/>
  <c r="H650" i="2"/>
  <c r="G650" i="2"/>
  <c r="F650" i="2"/>
  <c r="E650" i="2"/>
  <c r="D650" i="2"/>
  <c r="C650" i="2"/>
  <c r="B650" i="2"/>
  <c r="O650" i="2" s="1"/>
  <c r="A650" i="2"/>
  <c r="O649" i="2"/>
  <c r="N649" i="2"/>
  <c r="M649" i="2"/>
  <c r="L649" i="2"/>
  <c r="Q649" i="2" s="1"/>
  <c r="K649" i="2"/>
  <c r="J649" i="2"/>
  <c r="I649" i="2"/>
  <c r="H649" i="2"/>
  <c r="G649" i="2"/>
  <c r="F649" i="2"/>
  <c r="E649" i="2"/>
  <c r="D649" i="2"/>
  <c r="C649" i="2"/>
  <c r="B649" i="2"/>
  <c r="A649" i="2"/>
  <c r="O648" i="2"/>
  <c r="N648" i="2"/>
  <c r="M648" i="2"/>
  <c r="L648" i="2"/>
  <c r="Q648" i="2" s="1"/>
  <c r="K648" i="2"/>
  <c r="J648" i="2"/>
  <c r="I648" i="2"/>
  <c r="H648" i="2"/>
  <c r="G648" i="2"/>
  <c r="F648" i="2"/>
  <c r="E648" i="2"/>
  <c r="D648" i="2"/>
  <c r="C648" i="2"/>
  <c r="B648" i="2"/>
  <c r="A648" i="2"/>
  <c r="N647" i="2"/>
  <c r="P647" i="2" s="1"/>
  <c r="M647" i="2"/>
  <c r="L647" i="2"/>
  <c r="Q647" i="2" s="1"/>
  <c r="K647" i="2"/>
  <c r="J647" i="2"/>
  <c r="I647" i="2"/>
  <c r="H647" i="2"/>
  <c r="G647" i="2"/>
  <c r="F647" i="2"/>
  <c r="E647" i="2"/>
  <c r="D647" i="2"/>
  <c r="C647" i="2"/>
  <c r="B647" i="2"/>
  <c r="O647" i="2" s="1"/>
  <c r="A647" i="2"/>
  <c r="Q646" i="2"/>
  <c r="N646" i="2"/>
  <c r="P646" i="2" s="1"/>
  <c r="M646" i="2"/>
  <c r="L646" i="2"/>
  <c r="K646" i="2"/>
  <c r="J646" i="2"/>
  <c r="I646" i="2"/>
  <c r="H646" i="2"/>
  <c r="G646" i="2"/>
  <c r="F646" i="2"/>
  <c r="E646" i="2"/>
  <c r="D646" i="2"/>
  <c r="C646" i="2"/>
  <c r="B646" i="2"/>
  <c r="O646" i="2" s="1"/>
  <c r="A646" i="2"/>
  <c r="Q645" i="2"/>
  <c r="N645" i="2"/>
  <c r="P645" i="2" s="1"/>
  <c r="M645" i="2"/>
  <c r="L645" i="2"/>
  <c r="K645" i="2"/>
  <c r="J645" i="2"/>
  <c r="I645" i="2"/>
  <c r="H645" i="2"/>
  <c r="G645" i="2"/>
  <c r="F645" i="2"/>
  <c r="E645" i="2"/>
  <c r="D645" i="2"/>
  <c r="C645" i="2"/>
  <c r="B645" i="2"/>
  <c r="O645" i="2" s="1"/>
  <c r="A645" i="2"/>
  <c r="N644" i="2"/>
  <c r="M644" i="2"/>
  <c r="L644" i="2"/>
  <c r="Q644" i="2" s="1"/>
  <c r="K644" i="2"/>
  <c r="J644" i="2"/>
  <c r="I644" i="2"/>
  <c r="H644" i="2"/>
  <c r="G644" i="2"/>
  <c r="F644" i="2"/>
  <c r="E644" i="2"/>
  <c r="D644" i="2"/>
  <c r="C644" i="2"/>
  <c r="B644" i="2"/>
  <c r="O644" i="2" s="1"/>
  <c r="A644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O643" i="2" s="1"/>
  <c r="A643" i="2"/>
  <c r="N642" i="2"/>
  <c r="M642" i="2"/>
  <c r="L642" i="2"/>
  <c r="Q642" i="2" s="1"/>
  <c r="K642" i="2"/>
  <c r="J642" i="2"/>
  <c r="I642" i="2"/>
  <c r="H642" i="2"/>
  <c r="G642" i="2"/>
  <c r="F642" i="2"/>
  <c r="E642" i="2"/>
  <c r="D642" i="2"/>
  <c r="C642" i="2"/>
  <c r="B642" i="2"/>
  <c r="O642" i="2" s="1"/>
  <c r="A642" i="2"/>
  <c r="O641" i="2"/>
  <c r="N641" i="2"/>
  <c r="P641" i="2" s="1"/>
  <c r="M641" i="2"/>
  <c r="L641" i="2"/>
  <c r="Q641" i="2" s="1"/>
  <c r="K641" i="2"/>
  <c r="J641" i="2"/>
  <c r="I641" i="2"/>
  <c r="H641" i="2"/>
  <c r="G641" i="2"/>
  <c r="F641" i="2"/>
  <c r="E641" i="2"/>
  <c r="D641" i="2"/>
  <c r="C641" i="2"/>
  <c r="B641" i="2"/>
  <c r="A641" i="2"/>
  <c r="N640" i="2"/>
  <c r="P640" i="2" s="1"/>
  <c r="M640" i="2"/>
  <c r="L640" i="2"/>
  <c r="Q640" i="2" s="1"/>
  <c r="K640" i="2"/>
  <c r="J640" i="2"/>
  <c r="I640" i="2"/>
  <c r="H640" i="2"/>
  <c r="G640" i="2"/>
  <c r="F640" i="2"/>
  <c r="E640" i="2"/>
  <c r="D640" i="2"/>
  <c r="C640" i="2"/>
  <c r="B640" i="2"/>
  <c r="O640" i="2" s="1"/>
  <c r="A640" i="2"/>
  <c r="Q639" i="2"/>
  <c r="O639" i="2"/>
  <c r="N639" i="2"/>
  <c r="P639" i="2" s="1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Q638" i="2"/>
  <c r="N638" i="2"/>
  <c r="P638" i="2" s="1"/>
  <c r="M638" i="2"/>
  <c r="L638" i="2"/>
  <c r="K638" i="2"/>
  <c r="J638" i="2"/>
  <c r="I638" i="2"/>
  <c r="H638" i="2"/>
  <c r="G638" i="2"/>
  <c r="F638" i="2"/>
  <c r="E638" i="2"/>
  <c r="D638" i="2"/>
  <c r="C638" i="2"/>
  <c r="B638" i="2"/>
  <c r="O638" i="2" s="1"/>
  <c r="A638" i="2"/>
  <c r="Q637" i="2"/>
  <c r="N637" i="2"/>
  <c r="P637" i="2" s="1"/>
  <c r="M637" i="2"/>
  <c r="L637" i="2"/>
  <c r="K637" i="2"/>
  <c r="J637" i="2"/>
  <c r="I637" i="2"/>
  <c r="H637" i="2"/>
  <c r="G637" i="2"/>
  <c r="F637" i="2"/>
  <c r="E637" i="2"/>
  <c r="D637" i="2"/>
  <c r="C637" i="2"/>
  <c r="B637" i="2"/>
  <c r="O637" i="2" s="1"/>
  <c r="A637" i="2"/>
  <c r="N636" i="2"/>
  <c r="M636" i="2"/>
  <c r="L636" i="2"/>
  <c r="Q636" i="2" s="1"/>
  <c r="K636" i="2"/>
  <c r="J636" i="2"/>
  <c r="I636" i="2"/>
  <c r="H636" i="2"/>
  <c r="G636" i="2"/>
  <c r="F636" i="2"/>
  <c r="E636" i="2"/>
  <c r="D636" i="2"/>
  <c r="C636" i="2"/>
  <c r="B636" i="2"/>
  <c r="O636" i="2" s="1"/>
  <c r="A636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O635" i="2" s="1"/>
  <c r="A635" i="2"/>
  <c r="N634" i="2"/>
  <c r="P634" i="2" s="1"/>
  <c r="M634" i="2"/>
  <c r="L634" i="2"/>
  <c r="Q634" i="2" s="1"/>
  <c r="K634" i="2"/>
  <c r="J634" i="2"/>
  <c r="I634" i="2"/>
  <c r="H634" i="2"/>
  <c r="G634" i="2"/>
  <c r="F634" i="2"/>
  <c r="E634" i="2"/>
  <c r="D634" i="2"/>
  <c r="C634" i="2"/>
  <c r="B634" i="2"/>
  <c r="O634" i="2" s="1"/>
  <c r="A634" i="2"/>
  <c r="O633" i="2"/>
  <c r="N633" i="2"/>
  <c r="M633" i="2"/>
  <c r="L633" i="2"/>
  <c r="Q633" i="2" s="1"/>
  <c r="K633" i="2"/>
  <c r="J633" i="2"/>
  <c r="I633" i="2"/>
  <c r="H633" i="2"/>
  <c r="G633" i="2"/>
  <c r="F633" i="2"/>
  <c r="E633" i="2"/>
  <c r="D633" i="2"/>
  <c r="C633" i="2"/>
  <c r="B633" i="2"/>
  <c r="A633" i="2"/>
  <c r="P632" i="2"/>
  <c r="O632" i="2"/>
  <c r="N632" i="2"/>
  <c r="M632" i="2"/>
  <c r="L632" i="2"/>
  <c r="Q632" i="2" s="1"/>
  <c r="K632" i="2"/>
  <c r="J632" i="2"/>
  <c r="I632" i="2"/>
  <c r="H632" i="2"/>
  <c r="G632" i="2"/>
  <c r="F632" i="2"/>
  <c r="E632" i="2"/>
  <c r="D632" i="2"/>
  <c r="C632" i="2"/>
  <c r="B632" i="2"/>
  <c r="A632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Q630" i="2"/>
  <c r="P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O630" i="2" s="1"/>
  <c r="A630" i="2"/>
  <c r="Q629" i="2"/>
  <c r="P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O629" i="2" s="1"/>
  <c r="A629" i="2"/>
  <c r="N628" i="2"/>
  <c r="M628" i="2"/>
  <c r="L628" i="2"/>
  <c r="Q628" i="2" s="1"/>
  <c r="K628" i="2"/>
  <c r="J628" i="2"/>
  <c r="I628" i="2"/>
  <c r="H628" i="2"/>
  <c r="G628" i="2"/>
  <c r="F628" i="2"/>
  <c r="E628" i="2"/>
  <c r="D628" i="2"/>
  <c r="C628" i="2"/>
  <c r="B628" i="2"/>
  <c r="O628" i="2" s="1"/>
  <c r="A628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O627" i="2" s="1"/>
  <c r="A627" i="2"/>
  <c r="N626" i="2"/>
  <c r="M626" i="2"/>
  <c r="L626" i="2"/>
  <c r="Q626" i="2" s="1"/>
  <c r="K626" i="2"/>
  <c r="J626" i="2"/>
  <c r="I626" i="2"/>
  <c r="H626" i="2"/>
  <c r="G626" i="2"/>
  <c r="F626" i="2"/>
  <c r="E626" i="2"/>
  <c r="D626" i="2"/>
  <c r="C626" i="2"/>
  <c r="B626" i="2"/>
  <c r="O626" i="2" s="1"/>
  <c r="A626" i="2"/>
  <c r="N625" i="2"/>
  <c r="P625" i="2" s="1"/>
  <c r="M625" i="2"/>
  <c r="L625" i="2"/>
  <c r="Q625" i="2" s="1"/>
  <c r="K625" i="2"/>
  <c r="J625" i="2"/>
  <c r="I625" i="2"/>
  <c r="H625" i="2"/>
  <c r="G625" i="2"/>
  <c r="F625" i="2"/>
  <c r="E625" i="2"/>
  <c r="D625" i="2"/>
  <c r="C625" i="2"/>
  <c r="B625" i="2"/>
  <c r="O625" i="2" s="1"/>
  <c r="A625" i="2"/>
  <c r="O624" i="2"/>
  <c r="N624" i="2"/>
  <c r="P624" i="2" s="1"/>
  <c r="M624" i="2"/>
  <c r="L624" i="2"/>
  <c r="Q624" i="2" s="1"/>
  <c r="K624" i="2"/>
  <c r="J624" i="2"/>
  <c r="I624" i="2"/>
  <c r="H624" i="2"/>
  <c r="G624" i="2"/>
  <c r="F624" i="2"/>
  <c r="E624" i="2"/>
  <c r="D624" i="2"/>
  <c r="C624" i="2"/>
  <c r="B624" i="2"/>
  <c r="A624" i="2"/>
  <c r="Q623" i="2"/>
  <c r="P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O623" i="2" s="1"/>
  <c r="A623" i="2"/>
  <c r="Q622" i="2"/>
  <c r="N622" i="2"/>
  <c r="P622" i="2" s="1"/>
  <c r="M622" i="2"/>
  <c r="L622" i="2"/>
  <c r="K622" i="2"/>
  <c r="J622" i="2"/>
  <c r="I622" i="2"/>
  <c r="H622" i="2"/>
  <c r="G622" i="2"/>
  <c r="F622" i="2"/>
  <c r="E622" i="2"/>
  <c r="D622" i="2"/>
  <c r="C622" i="2"/>
  <c r="B622" i="2"/>
  <c r="O622" i="2" s="1"/>
  <c r="A622" i="2"/>
  <c r="Q621" i="2"/>
  <c r="N621" i="2"/>
  <c r="P621" i="2" s="1"/>
  <c r="M621" i="2"/>
  <c r="L621" i="2"/>
  <c r="K621" i="2"/>
  <c r="J621" i="2"/>
  <c r="I621" i="2"/>
  <c r="H621" i="2"/>
  <c r="G621" i="2"/>
  <c r="F621" i="2"/>
  <c r="E621" i="2"/>
  <c r="D621" i="2"/>
  <c r="C621" i="2"/>
  <c r="B621" i="2"/>
  <c r="O621" i="2" s="1"/>
  <c r="A621" i="2"/>
  <c r="N620" i="2"/>
  <c r="P620" i="2" s="1"/>
  <c r="M620" i="2"/>
  <c r="L620" i="2"/>
  <c r="Q620" i="2" s="1"/>
  <c r="K620" i="2"/>
  <c r="J620" i="2"/>
  <c r="I620" i="2"/>
  <c r="H620" i="2"/>
  <c r="G620" i="2"/>
  <c r="F620" i="2"/>
  <c r="E620" i="2"/>
  <c r="D620" i="2"/>
  <c r="C620" i="2"/>
  <c r="B620" i="2"/>
  <c r="O620" i="2" s="1"/>
  <c r="A620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O619" i="2" s="1"/>
  <c r="A619" i="2"/>
  <c r="N618" i="2"/>
  <c r="M618" i="2"/>
  <c r="L618" i="2"/>
  <c r="Q618" i="2" s="1"/>
  <c r="K618" i="2"/>
  <c r="J618" i="2"/>
  <c r="I618" i="2"/>
  <c r="H618" i="2"/>
  <c r="G618" i="2"/>
  <c r="F618" i="2"/>
  <c r="E618" i="2"/>
  <c r="D618" i="2"/>
  <c r="C618" i="2"/>
  <c r="B618" i="2"/>
  <c r="O618" i="2" s="1"/>
  <c r="A618" i="2"/>
  <c r="N617" i="2"/>
  <c r="M617" i="2"/>
  <c r="L617" i="2"/>
  <c r="Q617" i="2" s="1"/>
  <c r="K617" i="2"/>
  <c r="J617" i="2"/>
  <c r="I617" i="2"/>
  <c r="H617" i="2"/>
  <c r="G617" i="2"/>
  <c r="F617" i="2"/>
  <c r="E617" i="2"/>
  <c r="D617" i="2"/>
  <c r="C617" i="2"/>
  <c r="B617" i="2"/>
  <c r="O617" i="2" s="1"/>
  <c r="A617" i="2"/>
  <c r="N616" i="2"/>
  <c r="M616" i="2"/>
  <c r="L616" i="2"/>
  <c r="Q616" i="2" s="1"/>
  <c r="K616" i="2"/>
  <c r="J616" i="2"/>
  <c r="I616" i="2"/>
  <c r="H616" i="2"/>
  <c r="G616" i="2"/>
  <c r="F616" i="2"/>
  <c r="E616" i="2"/>
  <c r="D616" i="2"/>
  <c r="C616" i="2"/>
  <c r="B616" i="2"/>
  <c r="O616" i="2" s="1"/>
  <c r="A616" i="2"/>
  <c r="N615" i="2"/>
  <c r="M615" i="2"/>
  <c r="L615" i="2"/>
  <c r="Q615" i="2" s="1"/>
  <c r="K615" i="2"/>
  <c r="J615" i="2"/>
  <c r="I615" i="2"/>
  <c r="H615" i="2"/>
  <c r="G615" i="2"/>
  <c r="F615" i="2"/>
  <c r="E615" i="2"/>
  <c r="D615" i="2"/>
  <c r="C615" i="2"/>
  <c r="B615" i="2"/>
  <c r="O615" i="2" s="1"/>
  <c r="A615" i="2"/>
  <c r="N614" i="2"/>
  <c r="P614" i="2" s="1"/>
  <c r="M614" i="2"/>
  <c r="L614" i="2"/>
  <c r="Q614" i="2" s="1"/>
  <c r="K614" i="2"/>
  <c r="J614" i="2"/>
  <c r="I614" i="2"/>
  <c r="H614" i="2"/>
  <c r="G614" i="2"/>
  <c r="F614" i="2"/>
  <c r="E614" i="2"/>
  <c r="D614" i="2"/>
  <c r="C614" i="2"/>
  <c r="B614" i="2"/>
  <c r="O614" i="2" s="1"/>
  <c r="A614" i="2"/>
  <c r="N613" i="2"/>
  <c r="P613" i="2" s="1"/>
  <c r="M613" i="2"/>
  <c r="L613" i="2"/>
  <c r="Q613" i="2" s="1"/>
  <c r="K613" i="2"/>
  <c r="J613" i="2"/>
  <c r="I613" i="2"/>
  <c r="H613" i="2"/>
  <c r="G613" i="2"/>
  <c r="F613" i="2"/>
  <c r="E613" i="2"/>
  <c r="D613" i="2"/>
  <c r="C613" i="2"/>
  <c r="B613" i="2"/>
  <c r="O613" i="2" s="1"/>
  <c r="A613" i="2"/>
  <c r="N612" i="2"/>
  <c r="M612" i="2"/>
  <c r="L612" i="2"/>
  <c r="Q612" i="2" s="1"/>
  <c r="K612" i="2"/>
  <c r="J612" i="2"/>
  <c r="I612" i="2"/>
  <c r="H612" i="2"/>
  <c r="G612" i="2"/>
  <c r="F612" i="2"/>
  <c r="E612" i="2"/>
  <c r="D612" i="2"/>
  <c r="C612" i="2"/>
  <c r="B612" i="2"/>
  <c r="O612" i="2" s="1"/>
  <c r="A612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O611" i="2" s="1"/>
  <c r="A611" i="2"/>
  <c r="N610" i="2"/>
  <c r="M610" i="2"/>
  <c r="L610" i="2"/>
  <c r="Q610" i="2" s="1"/>
  <c r="K610" i="2"/>
  <c r="J610" i="2"/>
  <c r="I610" i="2"/>
  <c r="H610" i="2"/>
  <c r="G610" i="2"/>
  <c r="F610" i="2"/>
  <c r="E610" i="2"/>
  <c r="D610" i="2"/>
  <c r="C610" i="2"/>
  <c r="B610" i="2"/>
  <c r="O610" i="2" s="1"/>
  <c r="A610" i="2"/>
  <c r="O609" i="2"/>
  <c r="N609" i="2"/>
  <c r="M609" i="2"/>
  <c r="L609" i="2"/>
  <c r="Q609" i="2" s="1"/>
  <c r="K609" i="2"/>
  <c r="J609" i="2"/>
  <c r="I609" i="2"/>
  <c r="H609" i="2"/>
  <c r="G609" i="2"/>
  <c r="F609" i="2"/>
  <c r="E609" i="2"/>
  <c r="D609" i="2"/>
  <c r="C609" i="2"/>
  <c r="B609" i="2"/>
  <c r="A609" i="2"/>
  <c r="N608" i="2"/>
  <c r="P608" i="2" s="1"/>
  <c r="M608" i="2"/>
  <c r="L608" i="2"/>
  <c r="Q608" i="2" s="1"/>
  <c r="K608" i="2"/>
  <c r="J608" i="2"/>
  <c r="I608" i="2"/>
  <c r="H608" i="2"/>
  <c r="G608" i="2"/>
  <c r="F608" i="2"/>
  <c r="E608" i="2"/>
  <c r="D608" i="2"/>
  <c r="C608" i="2"/>
  <c r="B608" i="2"/>
  <c r="O608" i="2" s="1"/>
  <c r="A608" i="2"/>
  <c r="O607" i="2"/>
  <c r="N607" i="2"/>
  <c r="M607" i="2"/>
  <c r="L607" i="2"/>
  <c r="Q607" i="2" s="1"/>
  <c r="K607" i="2"/>
  <c r="J607" i="2"/>
  <c r="I607" i="2"/>
  <c r="H607" i="2"/>
  <c r="G607" i="2"/>
  <c r="F607" i="2"/>
  <c r="E607" i="2"/>
  <c r="D607" i="2"/>
  <c r="C607" i="2"/>
  <c r="B607" i="2"/>
  <c r="A607" i="2"/>
  <c r="P606" i="2"/>
  <c r="N606" i="2"/>
  <c r="M606" i="2"/>
  <c r="L606" i="2"/>
  <c r="Q606" i="2" s="1"/>
  <c r="K606" i="2"/>
  <c r="J606" i="2"/>
  <c r="I606" i="2"/>
  <c r="H606" i="2"/>
  <c r="G606" i="2"/>
  <c r="F606" i="2"/>
  <c r="E606" i="2"/>
  <c r="D606" i="2"/>
  <c r="C606" i="2"/>
  <c r="B606" i="2"/>
  <c r="O606" i="2" s="1"/>
  <c r="A606" i="2"/>
  <c r="Q605" i="2"/>
  <c r="N605" i="2"/>
  <c r="P605" i="2" s="1"/>
  <c r="M605" i="2"/>
  <c r="L605" i="2"/>
  <c r="K605" i="2"/>
  <c r="J605" i="2"/>
  <c r="I605" i="2"/>
  <c r="H605" i="2"/>
  <c r="G605" i="2"/>
  <c r="F605" i="2"/>
  <c r="E605" i="2"/>
  <c r="D605" i="2"/>
  <c r="C605" i="2"/>
  <c r="B605" i="2"/>
  <c r="O605" i="2" s="1"/>
  <c r="A605" i="2"/>
  <c r="N604" i="2"/>
  <c r="M604" i="2"/>
  <c r="L604" i="2"/>
  <c r="Q604" i="2" s="1"/>
  <c r="K604" i="2"/>
  <c r="J604" i="2"/>
  <c r="I604" i="2"/>
  <c r="H604" i="2"/>
  <c r="G604" i="2"/>
  <c r="F604" i="2"/>
  <c r="E604" i="2"/>
  <c r="D604" i="2"/>
  <c r="C604" i="2"/>
  <c r="B604" i="2"/>
  <c r="O604" i="2" s="1"/>
  <c r="A604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O603" i="2" s="1"/>
  <c r="A603" i="2"/>
  <c r="N602" i="2"/>
  <c r="M602" i="2"/>
  <c r="L602" i="2"/>
  <c r="Q602" i="2" s="1"/>
  <c r="K602" i="2"/>
  <c r="J602" i="2"/>
  <c r="I602" i="2"/>
  <c r="H602" i="2"/>
  <c r="G602" i="2"/>
  <c r="F602" i="2"/>
  <c r="E602" i="2"/>
  <c r="D602" i="2"/>
  <c r="C602" i="2"/>
  <c r="B602" i="2"/>
  <c r="O602" i="2" s="1"/>
  <c r="A602" i="2"/>
  <c r="O601" i="2"/>
  <c r="N601" i="2"/>
  <c r="M601" i="2"/>
  <c r="L601" i="2"/>
  <c r="Q601" i="2" s="1"/>
  <c r="K601" i="2"/>
  <c r="J601" i="2"/>
  <c r="I601" i="2"/>
  <c r="H601" i="2"/>
  <c r="G601" i="2"/>
  <c r="F601" i="2"/>
  <c r="E601" i="2"/>
  <c r="D601" i="2"/>
  <c r="C601" i="2"/>
  <c r="B601" i="2"/>
  <c r="A601" i="2"/>
  <c r="O600" i="2"/>
  <c r="N600" i="2"/>
  <c r="P600" i="2" s="1"/>
  <c r="M600" i="2"/>
  <c r="L600" i="2"/>
  <c r="Q600" i="2" s="1"/>
  <c r="K600" i="2"/>
  <c r="J600" i="2"/>
  <c r="I600" i="2"/>
  <c r="H600" i="2"/>
  <c r="G600" i="2"/>
  <c r="F600" i="2"/>
  <c r="E600" i="2"/>
  <c r="D600" i="2"/>
  <c r="C600" i="2"/>
  <c r="B600" i="2"/>
  <c r="A600" i="2"/>
  <c r="P599" i="2"/>
  <c r="O599" i="2"/>
  <c r="N599" i="2"/>
  <c r="M599" i="2"/>
  <c r="L599" i="2"/>
  <c r="Q599" i="2" s="1"/>
  <c r="K599" i="2"/>
  <c r="J599" i="2"/>
  <c r="I599" i="2"/>
  <c r="H599" i="2"/>
  <c r="G599" i="2"/>
  <c r="F599" i="2"/>
  <c r="E599" i="2"/>
  <c r="D599" i="2"/>
  <c r="C599" i="2"/>
  <c r="B599" i="2"/>
  <c r="A599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Q597" i="2"/>
  <c r="P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O597" i="2" s="1"/>
  <c r="A597" i="2"/>
  <c r="N596" i="2"/>
  <c r="M596" i="2"/>
  <c r="L596" i="2"/>
  <c r="Q596" i="2" s="1"/>
  <c r="K596" i="2"/>
  <c r="J596" i="2"/>
  <c r="I596" i="2"/>
  <c r="H596" i="2"/>
  <c r="G596" i="2"/>
  <c r="F596" i="2"/>
  <c r="E596" i="2"/>
  <c r="D596" i="2"/>
  <c r="C596" i="2"/>
  <c r="B596" i="2"/>
  <c r="O596" i="2" s="1"/>
  <c r="A596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O595" i="2" s="1"/>
  <c r="A595" i="2"/>
  <c r="N594" i="2"/>
  <c r="M594" i="2"/>
  <c r="L594" i="2"/>
  <c r="Q594" i="2" s="1"/>
  <c r="K594" i="2"/>
  <c r="J594" i="2"/>
  <c r="I594" i="2"/>
  <c r="H594" i="2"/>
  <c r="G594" i="2"/>
  <c r="F594" i="2"/>
  <c r="E594" i="2"/>
  <c r="D594" i="2"/>
  <c r="C594" i="2"/>
  <c r="B594" i="2"/>
  <c r="O594" i="2" s="1"/>
  <c r="A594" i="2"/>
  <c r="N593" i="2"/>
  <c r="M593" i="2"/>
  <c r="L593" i="2"/>
  <c r="Q593" i="2" s="1"/>
  <c r="K593" i="2"/>
  <c r="J593" i="2"/>
  <c r="I593" i="2"/>
  <c r="H593" i="2"/>
  <c r="G593" i="2"/>
  <c r="F593" i="2"/>
  <c r="E593" i="2"/>
  <c r="D593" i="2"/>
  <c r="C593" i="2"/>
  <c r="B593" i="2"/>
  <c r="O593" i="2" s="1"/>
  <c r="A593" i="2"/>
  <c r="O592" i="2"/>
  <c r="N592" i="2"/>
  <c r="P592" i="2" s="1"/>
  <c r="M592" i="2"/>
  <c r="L592" i="2"/>
  <c r="Q592" i="2" s="1"/>
  <c r="K592" i="2"/>
  <c r="J592" i="2"/>
  <c r="I592" i="2"/>
  <c r="H592" i="2"/>
  <c r="G592" i="2"/>
  <c r="F592" i="2"/>
  <c r="E592" i="2"/>
  <c r="D592" i="2"/>
  <c r="C592" i="2"/>
  <c r="B592" i="2"/>
  <c r="A592" i="2"/>
  <c r="Q591" i="2"/>
  <c r="N591" i="2"/>
  <c r="M591" i="2"/>
  <c r="L591" i="2"/>
  <c r="P591" i="2" s="1"/>
  <c r="K591" i="2"/>
  <c r="J591" i="2"/>
  <c r="I591" i="2"/>
  <c r="H591" i="2"/>
  <c r="G591" i="2"/>
  <c r="F591" i="2"/>
  <c r="E591" i="2"/>
  <c r="D591" i="2"/>
  <c r="C591" i="2"/>
  <c r="B591" i="2"/>
  <c r="O591" i="2" s="1"/>
  <c r="A591" i="2"/>
  <c r="Q590" i="2"/>
  <c r="N590" i="2"/>
  <c r="P590" i="2" s="1"/>
  <c r="M590" i="2"/>
  <c r="L590" i="2"/>
  <c r="K590" i="2"/>
  <c r="J590" i="2"/>
  <c r="I590" i="2"/>
  <c r="H590" i="2"/>
  <c r="G590" i="2"/>
  <c r="F590" i="2"/>
  <c r="E590" i="2"/>
  <c r="D590" i="2"/>
  <c r="C590" i="2"/>
  <c r="B590" i="2"/>
  <c r="O590" i="2" s="1"/>
  <c r="A590" i="2"/>
  <c r="P589" i="2"/>
  <c r="N589" i="2"/>
  <c r="M589" i="2"/>
  <c r="L589" i="2"/>
  <c r="Q589" i="2" s="1"/>
  <c r="K589" i="2"/>
  <c r="J589" i="2"/>
  <c r="I589" i="2"/>
  <c r="H589" i="2"/>
  <c r="G589" i="2"/>
  <c r="F589" i="2"/>
  <c r="E589" i="2"/>
  <c r="D589" i="2"/>
  <c r="C589" i="2"/>
  <c r="B589" i="2"/>
  <c r="O589" i="2" s="1"/>
  <c r="A589" i="2"/>
  <c r="N588" i="2"/>
  <c r="M588" i="2"/>
  <c r="L588" i="2"/>
  <c r="Q588" i="2" s="1"/>
  <c r="K588" i="2"/>
  <c r="J588" i="2"/>
  <c r="I588" i="2"/>
  <c r="H588" i="2"/>
  <c r="G588" i="2"/>
  <c r="F588" i="2"/>
  <c r="E588" i="2"/>
  <c r="D588" i="2"/>
  <c r="C588" i="2"/>
  <c r="B588" i="2"/>
  <c r="O588" i="2" s="1"/>
  <c r="A588" i="2"/>
  <c r="N587" i="2"/>
  <c r="P587" i="2" s="1"/>
  <c r="M587" i="2"/>
  <c r="L587" i="2"/>
  <c r="Q587" i="2" s="1"/>
  <c r="K587" i="2"/>
  <c r="J587" i="2"/>
  <c r="I587" i="2"/>
  <c r="H587" i="2"/>
  <c r="G587" i="2"/>
  <c r="F587" i="2"/>
  <c r="E587" i="2"/>
  <c r="D587" i="2"/>
  <c r="C587" i="2"/>
  <c r="B587" i="2"/>
  <c r="O587" i="2" s="1"/>
  <c r="A587" i="2"/>
  <c r="Q586" i="2"/>
  <c r="N586" i="2"/>
  <c r="P586" i="2" s="1"/>
  <c r="M586" i="2"/>
  <c r="L586" i="2"/>
  <c r="K586" i="2"/>
  <c r="J586" i="2"/>
  <c r="I586" i="2"/>
  <c r="H586" i="2"/>
  <c r="G586" i="2"/>
  <c r="F586" i="2"/>
  <c r="E586" i="2"/>
  <c r="D586" i="2"/>
  <c r="C586" i="2"/>
  <c r="B586" i="2"/>
  <c r="O586" i="2" s="1"/>
  <c r="A586" i="2"/>
  <c r="N585" i="2"/>
  <c r="P585" i="2" s="1"/>
  <c r="M585" i="2"/>
  <c r="L585" i="2"/>
  <c r="Q585" i="2" s="1"/>
  <c r="K585" i="2"/>
  <c r="J585" i="2"/>
  <c r="I585" i="2"/>
  <c r="H585" i="2"/>
  <c r="G585" i="2"/>
  <c r="F585" i="2"/>
  <c r="E585" i="2"/>
  <c r="D585" i="2"/>
  <c r="C585" i="2"/>
  <c r="B585" i="2"/>
  <c r="O585" i="2" s="1"/>
  <c r="A585" i="2"/>
  <c r="N584" i="2"/>
  <c r="P584" i="2" s="1"/>
  <c r="M584" i="2"/>
  <c r="L584" i="2"/>
  <c r="Q584" i="2" s="1"/>
  <c r="K584" i="2"/>
  <c r="J584" i="2"/>
  <c r="I584" i="2"/>
  <c r="H584" i="2"/>
  <c r="G584" i="2"/>
  <c r="F584" i="2"/>
  <c r="E584" i="2"/>
  <c r="D584" i="2"/>
  <c r="C584" i="2"/>
  <c r="B584" i="2"/>
  <c r="O584" i="2" s="1"/>
  <c r="A584" i="2"/>
  <c r="Q583" i="2"/>
  <c r="N583" i="2"/>
  <c r="P583" i="2" s="1"/>
  <c r="M583" i="2"/>
  <c r="L583" i="2"/>
  <c r="K583" i="2"/>
  <c r="J583" i="2"/>
  <c r="I583" i="2"/>
  <c r="H583" i="2"/>
  <c r="G583" i="2"/>
  <c r="F583" i="2"/>
  <c r="E583" i="2"/>
  <c r="D583" i="2"/>
  <c r="C583" i="2"/>
  <c r="B583" i="2"/>
  <c r="O583" i="2" s="1"/>
  <c r="A583" i="2"/>
  <c r="Q582" i="2"/>
  <c r="O582" i="2"/>
  <c r="N582" i="2"/>
  <c r="P582" i="2" s="1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Q581" i="2"/>
  <c r="N581" i="2"/>
  <c r="P581" i="2" s="1"/>
  <c r="M581" i="2"/>
  <c r="L581" i="2"/>
  <c r="K581" i="2"/>
  <c r="J581" i="2"/>
  <c r="I581" i="2"/>
  <c r="H581" i="2"/>
  <c r="G581" i="2"/>
  <c r="F581" i="2"/>
  <c r="E581" i="2"/>
  <c r="D581" i="2"/>
  <c r="C581" i="2"/>
  <c r="B581" i="2"/>
  <c r="O581" i="2" s="1"/>
  <c r="A581" i="2"/>
  <c r="N580" i="2"/>
  <c r="M580" i="2"/>
  <c r="L580" i="2"/>
  <c r="Q580" i="2" s="1"/>
  <c r="K580" i="2"/>
  <c r="J580" i="2"/>
  <c r="I580" i="2"/>
  <c r="H580" i="2"/>
  <c r="G580" i="2"/>
  <c r="F580" i="2"/>
  <c r="E580" i="2"/>
  <c r="D580" i="2"/>
  <c r="C580" i="2"/>
  <c r="B580" i="2"/>
  <c r="O580" i="2" s="1"/>
  <c r="A580" i="2"/>
  <c r="O579" i="2"/>
  <c r="N579" i="2"/>
  <c r="M579" i="2"/>
  <c r="L579" i="2"/>
  <c r="Q579" i="2" s="1"/>
  <c r="K579" i="2"/>
  <c r="J579" i="2"/>
  <c r="I579" i="2"/>
  <c r="H579" i="2"/>
  <c r="G579" i="2"/>
  <c r="F579" i="2"/>
  <c r="E579" i="2"/>
  <c r="D579" i="2"/>
  <c r="C579" i="2"/>
  <c r="B579" i="2"/>
  <c r="A579" i="2"/>
  <c r="N578" i="2"/>
  <c r="P578" i="2" s="1"/>
  <c r="M578" i="2"/>
  <c r="L578" i="2"/>
  <c r="Q578" i="2" s="1"/>
  <c r="K578" i="2"/>
  <c r="J578" i="2"/>
  <c r="I578" i="2"/>
  <c r="H578" i="2"/>
  <c r="G578" i="2"/>
  <c r="F578" i="2"/>
  <c r="E578" i="2"/>
  <c r="D578" i="2"/>
  <c r="C578" i="2"/>
  <c r="B578" i="2"/>
  <c r="O578" i="2" s="1"/>
  <c r="A578" i="2"/>
  <c r="N577" i="2"/>
  <c r="M577" i="2"/>
  <c r="L577" i="2"/>
  <c r="Q577" i="2" s="1"/>
  <c r="K577" i="2"/>
  <c r="J577" i="2"/>
  <c r="I577" i="2"/>
  <c r="H577" i="2"/>
  <c r="G577" i="2"/>
  <c r="F577" i="2"/>
  <c r="E577" i="2"/>
  <c r="D577" i="2"/>
  <c r="C577" i="2"/>
  <c r="B577" i="2"/>
  <c r="O577" i="2" s="1"/>
  <c r="A577" i="2"/>
  <c r="N576" i="2"/>
  <c r="M576" i="2"/>
  <c r="L576" i="2"/>
  <c r="Q576" i="2" s="1"/>
  <c r="K576" i="2"/>
  <c r="J576" i="2"/>
  <c r="I576" i="2"/>
  <c r="H576" i="2"/>
  <c r="G576" i="2"/>
  <c r="F576" i="2"/>
  <c r="E576" i="2"/>
  <c r="D576" i="2"/>
  <c r="C576" i="2"/>
  <c r="B576" i="2"/>
  <c r="O576" i="2" s="1"/>
  <c r="A576" i="2"/>
  <c r="Q575" i="2"/>
  <c r="N575" i="2"/>
  <c r="M575" i="2"/>
  <c r="L575" i="2"/>
  <c r="P575" i="2" s="1"/>
  <c r="K575" i="2"/>
  <c r="J575" i="2"/>
  <c r="I575" i="2"/>
  <c r="H575" i="2"/>
  <c r="G575" i="2"/>
  <c r="F575" i="2"/>
  <c r="E575" i="2"/>
  <c r="D575" i="2"/>
  <c r="C575" i="2"/>
  <c r="B575" i="2"/>
  <c r="O575" i="2" s="1"/>
  <c r="A575" i="2"/>
  <c r="N574" i="2"/>
  <c r="M574" i="2"/>
  <c r="L574" i="2"/>
  <c r="Q574" i="2" s="1"/>
  <c r="K574" i="2"/>
  <c r="J574" i="2"/>
  <c r="I574" i="2"/>
  <c r="H574" i="2"/>
  <c r="G574" i="2"/>
  <c r="F574" i="2"/>
  <c r="E574" i="2"/>
  <c r="D574" i="2"/>
  <c r="C574" i="2"/>
  <c r="B574" i="2"/>
  <c r="O574" i="2" s="1"/>
  <c r="A574" i="2"/>
  <c r="Q573" i="2"/>
  <c r="N573" i="2"/>
  <c r="P573" i="2" s="1"/>
  <c r="M573" i="2"/>
  <c r="L573" i="2"/>
  <c r="K573" i="2"/>
  <c r="J573" i="2"/>
  <c r="I573" i="2"/>
  <c r="H573" i="2"/>
  <c r="G573" i="2"/>
  <c r="F573" i="2"/>
  <c r="E573" i="2"/>
  <c r="D573" i="2"/>
  <c r="C573" i="2"/>
  <c r="B573" i="2"/>
  <c r="O573" i="2" s="1"/>
  <c r="A573" i="2"/>
  <c r="P572" i="2"/>
  <c r="N572" i="2"/>
  <c r="M572" i="2"/>
  <c r="L572" i="2"/>
  <c r="Q572" i="2" s="1"/>
  <c r="K572" i="2"/>
  <c r="J572" i="2"/>
  <c r="I572" i="2"/>
  <c r="H572" i="2"/>
  <c r="G572" i="2"/>
  <c r="F572" i="2"/>
  <c r="E572" i="2"/>
  <c r="D572" i="2"/>
  <c r="C572" i="2"/>
  <c r="B572" i="2"/>
  <c r="O572" i="2" s="1"/>
  <c r="A572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O570" i="2" s="1"/>
  <c r="A570" i="2"/>
  <c r="N569" i="2"/>
  <c r="M569" i="2"/>
  <c r="L569" i="2"/>
  <c r="Q569" i="2" s="1"/>
  <c r="K569" i="2"/>
  <c r="J569" i="2"/>
  <c r="I569" i="2"/>
  <c r="H569" i="2"/>
  <c r="G569" i="2"/>
  <c r="F569" i="2"/>
  <c r="E569" i="2"/>
  <c r="D569" i="2"/>
  <c r="C569" i="2"/>
  <c r="B569" i="2"/>
  <c r="O569" i="2" s="1"/>
  <c r="A569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O568" i="2" s="1"/>
  <c r="A568" i="2"/>
  <c r="N567" i="2"/>
  <c r="M567" i="2"/>
  <c r="L567" i="2"/>
  <c r="Q567" i="2" s="1"/>
  <c r="K567" i="2"/>
  <c r="J567" i="2"/>
  <c r="I567" i="2"/>
  <c r="H567" i="2"/>
  <c r="G567" i="2"/>
  <c r="F567" i="2"/>
  <c r="E567" i="2"/>
  <c r="D567" i="2"/>
  <c r="C567" i="2"/>
  <c r="B567" i="2"/>
  <c r="O567" i="2" s="1"/>
  <c r="A567" i="2"/>
  <c r="N566" i="2"/>
  <c r="M566" i="2"/>
  <c r="L566" i="2"/>
  <c r="Q566" i="2" s="1"/>
  <c r="K566" i="2"/>
  <c r="J566" i="2"/>
  <c r="I566" i="2"/>
  <c r="H566" i="2"/>
  <c r="G566" i="2"/>
  <c r="F566" i="2"/>
  <c r="E566" i="2"/>
  <c r="D566" i="2"/>
  <c r="C566" i="2"/>
  <c r="B566" i="2"/>
  <c r="O566" i="2" s="1"/>
  <c r="A566" i="2"/>
  <c r="Q565" i="2"/>
  <c r="N565" i="2"/>
  <c r="M565" i="2"/>
  <c r="L565" i="2"/>
  <c r="P565" i="2" s="1"/>
  <c r="K565" i="2"/>
  <c r="J565" i="2"/>
  <c r="I565" i="2"/>
  <c r="H565" i="2"/>
  <c r="G565" i="2"/>
  <c r="F565" i="2"/>
  <c r="E565" i="2"/>
  <c r="D565" i="2"/>
  <c r="C565" i="2"/>
  <c r="B565" i="2"/>
  <c r="O565" i="2" s="1"/>
  <c r="A565" i="2"/>
  <c r="N564" i="2"/>
  <c r="P564" i="2" s="1"/>
  <c r="M564" i="2"/>
  <c r="L564" i="2"/>
  <c r="Q564" i="2" s="1"/>
  <c r="K564" i="2"/>
  <c r="J564" i="2"/>
  <c r="I564" i="2"/>
  <c r="H564" i="2"/>
  <c r="G564" i="2"/>
  <c r="F564" i="2"/>
  <c r="E564" i="2"/>
  <c r="D564" i="2"/>
  <c r="C564" i="2"/>
  <c r="B564" i="2"/>
  <c r="O564" i="2" s="1"/>
  <c r="A564" i="2"/>
  <c r="Q563" i="2"/>
  <c r="N563" i="2"/>
  <c r="M563" i="2"/>
  <c r="L563" i="2"/>
  <c r="P563" i="2" s="1"/>
  <c r="K563" i="2"/>
  <c r="J563" i="2"/>
  <c r="I563" i="2"/>
  <c r="H563" i="2"/>
  <c r="G563" i="2"/>
  <c r="F563" i="2"/>
  <c r="E563" i="2"/>
  <c r="D563" i="2"/>
  <c r="C563" i="2"/>
  <c r="B563" i="2"/>
  <c r="O563" i="2" s="1"/>
  <c r="A563" i="2"/>
  <c r="N562" i="2"/>
  <c r="M562" i="2"/>
  <c r="L562" i="2"/>
  <c r="Q562" i="2" s="1"/>
  <c r="K562" i="2"/>
  <c r="J562" i="2"/>
  <c r="I562" i="2"/>
  <c r="H562" i="2"/>
  <c r="G562" i="2"/>
  <c r="F562" i="2"/>
  <c r="E562" i="2"/>
  <c r="D562" i="2"/>
  <c r="C562" i="2"/>
  <c r="B562" i="2"/>
  <c r="O562" i="2" s="1"/>
  <c r="A562" i="2"/>
  <c r="Q561" i="2"/>
  <c r="N561" i="2"/>
  <c r="P561" i="2" s="1"/>
  <c r="M561" i="2"/>
  <c r="L561" i="2"/>
  <c r="K561" i="2"/>
  <c r="J561" i="2"/>
  <c r="I561" i="2"/>
  <c r="H561" i="2"/>
  <c r="G561" i="2"/>
  <c r="F561" i="2"/>
  <c r="E561" i="2"/>
  <c r="D561" i="2"/>
  <c r="C561" i="2"/>
  <c r="B561" i="2"/>
  <c r="O561" i="2" s="1"/>
  <c r="A561" i="2"/>
  <c r="N560" i="2"/>
  <c r="M560" i="2"/>
  <c r="L560" i="2"/>
  <c r="Q560" i="2" s="1"/>
  <c r="K560" i="2"/>
  <c r="J560" i="2"/>
  <c r="I560" i="2"/>
  <c r="H560" i="2"/>
  <c r="G560" i="2"/>
  <c r="F560" i="2"/>
  <c r="E560" i="2"/>
  <c r="D560" i="2"/>
  <c r="C560" i="2"/>
  <c r="B560" i="2"/>
  <c r="O560" i="2" s="1"/>
  <c r="A560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N558" i="2"/>
  <c r="P558" i="2" s="1"/>
  <c r="M558" i="2"/>
  <c r="L558" i="2"/>
  <c r="Q558" i="2" s="1"/>
  <c r="K558" i="2"/>
  <c r="J558" i="2"/>
  <c r="I558" i="2"/>
  <c r="H558" i="2"/>
  <c r="G558" i="2"/>
  <c r="F558" i="2"/>
  <c r="E558" i="2"/>
  <c r="D558" i="2"/>
  <c r="C558" i="2"/>
  <c r="B558" i="2"/>
  <c r="O558" i="2" s="1"/>
  <c r="A558" i="2"/>
  <c r="N557" i="2"/>
  <c r="P557" i="2" s="1"/>
  <c r="M557" i="2"/>
  <c r="L557" i="2"/>
  <c r="Q557" i="2" s="1"/>
  <c r="K557" i="2"/>
  <c r="J557" i="2"/>
  <c r="I557" i="2"/>
  <c r="H557" i="2"/>
  <c r="G557" i="2"/>
  <c r="F557" i="2"/>
  <c r="E557" i="2"/>
  <c r="D557" i="2"/>
  <c r="C557" i="2"/>
  <c r="B557" i="2"/>
  <c r="O557" i="2" s="1"/>
  <c r="A557" i="2"/>
  <c r="N556" i="2"/>
  <c r="P556" i="2" s="1"/>
  <c r="M556" i="2"/>
  <c r="L556" i="2"/>
  <c r="Q556" i="2" s="1"/>
  <c r="K556" i="2"/>
  <c r="J556" i="2"/>
  <c r="I556" i="2"/>
  <c r="H556" i="2"/>
  <c r="G556" i="2"/>
  <c r="F556" i="2"/>
  <c r="E556" i="2"/>
  <c r="D556" i="2"/>
  <c r="C556" i="2"/>
  <c r="B556" i="2"/>
  <c r="O556" i="2" s="1"/>
  <c r="A556" i="2"/>
  <c r="N555" i="2"/>
  <c r="P555" i="2" s="1"/>
  <c r="M555" i="2"/>
  <c r="L555" i="2"/>
  <c r="Q555" i="2" s="1"/>
  <c r="K555" i="2"/>
  <c r="J555" i="2"/>
  <c r="I555" i="2"/>
  <c r="H555" i="2"/>
  <c r="G555" i="2"/>
  <c r="F555" i="2"/>
  <c r="E555" i="2"/>
  <c r="D555" i="2"/>
  <c r="C555" i="2"/>
  <c r="B555" i="2"/>
  <c r="O555" i="2" s="1"/>
  <c r="A555" i="2"/>
  <c r="Q554" i="2"/>
  <c r="N554" i="2"/>
  <c r="P554" i="2" s="1"/>
  <c r="M554" i="2"/>
  <c r="L554" i="2"/>
  <c r="K554" i="2"/>
  <c r="J554" i="2"/>
  <c r="I554" i="2"/>
  <c r="H554" i="2"/>
  <c r="G554" i="2"/>
  <c r="F554" i="2"/>
  <c r="E554" i="2"/>
  <c r="D554" i="2"/>
  <c r="C554" i="2"/>
  <c r="B554" i="2"/>
  <c r="O554" i="2" s="1"/>
  <c r="A554" i="2"/>
  <c r="N553" i="2"/>
  <c r="M553" i="2"/>
  <c r="L553" i="2"/>
  <c r="Q553" i="2" s="1"/>
  <c r="K553" i="2"/>
  <c r="J553" i="2"/>
  <c r="I553" i="2"/>
  <c r="H553" i="2"/>
  <c r="G553" i="2"/>
  <c r="F553" i="2"/>
  <c r="E553" i="2"/>
  <c r="D553" i="2"/>
  <c r="C553" i="2"/>
  <c r="B553" i="2"/>
  <c r="O553" i="2" s="1"/>
  <c r="A553" i="2"/>
  <c r="N552" i="2"/>
  <c r="M552" i="2"/>
  <c r="L552" i="2"/>
  <c r="Q552" i="2" s="1"/>
  <c r="K552" i="2"/>
  <c r="J552" i="2"/>
  <c r="I552" i="2"/>
  <c r="H552" i="2"/>
  <c r="G552" i="2"/>
  <c r="F552" i="2"/>
  <c r="E552" i="2"/>
  <c r="D552" i="2"/>
  <c r="C552" i="2"/>
  <c r="B552" i="2"/>
  <c r="O552" i="2" s="1"/>
  <c r="A552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N550" i="2"/>
  <c r="M550" i="2"/>
  <c r="L550" i="2"/>
  <c r="Q550" i="2" s="1"/>
  <c r="K550" i="2"/>
  <c r="J550" i="2"/>
  <c r="I550" i="2"/>
  <c r="H550" i="2"/>
  <c r="G550" i="2"/>
  <c r="F550" i="2"/>
  <c r="E550" i="2"/>
  <c r="D550" i="2"/>
  <c r="C550" i="2"/>
  <c r="B550" i="2"/>
  <c r="O550" i="2" s="1"/>
  <c r="A550" i="2"/>
  <c r="O549" i="2"/>
  <c r="N549" i="2"/>
  <c r="M549" i="2"/>
  <c r="L549" i="2"/>
  <c r="Q549" i="2" s="1"/>
  <c r="K549" i="2"/>
  <c r="J549" i="2"/>
  <c r="I549" i="2"/>
  <c r="H549" i="2"/>
  <c r="G549" i="2"/>
  <c r="F549" i="2"/>
  <c r="E549" i="2"/>
  <c r="D549" i="2"/>
  <c r="C549" i="2"/>
  <c r="B549" i="2"/>
  <c r="A549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P547" i="2"/>
  <c r="N547" i="2"/>
  <c r="M547" i="2"/>
  <c r="L547" i="2"/>
  <c r="Q547" i="2" s="1"/>
  <c r="K547" i="2"/>
  <c r="J547" i="2"/>
  <c r="I547" i="2"/>
  <c r="H547" i="2"/>
  <c r="G547" i="2"/>
  <c r="F547" i="2"/>
  <c r="E547" i="2"/>
  <c r="D547" i="2"/>
  <c r="C547" i="2"/>
  <c r="B547" i="2"/>
  <c r="O547" i="2" s="1"/>
  <c r="A547" i="2"/>
  <c r="N546" i="2"/>
  <c r="M546" i="2"/>
  <c r="L546" i="2"/>
  <c r="Q546" i="2" s="1"/>
  <c r="K546" i="2"/>
  <c r="J546" i="2"/>
  <c r="I546" i="2"/>
  <c r="H546" i="2"/>
  <c r="G546" i="2"/>
  <c r="F546" i="2"/>
  <c r="E546" i="2"/>
  <c r="D546" i="2"/>
  <c r="C546" i="2"/>
  <c r="B546" i="2"/>
  <c r="O546" i="2" s="1"/>
  <c r="A546" i="2"/>
  <c r="N545" i="2"/>
  <c r="P545" i="2" s="1"/>
  <c r="M545" i="2"/>
  <c r="L545" i="2"/>
  <c r="Q545" i="2" s="1"/>
  <c r="K545" i="2"/>
  <c r="J545" i="2"/>
  <c r="I545" i="2"/>
  <c r="H545" i="2"/>
  <c r="G545" i="2"/>
  <c r="F545" i="2"/>
  <c r="E545" i="2"/>
  <c r="D545" i="2"/>
  <c r="C545" i="2"/>
  <c r="B545" i="2"/>
  <c r="O545" i="2" s="1"/>
  <c r="A545" i="2"/>
  <c r="N544" i="2"/>
  <c r="M544" i="2"/>
  <c r="L544" i="2"/>
  <c r="Q544" i="2" s="1"/>
  <c r="K544" i="2"/>
  <c r="J544" i="2"/>
  <c r="I544" i="2"/>
  <c r="H544" i="2"/>
  <c r="G544" i="2"/>
  <c r="F544" i="2"/>
  <c r="E544" i="2"/>
  <c r="D544" i="2"/>
  <c r="C544" i="2"/>
  <c r="B544" i="2"/>
  <c r="O544" i="2" s="1"/>
  <c r="A544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N542" i="2"/>
  <c r="P542" i="2" s="1"/>
  <c r="M542" i="2"/>
  <c r="L542" i="2"/>
  <c r="Q542" i="2" s="1"/>
  <c r="K542" i="2"/>
  <c r="J542" i="2"/>
  <c r="I542" i="2"/>
  <c r="H542" i="2"/>
  <c r="G542" i="2"/>
  <c r="F542" i="2"/>
  <c r="E542" i="2"/>
  <c r="D542" i="2"/>
  <c r="C542" i="2"/>
  <c r="B542" i="2"/>
  <c r="O542" i="2" s="1"/>
  <c r="A542" i="2"/>
  <c r="Q541" i="2"/>
  <c r="O541" i="2"/>
  <c r="N541" i="2"/>
  <c r="P541" i="2" s="1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O540" i="2"/>
  <c r="N540" i="2"/>
  <c r="P540" i="2" s="1"/>
  <c r="M540" i="2"/>
  <c r="L540" i="2"/>
  <c r="Q540" i="2" s="1"/>
  <c r="K540" i="2"/>
  <c r="J540" i="2"/>
  <c r="I540" i="2"/>
  <c r="H540" i="2"/>
  <c r="G540" i="2"/>
  <c r="F540" i="2"/>
  <c r="E540" i="2"/>
  <c r="D540" i="2"/>
  <c r="C540" i="2"/>
  <c r="B540" i="2"/>
  <c r="A540" i="2"/>
  <c r="P539" i="2"/>
  <c r="O539" i="2"/>
  <c r="N539" i="2"/>
  <c r="M539" i="2"/>
  <c r="L539" i="2"/>
  <c r="Q539" i="2" s="1"/>
  <c r="K539" i="2"/>
  <c r="J539" i="2"/>
  <c r="I539" i="2"/>
  <c r="H539" i="2"/>
  <c r="G539" i="2"/>
  <c r="F539" i="2"/>
  <c r="E539" i="2"/>
  <c r="D539" i="2"/>
  <c r="C539" i="2"/>
  <c r="B539" i="2"/>
  <c r="A539" i="2"/>
  <c r="Q538" i="2"/>
  <c r="N538" i="2"/>
  <c r="P538" i="2" s="1"/>
  <c r="M538" i="2"/>
  <c r="L538" i="2"/>
  <c r="K538" i="2"/>
  <c r="J538" i="2"/>
  <c r="I538" i="2"/>
  <c r="H538" i="2"/>
  <c r="G538" i="2"/>
  <c r="F538" i="2"/>
  <c r="E538" i="2"/>
  <c r="D538" i="2"/>
  <c r="C538" i="2"/>
  <c r="B538" i="2"/>
  <c r="O538" i="2" s="1"/>
  <c r="A538" i="2"/>
  <c r="N537" i="2"/>
  <c r="P537" i="2" s="1"/>
  <c r="M537" i="2"/>
  <c r="L537" i="2"/>
  <c r="Q537" i="2" s="1"/>
  <c r="K537" i="2"/>
  <c r="J537" i="2"/>
  <c r="I537" i="2"/>
  <c r="H537" i="2"/>
  <c r="G537" i="2"/>
  <c r="F537" i="2"/>
  <c r="E537" i="2"/>
  <c r="D537" i="2"/>
  <c r="C537" i="2"/>
  <c r="B537" i="2"/>
  <c r="O537" i="2" s="1"/>
  <c r="A537" i="2"/>
  <c r="N536" i="2"/>
  <c r="M536" i="2"/>
  <c r="L536" i="2"/>
  <c r="Q536" i="2" s="1"/>
  <c r="K536" i="2"/>
  <c r="J536" i="2"/>
  <c r="I536" i="2"/>
  <c r="H536" i="2"/>
  <c r="G536" i="2"/>
  <c r="F536" i="2"/>
  <c r="E536" i="2"/>
  <c r="D536" i="2"/>
  <c r="C536" i="2"/>
  <c r="B536" i="2"/>
  <c r="O536" i="2" s="1"/>
  <c r="A536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O535" i="2" s="1"/>
  <c r="A535" i="2"/>
  <c r="N534" i="2"/>
  <c r="M534" i="2"/>
  <c r="L534" i="2"/>
  <c r="Q534" i="2" s="1"/>
  <c r="K534" i="2"/>
  <c r="J534" i="2"/>
  <c r="I534" i="2"/>
  <c r="H534" i="2"/>
  <c r="G534" i="2"/>
  <c r="F534" i="2"/>
  <c r="E534" i="2"/>
  <c r="D534" i="2"/>
  <c r="C534" i="2"/>
  <c r="B534" i="2"/>
  <c r="O534" i="2" s="1"/>
  <c r="A534" i="2"/>
  <c r="Q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P532" i="2"/>
  <c r="O532" i="2"/>
  <c r="N532" i="2"/>
  <c r="M532" i="2"/>
  <c r="L532" i="2"/>
  <c r="Q532" i="2" s="1"/>
  <c r="K532" i="2"/>
  <c r="J532" i="2"/>
  <c r="I532" i="2"/>
  <c r="H532" i="2"/>
  <c r="G532" i="2"/>
  <c r="F532" i="2"/>
  <c r="E532" i="2"/>
  <c r="D532" i="2"/>
  <c r="C532" i="2"/>
  <c r="B532" i="2"/>
  <c r="A532" i="2"/>
  <c r="Q531" i="2"/>
  <c r="N531" i="2"/>
  <c r="M531" i="2"/>
  <c r="L531" i="2"/>
  <c r="P531" i="2" s="1"/>
  <c r="K531" i="2"/>
  <c r="J531" i="2"/>
  <c r="I531" i="2"/>
  <c r="H531" i="2"/>
  <c r="G531" i="2"/>
  <c r="F531" i="2"/>
  <c r="E531" i="2"/>
  <c r="D531" i="2"/>
  <c r="C531" i="2"/>
  <c r="B531" i="2"/>
  <c r="O531" i="2" s="1"/>
  <c r="A531" i="2"/>
  <c r="Q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O530" i="2" s="1"/>
  <c r="A530" i="2"/>
  <c r="Q529" i="2"/>
  <c r="N529" i="2"/>
  <c r="P529" i="2" s="1"/>
  <c r="M529" i="2"/>
  <c r="L529" i="2"/>
  <c r="K529" i="2"/>
  <c r="J529" i="2"/>
  <c r="I529" i="2"/>
  <c r="H529" i="2"/>
  <c r="G529" i="2"/>
  <c r="F529" i="2"/>
  <c r="E529" i="2"/>
  <c r="D529" i="2"/>
  <c r="C529" i="2"/>
  <c r="B529" i="2"/>
  <c r="O529" i="2" s="1"/>
  <c r="A529" i="2"/>
  <c r="N528" i="2"/>
  <c r="M528" i="2"/>
  <c r="L528" i="2"/>
  <c r="Q528" i="2" s="1"/>
  <c r="K528" i="2"/>
  <c r="J528" i="2"/>
  <c r="I528" i="2"/>
  <c r="H528" i="2"/>
  <c r="G528" i="2"/>
  <c r="F528" i="2"/>
  <c r="E528" i="2"/>
  <c r="D528" i="2"/>
  <c r="C528" i="2"/>
  <c r="B528" i="2"/>
  <c r="O528" i="2" s="1"/>
  <c r="A528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N526" i="2"/>
  <c r="P526" i="2" s="1"/>
  <c r="M526" i="2"/>
  <c r="L526" i="2"/>
  <c r="Q526" i="2" s="1"/>
  <c r="K526" i="2"/>
  <c r="J526" i="2"/>
  <c r="I526" i="2"/>
  <c r="H526" i="2"/>
  <c r="G526" i="2"/>
  <c r="F526" i="2"/>
  <c r="E526" i="2"/>
  <c r="D526" i="2"/>
  <c r="C526" i="2"/>
  <c r="B526" i="2"/>
  <c r="O526" i="2" s="1"/>
  <c r="A526" i="2"/>
  <c r="N525" i="2"/>
  <c r="P525" i="2" s="1"/>
  <c r="M525" i="2"/>
  <c r="L525" i="2"/>
  <c r="Q525" i="2" s="1"/>
  <c r="K525" i="2"/>
  <c r="J525" i="2"/>
  <c r="I525" i="2"/>
  <c r="H525" i="2"/>
  <c r="G525" i="2"/>
  <c r="F525" i="2"/>
  <c r="E525" i="2"/>
  <c r="D525" i="2"/>
  <c r="C525" i="2"/>
  <c r="B525" i="2"/>
  <c r="O525" i="2" s="1"/>
  <c r="A525" i="2"/>
  <c r="N524" i="2"/>
  <c r="P524" i="2" s="1"/>
  <c r="M524" i="2"/>
  <c r="L524" i="2"/>
  <c r="Q524" i="2" s="1"/>
  <c r="K524" i="2"/>
  <c r="J524" i="2"/>
  <c r="I524" i="2"/>
  <c r="H524" i="2"/>
  <c r="G524" i="2"/>
  <c r="F524" i="2"/>
  <c r="E524" i="2"/>
  <c r="D524" i="2"/>
  <c r="C524" i="2"/>
  <c r="B524" i="2"/>
  <c r="O524" i="2" s="1"/>
  <c r="A524" i="2"/>
  <c r="N523" i="2"/>
  <c r="P523" i="2" s="1"/>
  <c r="M523" i="2"/>
  <c r="L523" i="2"/>
  <c r="Q523" i="2" s="1"/>
  <c r="K523" i="2"/>
  <c r="J523" i="2"/>
  <c r="I523" i="2"/>
  <c r="H523" i="2"/>
  <c r="G523" i="2"/>
  <c r="F523" i="2"/>
  <c r="E523" i="2"/>
  <c r="D523" i="2"/>
  <c r="C523" i="2"/>
  <c r="B523" i="2"/>
  <c r="O523" i="2" s="1"/>
  <c r="A523" i="2"/>
  <c r="Q522" i="2"/>
  <c r="N522" i="2"/>
  <c r="P522" i="2" s="1"/>
  <c r="M522" i="2"/>
  <c r="L522" i="2"/>
  <c r="K522" i="2"/>
  <c r="J522" i="2"/>
  <c r="I522" i="2"/>
  <c r="H522" i="2"/>
  <c r="G522" i="2"/>
  <c r="F522" i="2"/>
  <c r="E522" i="2"/>
  <c r="D522" i="2"/>
  <c r="C522" i="2"/>
  <c r="B522" i="2"/>
  <c r="O522" i="2" s="1"/>
  <c r="A522" i="2"/>
  <c r="N521" i="2"/>
  <c r="M521" i="2"/>
  <c r="L521" i="2"/>
  <c r="Q521" i="2" s="1"/>
  <c r="K521" i="2"/>
  <c r="J521" i="2"/>
  <c r="I521" i="2"/>
  <c r="H521" i="2"/>
  <c r="G521" i="2"/>
  <c r="F521" i="2"/>
  <c r="E521" i="2"/>
  <c r="D521" i="2"/>
  <c r="C521" i="2"/>
  <c r="B521" i="2"/>
  <c r="O521" i="2" s="1"/>
  <c r="A521" i="2"/>
  <c r="N520" i="2"/>
  <c r="M520" i="2"/>
  <c r="L520" i="2"/>
  <c r="Q520" i="2" s="1"/>
  <c r="K520" i="2"/>
  <c r="J520" i="2"/>
  <c r="I520" i="2"/>
  <c r="H520" i="2"/>
  <c r="G520" i="2"/>
  <c r="F520" i="2"/>
  <c r="E520" i="2"/>
  <c r="D520" i="2"/>
  <c r="C520" i="2"/>
  <c r="B520" i="2"/>
  <c r="O520" i="2" s="1"/>
  <c r="A520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N518" i="2"/>
  <c r="M518" i="2"/>
  <c r="L518" i="2"/>
  <c r="Q518" i="2" s="1"/>
  <c r="K518" i="2"/>
  <c r="J518" i="2"/>
  <c r="I518" i="2"/>
  <c r="H518" i="2"/>
  <c r="G518" i="2"/>
  <c r="F518" i="2"/>
  <c r="E518" i="2"/>
  <c r="D518" i="2"/>
  <c r="C518" i="2"/>
  <c r="B518" i="2"/>
  <c r="O518" i="2" s="1"/>
  <c r="A518" i="2"/>
  <c r="O517" i="2"/>
  <c r="N517" i="2"/>
  <c r="M517" i="2"/>
  <c r="L517" i="2"/>
  <c r="Q517" i="2" s="1"/>
  <c r="K517" i="2"/>
  <c r="J517" i="2"/>
  <c r="I517" i="2"/>
  <c r="H517" i="2"/>
  <c r="G517" i="2"/>
  <c r="F517" i="2"/>
  <c r="E517" i="2"/>
  <c r="D517" i="2"/>
  <c r="C517" i="2"/>
  <c r="B517" i="2"/>
  <c r="A517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P515" i="2"/>
  <c r="N515" i="2"/>
  <c r="M515" i="2"/>
  <c r="L515" i="2"/>
  <c r="Q515" i="2" s="1"/>
  <c r="K515" i="2"/>
  <c r="J515" i="2"/>
  <c r="I515" i="2"/>
  <c r="H515" i="2"/>
  <c r="G515" i="2"/>
  <c r="F515" i="2"/>
  <c r="E515" i="2"/>
  <c r="D515" i="2"/>
  <c r="C515" i="2"/>
  <c r="B515" i="2"/>
  <c r="O515" i="2" s="1"/>
  <c r="A515" i="2"/>
  <c r="N514" i="2"/>
  <c r="M514" i="2"/>
  <c r="L514" i="2"/>
  <c r="Q514" i="2" s="1"/>
  <c r="K514" i="2"/>
  <c r="J514" i="2"/>
  <c r="I514" i="2"/>
  <c r="H514" i="2"/>
  <c r="G514" i="2"/>
  <c r="F514" i="2"/>
  <c r="E514" i="2"/>
  <c r="D514" i="2"/>
  <c r="C514" i="2"/>
  <c r="B514" i="2"/>
  <c r="O514" i="2" s="1"/>
  <c r="A514" i="2"/>
  <c r="N513" i="2"/>
  <c r="P513" i="2" s="1"/>
  <c r="M513" i="2"/>
  <c r="L513" i="2"/>
  <c r="Q513" i="2" s="1"/>
  <c r="K513" i="2"/>
  <c r="J513" i="2"/>
  <c r="I513" i="2"/>
  <c r="H513" i="2"/>
  <c r="G513" i="2"/>
  <c r="F513" i="2"/>
  <c r="E513" i="2"/>
  <c r="D513" i="2"/>
  <c r="C513" i="2"/>
  <c r="B513" i="2"/>
  <c r="O513" i="2" s="1"/>
  <c r="A513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O512" i="2" s="1"/>
  <c r="A512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N510" i="2"/>
  <c r="P510" i="2" s="1"/>
  <c r="M510" i="2"/>
  <c r="L510" i="2"/>
  <c r="Q510" i="2" s="1"/>
  <c r="K510" i="2"/>
  <c r="J510" i="2"/>
  <c r="I510" i="2"/>
  <c r="H510" i="2"/>
  <c r="G510" i="2"/>
  <c r="F510" i="2"/>
  <c r="E510" i="2"/>
  <c r="D510" i="2"/>
  <c r="C510" i="2"/>
  <c r="B510" i="2"/>
  <c r="O510" i="2" s="1"/>
  <c r="A510" i="2"/>
  <c r="O509" i="2"/>
  <c r="N509" i="2"/>
  <c r="P509" i="2" s="1"/>
  <c r="M509" i="2"/>
  <c r="L509" i="2"/>
  <c r="Q509" i="2" s="1"/>
  <c r="K509" i="2"/>
  <c r="J509" i="2"/>
  <c r="I509" i="2"/>
  <c r="H509" i="2"/>
  <c r="G509" i="2"/>
  <c r="F509" i="2"/>
  <c r="E509" i="2"/>
  <c r="D509" i="2"/>
  <c r="C509" i="2"/>
  <c r="B509" i="2"/>
  <c r="A509" i="2"/>
  <c r="O508" i="2"/>
  <c r="N508" i="2"/>
  <c r="P508" i="2" s="1"/>
  <c r="M508" i="2"/>
  <c r="L508" i="2"/>
  <c r="Q508" i="2" s="1"/>
  <c r="K508" i="2"/>
  <c r="J508" i="2"/>
  <c r="I508" i="2"/>
  <c r="H508" i="2"/>
  <c r="G508" i="2"/>
  <c r="F508" i="2"/>
  <c r="E508" i="2"/>
  <c r="D508" i="2"/>
  <c r="C508" i="2"/>
  <c r="B508" i="2"/>
  <c r="A508" i="2"/>
  <c r="P507" i="2"/>
  <c r="O507" i="2"/>
  <c r="N507" i="2"/>
  <c r="M507" i="2"/>
  <c r="L507" i="2"/>
  <c r="Q507" i="2" s="1"/>
  <c r="K507" i="2"/>
  <c r="J507" i="2"/>
  <c r="I507" i="2"/>
  <c r="H507" i="2"/>
  <c r="G507" i="2"/>
  <c r="F507" i="2"/>
  <c r="E507" i="2"/>
  <c r="D507" i="2"/>
  <c r="C507" i="2"/>
  <c r="B507" i="2"/>
  <c r="A507" i="2"/>
  <c r="Q506" i="2"/>
  <c r="N506" i="2"/>
  <c r="P506" i="2" s="1"/>
  <c r="M506" i="2"/>
  <c r="L506" i="2"/>
  <c r="K506" i="2"/>
  <c r="J506" i="2"/>
  <c r="I506" i="2"/>
  <c r="H506" i="2"/>
  <c r="G506" i="2"/>
  <c r="F506" i="2"/>
  <c r="E506" i="2"/>
  <c r="D506" i="2"/>
  <c r="C506" i="2"/>
  <c r="B506" i="2"/>
  <c r="O506" i="2" s="1"/>
  <c r="A506" i="2"/>
  <c r="N505" i="2"/>
  <c r="P505" i="2" s="1"/>
  <c r="M505" i="2"/>
  <c r="L505" i="2"/>
  <c r="Q505" i="2" s="1"/>
  <c r="K505" i="2"/>
  <c r="J505" i="2"/>
  <c r="I505" i="2"/>
  <c r="H505" i="2"/>
  <c r="G505" i="2"/>
  <c r="F505" i="2"/>
  <c r="E505" i="2"/>
  <c r="D505" i="2"/>
  <c r="C505" i="2"/>
  <c r="B505" i="2"/>
  <c r="O505" i="2" s="1"/>
  <c r="A505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O504" i="2" s="1"/>
  <c r="A504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O503" i="2" s="1"/>
  <c r="A503" i="2"/>
  <c r="N502" i="2"/>
  <c r="P502" i="2" s="1"/>
  <c r="M502" i="2"/>
  <c r="L502" i="2"/>
  <c r="Q502" i="2" s="1"/>
  <c r="K502" i="2"/>
  <c r="J502" i="2"/>
  <c r="I502" i="2"/>
  <c r="H502" i="2"/>
  <c r="G502" i="2"/>
  <c r="F502" i="2"/>
  <c r="E502" i="2"/>
  <c r="D502" i="2"/>
  <c r="C502" i="2"/>
  <c r="B502" i="2"/>
  <c r="O502" i="2" s="1"/>
  <c r="A502" i="2"/>
  <c r="Q501" i="2"/>
  <c r="O501" i="2"/>
  <c r="N501" i="2"/>
  <c r="P501" i="2" s="1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P500" i="2"/>
  <c r="O500" i="2"/>
  <c r="N500" i="2"/>
  <c r="M500" i="2"/>
  <c r="L500" i="2"/>
  <c r="Q500" i="2" s="1"/>
  <c r="K500" i="2"/>
  <c r="J500" i="2"/>
  <c r="I500" i="2"/>
  <c r="H500" i="2"/>
  <c r="G500" i="2"/>
  <c r="F500" i="2"/>
  <c r="E500" i="2"/>
  <c r="D500" i="2"/>
  <c r="C500" i="2"/>
  <c r="B500" i="2"/>
  <c r="A500" i="2"/>
  <c r="Q499" i="2"/>
  <c r="N499" i="2"/>
  <c r="M499" i="2"/>
  <c r="L499" i="2"/>
  <c r="P499" i="2" s="1"/>
  <c r="K499" i="2"/>
  <c r="J499" i="2"/>
  <c r="I499" i="2"/>
  <c r="H499" i="2"/>
  <c r="G499" i="2"/>
  <c r="F499" i="2"/>
  <c r="E499" i="2"/>
  <c r="D499" i="2"/>
  <c r="C499" i="2"/>
  <c r="B499" i="2"/>
  <c r="O499" i="2" s="1"/>
  <c r="A499" i="2"/>
  <c r="Q498" i="2"/>
  <c r="N498" i="2"/>
  <c r="P498" i="2" s="1"/>
  <c r="M498" i="2"/>
  <c r="L498" i="2"/>
  <c r="K498" i="2"/>
  <c r="J498" i="2"/>
  <c r="I498" i="2"/>
  <c r="H498" i="2"/>
  <c r="G498" i="2"/>
  <c r="F498" i="2"/>
  <c r="E498" i="2"/>
  <c r="D498" i="2"/>
  <c r="C498" i="2"/>
  <c r="B498" i="2"/>
  <c r="O498" i="2" s="1"/>
  <c r="A498" i="2"/>
  <c r="Q497" i="2"/>
  <c r="N497" i="2"/>
  <c r="P497" i="2" s="1"/>
  <c r="M497" i="2"/>
  <c r="L497" i="2"/>
  <c r="K497" i="2"/>
  <c r="J497" i="2"/>
  <c r="I497" i="2"/>
  <c r="H497" i="2"/>
  <c r="G497" i="2"/>
  <c r="F497" i="2"/>
  <c r="E497" i="2"/>
  <c r="D497" i="2"/>
  <c r="C497" i="2"/>
  <c r="B497" i="2"/>
  <c r="O497" i="2" s="1"/>
  <c r="A497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O496" i="2" s="1"/>
  <c r="A496" i="2"/>
  <c r="Q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O495" i="2" s="1"/>
  <c r="A495" i="2"/>
  <c r="N494" i="2"/>
  <c r="P494" i="2" s="1"/>
  <c r="M494" i="2"/>
  <c r="L494" i="2"/>
  <c r="Q494" i="2" s="1"/>
  <c r="K494" i="2"/>
  <c r="J494" i="2"/>
  <c r="I494" i="2"/>
  <c r="H494" i="2"/>
  <c r="G494" i="2"/>
  <c r="F494" i="2"/>
  <c r="E494" i="2"/>
  <c r="D494" i="2"/>
  <c r="C494" i="2"/>
  <c r="B494" i="2"/>
  <c r="O494" i="2" s="1"/>
  <c r="A494" i="2"/>
  <c r="N493" i="2"/>
  <c r="P493" i="2" s="1"/>
  <c r="M493" i="2"/>
  <c r="L493" i="2"/>
  <c r="Q493" i="2" s="1"/>
  <c r="K493" i="2"/>
  <c r="J493" i="2"/>
  <c r="I493" i="2"/>
  <c r="H493" i="2"/>
  <c r="G493" i="2"/>
  <c r="F493" i="2"/>
  <c r="E493" i="2"/>
  <c r="D493" i="2"/>
  <c r="C493" i="2"/>
  <c r="B493" i="2"/>
  <c r="O493" i="2" s="1"/>
  <c r="A493" i="2"/>
  <c r="N492" i="2"/>
  <c r="M492" i="2"/>
  <c r="L492" i="2"/>
  <c r="Q492" i="2" s="1"/>
  <c r="K492" i="2"/>
  <c r="J492" i="2"/>
  <c r="I492" i="2"/>
  <c r="H492" i="2"/>
  <c r="G492" i="2"/>
  <c r="F492" i="2"/>
  <c r="E492" i="2"/>
  <c r="D492" i="2"/>
  <c r="C492" i="2"/>
  <c r="B492" i="2"/>
  <c r="O492" i="2" s="1"/>
  <c r="A492" i="2"/>
  <c r="N491" i="2"/>
  <c r="P491" i="2" s="1"/>
  <c r="M491" i="2"/>
  <c r="L491" i="2"/>
  <c r="Q491" i="2" s="1"/>
  <c r="K491" i="2"/>
  <c r="J491" i="2"/>
  <c r="I491" i="2"/>
  <c r="H491" i="2"/>
  <c r="G491" i="2"/>
  <c r="F491" i="2"/>
  <c r="E491" i="2"/>
  <c r="D491" i="2"/>
  <c r="C491" i="2"/>
  <c r="B491" i="2"/>
  <c r="O491" i="2" s="1"/>
  <c r="A491" i="2"/>
  <c r="Q490" i="2"/>
  <c r="N490" i="2"/>
  <c r="P490" i="2" s="1"/>
  <c r="M490" i="2"/>
  <c r="L490" i="2"/>
  <c r="K490" i="2"/>
  <c r="J490" i="2"/>
  <c r="I490" i="2"/>
  <c r="H490" i="2"/>
  <c r="G490" i="2"/>
  <c r="F490" i="2"/>
  <c r="E490" i="2"/>
  <c r="D490" i="2"/>
  <c r="C490" i="2"/>
  <c r="B490" i="2"/>
  <c r="O490" i="2" s="1"/>
  <c r="A490" i="2"/>
  <c r="Q489" i="2"/>
  <c r="N489" i="2"/>
  <c r="P489" i="2" s="1"/>
  <c r="M489" i="2"/>
  <c r="L489" i="2"/>
  <c r="K489" i="2"/>
  <c r="J489" i="2"/>
  <c r="I489" i="2"/>
  <c r="H489" i="2"/>
  <c r="G489" i="2"/>
  <c r="F489" i="2"/>
  <c r="E489" i="2"/>
  <c r="D489" i="2"/>
  <c r="C489" i="2"/>
  <c r="B489" i="2"/>
  <c r="O489" i="2" s="1"/>
  <c r="A489" i="2"/>
  <c r="N488" i="2"/>
  <c r="P488" i="2" s="1"/>
  <c r="M488" i="2"/>
  <c r="L488" i="2"/>
  <c r="Q488" i="2" s="1"/>
  <c r="K488" i="2"/>
  <c r="J488" i="2"/>
  <c r="I488" i="2"/>
  <c r="H488" i="2"/>
  <c r="G488" i="2"/>
  <c r="F488" i="2"/>
  <c r="E488" i="2"/>
  <c r="D488" i="2"/>
  <c r="C488" i="2"/>
  <c r="B488" i="2"/>
  <c r="O488" i="2" s="1"/>
  <c r="A488" i="2"/>
  <c r="N487" i="2"/>
  <c r="M487" i="2"/>
  <c r="L487" i="2"/>
  <c r="P487" i="2" s="1"/>
  <c r="K487" i="2"/>
  <c r="J487" i="2"/>
  <c r="I487" i="2"/>
  <c r="H487" i="2"/>
  <c r="G487" i="2"/>
  <c r="F487" i="2"/>
  <c r="E487" i="2"/>
  <c r="D487" i="2"/>
  <c r="C487" i="2"/>
  <c r="B487" i="2"/>
  <c r="O487" i="2" s="1"/>
  <c r="A487" i="2"/>
  <c r="N486" i="2"/>
  <c r="P486" i="2" s="1"/>
  <c r="M486" i="2"/>
  <c r="L486" i="2"/>
  <c r="Q486" i="2" s="1"/>
  <c r="K486" i="2"/>
  <c r="J486" i="2"/>
  <c r="I486" i="2"/>
  <c r="H486" i="2"/>
  <c r="G486" i="2"/>
  <c r="F486" i="2"/>
  <c r="E486" i="2"/>
  <c r="D486" i="2"/>
  <c r="C486" i="2"/>
  <c r="B486" i="2"/>
  <c r="O486" i="2" s="1"/>
  <c r="A486" i="2"/>
  <c r="Q485" i="2"/>
  <c r="O485" i="2"/>
  <c r="N485" i="2"/>
  <c r="P485" i="2" s="1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N484" i="2"/>
  <c r="P484" i="2" s="1"/>
  <c r="M484" i="2"/>
  <c r="L484" i="2"/>
  <c r="Q484" i="2" s="1"/>
  <c r="K484" i="2"/>
  <c r="J484" i="2"/>
  <c r="I484" i="2"/>
  <c r="H484" i="2"/>
  <c r="G484" i="2"/>
  <c r="F484" i="2"/>
  <c r="E484" i="2"/>
  <c r="D484" i="2"/>
  <c r="C484" i="2"/>
  <c r="B484" i="2"/>
  <c r="O484" i="2" s="1"/>
  <c r="A484" i="2"/>
  <c r="Q483" i="2"/>
  <c r="O483" i="2"/>
  <c r="N483" i="2"/>
  <c r="P483" i="2" s="1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N482" i="2"/>
  <c r="P482" i="2" s="1"/>
  <c r="M482" i="2"/>
  <c r="L482" i="2"/>
  <c r="Q482" i="2" s="1"/>
  <c r="K482" i="2"/>
  <c r="J482" i="2"/>
  <c r="I482" i="2"/>
  <c r="H482" i="2"/>
  <c r="G482" i="2"/>
  <c r="F482" i="2"/>
  <c r="E482" i="2"/>
  <c r="D482" i="2"/>
  <c r="C482" i="2"/>
  <c r="B482" i="2"/>
  <c r="O482" i="2" s="1"/>
  <c r="A482" i="2"/>
  <c r="N481" i="2"/>
  <c r="P481" i="2" s="1"/>
  <c r="M481" i="2"/>
  <c r="L481" i="2"/>
  <c r="Q481" i="2" s="1"/>
  <c r="K481" i="2"/>
  <c r="J481" i="2"/>
  <c r="I481" i="2"/>
  <c r="H481" i="2"/>
  <c r="G481" i="2"/>
  <c r="F481" i="2"/>
  <c r="E481" i="2"/>
  <c r="D481" i="2"/>
  <c r="C481" i="2"/>
  <c r="B481" i="2"/>
  <c r="O481" i="2" s="1"/>
  <c r="A481" i="2"/>
  <c r="N480" i="2"/>
  <c r="P480" i="2" s="1"/>
  <c r="M480" i="2"/>
  <c r="L480" i="2"/>
  <c r="Q480" i="2" s="1"/>
  <c r="K480" i="2"/>
  <c r="J480" i="2"/>
  <c r="I480" i="2"/>
  <c r="H480" i="2"/>
  <c r="G480" i="2"/>
  <c r="F480" i="2"/>
  <c r="E480" i="2"/>
  <c r="D480" i="2"/>
  <c r="C480" i="2"/>
  <c r="B480" i="2"/>
  <c r="O480" i="2" s="1"/>
  <c r="A480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O479" i="2" s="1"/>
  <c r="A479" i="2"/>
  <c r="N478" i="2"/>
  <c r="M478" i="2"/>
  <c r="L478" i="2"/>
  <c r="Q478" i="2" s="1"/>
  <c r="K478" i="2"/>
  <c r="J478" i="2"/>
  <c r="I478" i="2"/>
  <c r="H478" i="2"/>
  <c r="G478" i="2"/>
  <c r="F478" i="2"/>
  <c r="E478" i="2"/>
  <c r="D478" i="2"/>
  <c r="C478" i="2"/>
  <c r="B478" i="2"/>
  <c r="O478" i="2" s="1"/>
  <c r="A478" i="2"/>
  <c r="Q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P476" i="2"/>
  <c r="O476" i="2"/>
  <c r="N476" i="2"/>
  <c r="M476" i="2"/>
  <c r="L476" i="2"/>
  <c r="Q476" i="2" s="1"/>
  <c r="K476" i="2"/>
  <c r="J476" i="2"/>
  <c r="I476" i="2"/>
  <c r="H476" i="2"/>
  <c r="G476" i="2"/>
  <c r="F476" i="2"/>
  <c r="E476" i="2"/>
  <c r="D476" i="2"/>
  <c r="C476" i="2"/>
  <c r="B476" i="2"/>
  <c r="A476" i="2"/>
  <c r="Q475" i="2"/>
  <c r="N475" i="2"/>
  <c r="M475" i="2"/>
  <c r="L475" i="2"/>
  <c r="P475" i="2" s="1"/>
  <c r="K475" i="2"/>
  <c r="J475" i="2"/>
  <c r="I475" i="2"/>
  <c r="H475" i="2"/>
  <c r="G475" i="2"/>
  <c r="F475" i="2"/>
  <c r="E475" i="2"/>
  <c r="D475" i="2"/>
  <c r="C475" i="2"/>
  <c r="B475" i="2"/>
  <c r="O475" i="2" s="1"/>
  <c r="A475" i="2"/>
  <c r="N474" i="2"/>
  <c r="P474" i="2" s="1"/>
  <c r="M474" i="2"/>
  <c r="L474" i="2"/>
  <c r="Q474" i="2" s="1"/>
  <c r="K474" i="2"/>
  <c r="J474" i="2"/>
  <c r="I474" i="2"/>
  <c r="H474" i="2"/>
  <c r="G474" i="2"/>
  <c r="F474" i="2"/>
  <c r="E474" i="2"/>
  <c r="D474" i="2"/>
  <c r="C474" i="2"/>
  <c r="B474" i="2"/>
  <c r="O474" i="2" s="1"/>
  <c r="A474" i="2"/>
  <c r="Q473" i="2"/>
  <c r="N473" i="2"/>
  <c r="P473" i="2" s="1"/>
  <c r="M473" i="2"/>
  <c r="L473" i="2"/>
  <c r="K473" i="2"/>
  <c r="J473" i="2"/>
  <c r="I473" i="2"/>
  <c r="H473" i="2"/>
  <c r="G473" i="2"/>
  <c r="F473" i="2"/>
  <c r="E473" i="2"/>
  <c r="D473" i="2"/>
  <c r="C473" i="2"/>
  <c r="B473" i="2"/>
  <c r="O473" i="2" s="1"/>
  <c r="A473" i="2"/>
  <c r="N472" i="2"/>
  <c r="M472" i="2"/>
  <c r="L472" i="2"/>
  <c r="Q472" i="2" s="1"/>
  <c r="K472" i="2"/>
  <c r="J472" i="2"/>
  <c r="I472" i="2"/>
  <c r="H472" i="2"/>
  <c r="G472" i="2"/>
  <c r="F472" i="2"/>
  <c r="E472" i="2"/>
  <c r="D472" i="2"/>
  <c r="C472" i="2"/>
  <c r="B472" i="2"/>
  <c r="O472" i="2" s="1"/>
  <c r="A472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N470" i="2"/>
  <c r="P470" i="2" s="1"/>
  <c r="M470" i="2"/>
  <c r="L470" i="2"/>
  <c r="Q470" i="2" s="1"/>
  <c r="K470" i="2"/>
  <c r="J470" i="2"/>
  <c r="I470" i="2"/>
  <c r="H470" i="2"/>
  <c r="G470" i="2"/>
  <c r="F470" i="2"/>
  <c r="E470" i="2"/>
  <c r="D470" i="2"/>
  <c r="C470" i="2"/>
  <c r="B470" i="2"/>
  <c r="O470" i="2" s="1"/>
  <c r="A470" i="2"/>
  <c r="N469" i="2"/>
  <c r="P469" i="2" s="1"/>
  <c r="M469" i="2"/>
  <c r="L469" i="2"/>
  <c r="Q469" i="2" s="1"/>
  <c r="K469" i="2"/>
  <c r="J469" i="2"/>
  <c r="I469" i="2"/>
  <c r="H469" i="2"/>
  <c r="G469" i="2"/>
  <c r="F469" i="2"/>
  <c r="E469" i="2"/>
  <c r="D469" i="2"/>
  <c r="C469" i="2"/>
  <c r="B469" i="2"/>
  <c r="O469" i="2" s="1"/>
  <c r="A469" i="2"/>
  <c r="N468" i="2"/>
  <c r="P468" i="2" s="1"/>
  <c r="M468" i="2"/>
  <c r="L468" i="2"/>
  <c r="Q468" i="2" s="1"/>
  <c r="K468" i="2"/>
  <c r="J468" i="2"/>
  <c r="I468" i="2"/>
  <c r="H468" i="2"/>
  <c r="G468" i="2"/>
  <c r="F468" i="2"/>
  <c r="E468" i="2"/>
  <c r="D468" i="2"/>
  <c r="C468" i="2"/>
  <c r="B468" i="2"/>
  <c r="O468" i="2" s="1"/>
  <c r="A468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O466" i="2" s="1"/>
  <c r="A466" i="2"/>
  <c r="O465" i="2"/>
  <c r="N465" i="2"/>
  <c r="M465" i="2"/>
  <c r="L465" i="2"/>
  <c r="Q465" i="2" s="1"/>
  <c r="K465" i="2"/>
  <c r="J465" i="2"/>
  <c r="I465" i="2"/>
  <c r="H465" i="2"/>
  <c r="G465" i="2"/>
  <c r="F465" i="2"/>
  <c r="E465" i="2"/>
  <c r="D465" i="2"/>
  <c r="C465" i="2"/>
  <c r="B465" i="2"/>
  <c r="A465" i="2"/>
  <c r="N464" i="2"/>
  <c r="P464" i="2" s="1"/>
  <c r="M464" i="2"/>
  <c r="L464" i="2"/>
  <c r="Q464" i="2" s="1"/>
  <c r="K464" i="2"/>
  <c r="J464" i="2"/>
  <c r="I464" i="2"/>
  <c r="H464" i="2"/>
  <c r="G464" i="2"/>
  <c r="F464" i="2"/>
  <c r="E464" i="2"/>
  <c r="D464" i="2"/>
  <c r="C464" i="2"/>
  <c r="B464" i="2"/>
  <c r="O464" i="2" s="1"/>
  <c r="A464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O463" i="2" s="1"/>
  <c r="A463" i="2"/>
  <c r="N462" i="2"/>
  <c r="M462" i="2"/>
  <c r="L462" i="2"/>
  <c r="Q462" i="2" s="1"/>
  <c r="K462" i="2"/>
  <c r="J462" i="2"/>
  <c r="I462" i="2"/>
  <c r="H462" i="2"/>
  <c r="G462" i="2"/>
  <c r="F462" i="2"/>
  <c r="E462" i="2"/>
  <c r="D462" i="2"/>
  <c r="C462" i="2"/>
  <c r="B462" i="2"/>
  <c r="O462" i="2" s="1"/>
  <c r="A462" i="2"/>
  <c r="N461" i="2"/>
  <c r="M461" i="2"/>
  <c r="L461" i="2"/>
  <c r="Q461" i="2" s="1"/>
  <c r="K461" i="2"/>
  <c r="J461" i="2"/>
  <c r="I461" i="2"/>
  <c r="H461" i="2"/>
  <c r="G461" i="2"/>
  <c r="F461" i="2"/>
  <c r="E461" i="2"/>
  <c r="D461" i="2"/>
  <c r="C461" i="2"/>
  <c r="B461" i="2"/>
  <c r="O461" i="2" s="1"/>
  <c r="A461" i="2"/>
  <c r="O460" i="2"/>
  <c r="N460" i="2"/>
  <c r="P460" i="2" s="1"/>
  <c r="M460" i="2"/>
  <c r="L460" i="2"/>
  <c r="Q460" i="2" s="1"/>
  <c r="K460" i="2"/>
  <c r="J460" i="2"/>
  <c r="I460" i="2"/>
  <c r="H460" i="2"/>
  <c r="G460" i="2"/>
  <c r="F460" i="2"/>
  <c r="E460" i="2"/>
  <c r="D460" i="2"/>
  <c r="C460" i="2"/>
  <c r="B460" i="2"/>
  <c r="A460" i="2"/>
  <c r="Q459" i="2"/>
  <c r="N459" i="2"/>
  <c r="M459" i="2"/>
  <c r="L459" i="2"/>
  <c r="P459" i="2" s="1"/>
  <c r="K459" i="2"/>
  <c r="J459" i="2"/>
  <c r="I459" i="2"/>
  <c r="H459" i="2"/>
  <c r="G459" i="2"/>
  <c r="F459" i="2"/>
  <c r="E459" i="2"/>
  <c r="D459" i="2"/>
  <c r="C459" i="2"/>
  <c r="B459" i="2"/>
  <c r="O459" i="2" s="1"/>
  <c r="A459" i="2"/>
  <c r="N458" i="2"/>
  <c r="P458" i="2" s="1"/>
  <c r="M458" i="2"/>
  <c r="L458" i="2"/>
  <c r="Q458" i="2" s="1"/>
  <c r="K458" i="2"/>
  <c r="J458" i="2"/>
  <c r="I458" i="2"/>
  <c r="H458" i="2"/>
  <c r="G458" i="2"/>
  <c r="F458" i="2"/>
  <c r="E458" i="2"/>
  <c r="D458" i="2"/>
  <c r="C458" i="2"/>
  <c r="B458" i="2"/>
  <c r="O458" i="2" s="1"/>
  <c r="A458" i="2"/>
  <c r="N457" i="2"/>
  <c r="M457" i="2"/>
  <c r="L457" i="2"/>
  <c r="Q457" i="2" s="1"/>
  <c r="K457" i="2"/>
  <c r="J457" i="2"/>
  <c r="I457" i="2"/>
  <c r="H457" i="2"/>
  <c r="G457" i="2"/>
  <c r="F457" i="2"/>
  <c r="E457" i="2"/>
  <c r="D457" i="2"/>
  <c r="C457" i="2"/>
  <c r="B457" i="2"/>
  <c r="O457" i="2" s="1"/>
  <c r="A457" i="2"/>
  <c r="N456" i="2"/>
  <c r="P456" i="2" s="1"/>
  <c r="M456" i="2"/>
  <c r="L456" i="2"/>
  <c r="Q456" i="2" s="1"/>
  <c r="K456" i="2"/>
  <c r="J456" i="2"/>
  <c r="I456" i="2"/>
  <c r="H456" i="2"/>
  <c r="G456" i="2"/>
  <c r="F456" i="2"/>
  <c r="E456" i="2"/>
  <c r="D456" i="2"/>
  <c r="C456" i="2"/>
  <c r="B456" i="2"/>
  <c r="O456" i="2" s="1"/>
  <c r="A456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N454" i="2"/>
  <c r="M454" i="2"/>
  <c r="L454" i="2"/>
  <c r="Q454" i="2" s="1"/>
  <c r="K454" i="2"/>
  <c r="J454" i="2"/>
  <c r="I454" i="2"/>
  <c r="H454" i="2"/>
  <c r="G454" i="2"/>
  <c r="F454" i="2"/>
  <c r="E454" i="2"/>
  <c r="D454" i="2"/>
  <c r="C454" i="2"/>
  <c r="B454" i="2"/>
  <c r="O454" i="2" s="1"/>
  <c r="A454" i="2"/>
  <c r="O453" i="2"/>
  <c r="N453" i="2"/>
  <c r="M453" i="2"/>
  <c r="L453" i="2"/>
  <c r="Q453" i="2" s="1"/>
  <c r="K453" i="2"/>
  <c r="J453" i="2"/>
  <c r="I453" i="2"/>
  <c r="H453" i="2"/>
  <c r="G453" i="2"/>
  <c r="F453" i="2"/>
  <c r="E453" i="2"/>
  <c r="D453" i="2"/>
  <c r="C453" i="2"/>
  <c r="B453" i="2"/>
  <c r="A453" i="2"/>
  <c r="N452" i="2"/>
  <c r="P452" i="2" s="1"/>
  <c r="M452" i="2"/>
  <c r="L452" i="2"/>
  <c r="Q452" i="2" s="1"/>
  <c r="K452" i="2"/>
  <c r="J452" i="2"/>
  <c r="I452" i="2"/>
  <c r="H452" i="2"/>
  <c r="G452" i="2"/>
  <c r="F452" i="2"/>
  <c r="E452" i="2"/>
  <c r="D452" i="2"/>
  <c r="C452" i="2"/>
  <c r="B452" i="2"/>
  <c r="O452" i="2" s="1"/>
  <c r="A452" i="2"/>
  <c r="N451" i="2"/>
  <c r="P451" i="2" s="1"/>
  <c r="M451" i="2"/>
  <c r="L451" i="2"/>
  <c r="Q451" i="2" s="1"/>
  <c r="K451" i="2"/>
  <c r="J451" i="2"/>
  <c r="I451" i="2"/>
  <c r="H451" i="2"/>
  <c r="G451" i="2"/>
  <c r="F451" i="2"/>
  <c r="E451" i="2"/>
  <c r="D451" i="2"/>
  <c r="C451" i="2"/>
  <c r="B451" i="2"/>
  <c r="O451" i="2" s="1"/>
  <c r="A451" i="2"/>
  <c r="N450" i="2"/>
  <c r="M450" i="2"/>
  <c r="L450" i="2"/>
  <c r="Q450" i="2" s="1"/>
  <c r="K450" i="2"/>
  <c r="J450" i="2"/>
  <c r="I450" i="2"/>
  <c r="H450" i="2"/>
  <c r="G450" i="2"/>
  <c r="F450" i="2"/>
  <c r="E450" i="2"/>
  <c r="D450" i="2"/>
  <c r="C450" i="2"/>
  <c r="B450" i="2"/>
  <c r="O450" i="2" s="1"/>
  <c r="A450" i="2"/>
  <c r="N449" i="2"/>
  <c r="M449" i="2"/>
  <c r="L449" i="2"/>
  <c r="Q449" i="2" s="1"/>
  <c r="K449" i="2"/>
  <c r="J449" i="2"/>
  <c r="I449" i="2"/>
  <c r="H449" i="2"/>
  <c r="G449" i="2"/>
  <c r="F449" i="2"/>
  <c r="E449" i="2"/>
  <c r="D449" i="2"/>
  <c r="C449" i="2"/>
  <c r="B449" i="2"/>
  <c r="O449" i="2" s="1"/>
  <c r="A449" i="2"/>
  <c r="N448" i="2"/>
  <c r="P448" i="2" s="1"/>
  <c r="M448" i="2"/>
  <c r="L448" i="2"/>
  <c r="Q448" i="2" s="1"/>
  <c r="K448" i="2"/>
  <c r="J448" i="2"/>
  <c r="I448" i="2"/>
  <c r="H448" i="2"/>
  <c r="G448" i="2"/>
  <c r="F448" i="2"/>
  <c r="E448" i="2"/>
  <c r="D448" i="2"/>
  <c r="C448" i="2"/>
  <c r="B448" i="2"/>
  <c r="O448" i="2" s="1"/>
  <c r="A448" i="2"/>
  <c r="Q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O446" i="2" s="1"/>
  <c r="A446" i="2"/>
  <c r="Q445" i="2"/>
  <c r="N445" i="2"/>
  <c r="P445" i="2" s="1"/>
  <c r="M445" i="2"/>
  <c r="L445" i="2"/>
  <c r="K445" i="2"/>
  <c r="J445" i="2"/>
  <c r="I445" i="2"/>
  <c r="H445" i="2"/>
  <c r="G445" i="2"/>
  <c r="F445" i="2"/>
  <c r="E445" i="2"/>
  <c r="D445" i="2"/>
  <c r="C445" i="2"/>
  <c r="B445" i="2"/>
  <c r="O445" i="2" s="1"/>
  <c r="A445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P443" i="2"/>
  <c r="N443" i="2"/>
  <c r="M443" i="2"/>
  <c r="L443" i="2"/>
  <c r="Q443" i="2" s="1"/>
  <c r="K443" i="2"/>
  <c r="J443" i="2"/>
  <c r="I443" i="2"/>
  <c r="H443" i="2"/>
  <c r="G443" i="2"/>
  <c r="F443" i="2"/>
  <c r="E443" i="2"/>
  <c r="D443" i="2"/>
  <c r="C443" i="2"/>
  <c r="B443" i="2"/>
  <c r="O443" i="2" s="1"/>
  <c r="A443" i="2"/>
  <c r="N442" i="2"/>
  <c r="M442" i="2"/>
  <c r="L442" i="2"/>
  <c r="Q442" i="2" s="1"/>
  <c r="K442" i="2"/>
  <c r="J442" i="2"/>
  <c r="I442" i="2"/>
  <c r="H442" i="2"/>
  <c r="G442" i="2"/>
  <c r="F442" i="2"/>
  <c r="E442" i="2"/>
  <c r="D442" i="2"/>
  <c r="C442" i="2"/>
  <c r="B442" i="2"/>
  <c r="O442" i="2" s="1"/>
  <c r="A442" i="2"/>
  <c r="N441" i="2"/>
  <c r="P441" i="2" s="1"/>
  <c r="M441" i="2"/>
  <c r="L441" i="2"/>
  <c r="Q441" i="2" s="1"/>
  <c r="K441" i="2"/>
  <c r="J441" i="2"/>
  <c r="I441" i="2"/>
  <c r="H441" i="2"/>
  <c r="G441" i="2"/>
  <c r="F441" i="2"/>
  <c r="E441" i="2"/>
  <c r="D441" i="2"/>
  <c r="C441" i="2"/>
  <c r="B441" i="2"/>
  <c r="O441" i="2" s="1"/>
  <c r="A441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O440" i="2" s="1"/>
  <c r="A440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N438" i="2"/>
  <c r="P438" i="2" s="1"/>
  <c r="M438" i="2"/>
  <c r="L438" i="2"/>
  <c r="Q438" i="2" s="1"/>
  <c r="K438" i="2"/>
  <c r="J438" i="2"/>
  <c r="I438" i="2"/>
  <c r="H438" i="2"/>
  <c r="G438" i="2"/>
  <c r="F438" i="2"/>
  <c r="E438" i="2"/>
  <c r="D438" i="2"/>
  <c r="C438" i="2"/>
  <c r="B438" i="2"/>
  <c r="O438" i="2" s="1"/>
  <c r="A438" i="2"/>
  <c r="O437" i="2"/>
  <c r="N437" i="2"/>
  <c r="P437" i="2" s="1"/>
  <c r="M437" i="2"/>
  <c r="L437" i="2"/>
  <c r="Q437" i="2" s="1"/>
  <c r="K437" i="2"/>
  <c r="J437" i="2"/>
  <c r="I437" i="2"/>
  <c r="H437" i="2"/>
  <c r="G437" i="2"/>
  <c r="F437" i="2"/>
  <c r="E437" i="2"/>
  <c r="D437" i="2"/>
  <c r="C437" i="2"/>
  <c r="B437" i="2"/>
  <c r="A437" i="2"/>
  <c r="N436" i="2"/>
  <c r="M436" i="2"/>
  <c r="L436" i="2"/>
  <c r="Q436" i="2" s="1"/>
  <c r="K436" i="2"/>
  <c r="J436" i="2"/>
  <c r="I436" i="2"/>
  <c r="H436" i="2"/>
  <c r="G436" i="2"/>
  <c r="F436" i="2"/>
  <c r="E436" i="2"/>
  <c r="D436" i="2"/>
  <c r="C436" i="2"/>
  <c r="B436" i="2"/>
  <c r="O436" i="2" s="1"/>
  <c r="A436" i="2"/>
  <c r="P435" i="2"/>
  <c r="N435" i="2"/>
  <c r="M435" i="2"/>
  <c r="L435" i="2"/>
  <c r="Q435" i="2" s="1"/>
  <c r="K435" i="2"/>
  <c r="J435" i="2"/>
  <c r="I435" i="2"/>
  <c r="H435" i="2"/>
  <c r="G435" i="2"/>
  <c r="F435" i="2"/>
  <c r="E435" i="2"/>
  <c r="D435" i="2"/>
  <c r="C435" i="2"/>
  <c r="B435" i="2"/>
  <c r="O435" i="2" s="1"/>
  <c r="A435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O434" i="2" s="1"/>
  <c r="A434" i="2"/>
  <c r="N433" i="2"/>
  <c r="P433" i="2" s="1"/>
  <c r="M433" i="2"/>
  <c r="L433" i="2"/>
  <c r="Q433" i="2" s="1"/>
  <c r="K433" i="2"/>
  <c r="J433" i="2"/>
  <c r="I433" i="2"/>
  <c r="H433" i="2"/>
  <c r="G433" i="2"/>
  <c r="F433" i="2"/>
  <c r="E433" i="2"/>
  <c r="D433" i="2"/>
  <c r="C433" i="2"/>
  <c r="B433" i="2"/>
  <c r="O433" i="2" s="1"/>
  <c r="A433" i="2"/>
  <c r="N432" i="2"/>
  <c r="M432" i="2"/>
  <c r="L432" i="2"/>
  <c r="Q432" i="2" s="1"/>
  <c r="K432" i="2"/>
  <c r="J432" i="2"/>
  <c r="I432" i="2"/>
  <c r="H432" i="2"/>
  <c r="G432" i="2"/>
  <c r="F432" i="2"/>
  <c r="E432" i="2"/>
  <c r="D432" i="2"/>
  <c r="C432" i="2"/>
  <c r="B432" i="2"/>
  <c r="O432" i="2" s="1"/>
  <c r="A432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N430" i="2"/>
  <c r="P430" i="2" s="1"/>
  <c r="M430" i="2"/>
  <c r="L430" i="2"/>
  <c r="Q430" i="2" s="1"/>
  <c r="K430" i="2"/>
  <c r="J430" i="2"/>
  <c r="I430" i="2"/>
  <c r="H430" i="2"/>
  <c r="G430" i="2"/>
  <c r="F430" i="2"/>
  <c r="E430" i="2"/>
  <c r="D430" i="2"/>
  <c r="C430" i="2"/>
  <c r="B430" i="2"/>
  <c r="O430" i="2" s="1"/>
  <c r="A430" i="2"/>
  <c r="O429" i="2"/>
  <c r="N429" i="2"/>
  <c r="P429" i="2" s="1"/>
  <c r="M429" i="2"/>
  <c r="L429" i="2"/>
  <c r="Q429" i="2" s="1"/>
  <c r="K429" i="2"/>
  <c r="J429" i="2"/>
  <c r="I429" i="2"/>
  <c r="H429" i="2"/>
  <c r="G429" i="2"/>
  <c r="F429" i="2"/>
  <c r="E429" i="2"/>
  <c r="D429" i="2"/>
  <c r="C429" i="2"/>
  <c r="B429" i="2"/>
  <c r="A429" i="2"/>
  <c r="N428" i="2"/>
  <c r="M428" i="2"/>
  <c r="L428" i="2"/>
  <c r="Q428" i="2" s="1"/>
  <c r="K428" i="2"/>
  <c r="J428" i="2"/>
  <c r="I428" i="2"/>
  <c r="H428" i="2"/>
  <c r="G428" i="2"/>
  <c r="F428" i="2"/>
  <c r="E428" i="2"/>
  <c r="D428" i="2"/>
  <c r="C428" i="2"/>
  <c r="B428" i="2"/>
  <c r="O428" i="2" s="1"/>
  <c r="A428" i="2"/>
  <c r="P427" i="2"/>
  <c r="N427" i="2"/>
  <c r="M427" i="2"/>
  <c r="L427" i="2"/>
  <c r="Q427" i="2" s="1"/>
  <c r="K427" i="2"/>
  <c r="J427" i="2"/>
  <c r="I427" i="2"/>
  <c r="H427" i="2"/>
  <c r="G427" i="2"/>
  <c r="F427" i="2"/>
  <c r="E427" i="2"/>
  <c r="D427" i="2"/>
  <c r="C427" i="2"/>
  <c r="B427" i="2"/>
  <c r="O427" i="2" s="1"/>
  <c r="A427" i="2"/>
  <c r="N426" i="2"/>
  <c r="P426" i="2" s="1"/>
  <c r="M426" i="2"/>
  <c r="L426" i="2"/>
  <c r="Q426" i="2" s="1"/>
  <c r="K426" i="2"/>
  <c r="J426" i="2"/>
  <c r="I426" i="2"/>
  <c r="H426" i="2"/>
  <c r="G426" i="2"/>
  <c r="F426" i="2"/>
  <c r="E426" i="2"/>
  <c r="D426" i="2"/>
  <c r="C426" i="2"/>
  <c r="B426" i="2"/>
  <c r="O426" i="2" s="1"/>
  <c r="A426" i="2"/>
  <c r="N425" i="2"/>
  <c r="P425" i="2" s="1"/>
  <c r="M425" i="2"/>
  <c r="L425" i="2"/>
  <c r="Q425" i="2" s="1"/>
  <c r="K425" i="2"/>
  <c r="J425" i="2"/>
  <c r="I425" i="2"/>
  <c r="H425" i="2"/>
  <c r="G425" i="2"/>
  <c r="F425" i="2"/>
  <c r="E425" i="2"/>
  <c r="D425" i="2"/>
  <c r="C425" i="2"/>
  <c r="B425" i="2"/>
  <c r="O425" i="2" s="1"/>
  <c r="A425" i="2"/>
  <c r="N424" i="2"/>
  <c r="M424" i="2"/>
  <c r="L424" i="2"/>
  <c r="Q424" i="2" s="1"/>
  <c r="K424" i="2"/>
  <c r="J424" i="2"/>
  <c r="I424" i="2"/>
  <c r="H424" i="2"/>
  <c r="G424" i="2"/>
  <c r="F424" i="2"/>
  <c r="E424" i="2"/>
  <c r="D424" i="2"/>
  <c r="C424" i="2"/>
  <c r="B424" i="2"/>
  <c r="O424" i="2" s="1"/>
  <c r="A424" i="2"/>
  <c r="N423" i="2"/>
  <c r="M423" i="2"/>
  <c r="L423" i="2"/>
  <c r="P423" i="2" s="1"/>
  <c r="K423" i="2"/>
  <c r="J423" i="2"/>
  <c r="I423" i="2"/>
  <c r="H423" i="2"/>
  <c r="G423" i="2"/>
  <c r="F423" i="2"/>
  <c r="E423" i="2"/>
  <c r="D423" i="2"/>
  <c r="C423" i="2"/>
  <c r="B423" i="2"/>
  <c r="O423" i="2" s="1"/>
  <c r="A423" i="2"/>
  <c r="N422" i="2"/>
  <c r="P422" i="2" s="1"/>
  <c r="M422" i="2"/>
  <c r="L422" i="2"/>
  <c r="Q422" i="2" s="1"/>
  <c r="K422" i="2"/>
  <c r="J422" i="2"/>
  <c r="I422" i="2"/>
  <c r="H422" i="2"/>
  <c r="G422" i="2"/>
  <c r="F422" i="2"/>
  <c r="E422" i="2"/>
  <c r="D422" i="2"/>
  <c r="C422" i="2"/>
  <c r="B422" i="2"/>
  <c r="O422" i="2" s="1"/>
  <c r="A422" i="2"/>
  <c r="Q421" i="2"/>
  <c r="O421" i="2"/>
  <c r="N421" i="2"/>
  <c r="P421" i="2" s="1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N420" i="2"/>
  <c r="P420" i="2" s="1"/>
  <c r="M420" i="2"/>
  <c r="L420" i="2"/>
  <c r="Q420" i="2" s="1"/>
  <c r="K420" i="2"/>
  <c r="J420" i="2"/>
  <c r="I420" i="2"/>
  <c r="H420" i="2"/>
  <c r="G420" i="2"/>
  <c r="F420" i="2"/>
  <c r="E420" i="2"/>
  <c r="D420" i="2"/>
  <c r="C420" i="2"/>
  <c r="B420" i="2"/>
  <c r="O420" i="2" s="1"/>
  <c r="A420" i="2"/>
  <c r="Q419" i="2"/>
  <c r="O419" i="2"/>
  <c r="N419" i="2"/>
  <c r="P419" i="2" s="1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N418" i="2"/>
  <c r="P418" i="2" s="1"/>
  <c r="M418" i="2"/>
  <c r="L418" i="2"/>
  <c r="Q418" i="2" s="1"/>
  <c r="K418" i="2"/>
  <c r="J418" i="2"/>
  <c r="I418" i="2"/>
  <c r="H418" i="2"/>
  <c r="G418" i="2"/>
  <c r="F418" i="2"/>
  <c r="E418" i="2"/>
  <c r="D418" i="2"/>
  <c r="C418" i="2"/>
  <c r="B418" i="2"/>
  <c r="O418" i="2" s="1"/>
  <c r="A418" i="2"/>
  <c r="N417" i="2"/>
  <c r="P417" i="2" s="1"/>
  <c r="M417" i="2"/>
  <c r="L417" i="2"/>
  <c r="Q417" i="2" s="1"/>
  <c r="K417" i="2"/>
  <c r="J417" i="2"/>
  <c r="I417" i="2"/>
  <c r="H417" i="2"/>
  <c r="G417" i="2"/>
  <c r="F417" i="2"/>
  <c r="E417" i="2"/>
  <c r="D417" i="2"/>
  <c r="C417" i="2"/>
  <c r="B417" i="2"/>
  <c r="O417" i="2" s="1"/>
  <c r="A417" i="2"/>
  <c r="N416" i="2"/>
  <c r="P416" i="2" s="1"/>
  <c r="M416" i="2"/>
  <c r="L416" i="2"/>
  <c r="Q416" i="2" s="1"/>
  <c r="K416" i="2"/>
  <c r="J416" i="2"/>
  <c r="I416" i="2"/>
  <c r="H416" i="2"/>
  <c r="G416" i="2"/>
  <c r="F416" i="2"/>
  <c r="E416" i="2"/>
  <c r="D416" i="2"/>
  <c r="C416" i="2"/>
  <c r="B416" i="2"/>
  <c r="O416" i="2" s="1"/>
  <c r="A416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O415" i="2" s="1"/>
  <c r="A415" i="2"/>
  <c r="N414" i="2"/>
  <c r="M414" i="2"/>
  <c r="L414" i="2"/>
  <c r="Q414" i="2" s="1"/>
  <c r="K414" i="2"/>
  <c r="J414" i="2"/>
  <c r="I414" i="2"/>
  <c r="H414" i="2"/>
  <c r="G414" i="2"/>
  <c r="F414" i="2"/>
  <c r="E414" i="2"/>
  <c r="D414" i="2"/>
  <c r="C414" i="2"/>
  <c r="B414" i="2"/>
  <c r="O414" i="2" s="1"/>
  <c r="A414" i="2"/>
  <c r="Q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P412" i="2"/>
  <c r="O412" i="2"/>
  <c r="N412" i="2"/>
  <c r="M412" i="2"/>
  <c r="L412" i="2"/>
  <c r="Q412" i="2" s="1"/>
  <c r="K412" i="2"/>
  <c r="J412" i="2"/>
  <c r="I412" i="2"/>
  <c r="H412" i="2"/>
  <c r="G412" i="2"/>
  <c r="F412" i="2"/>
  <c r="E412" i="2"/>
  <c r="D412" i="2"/>
  <c r="C412" i="2"/>
  <c r="B412" i="2"/>
  <c r="A412" i="2"/>
  <c r="Q411" i="2"/>
  <c r="N411" i="2"/>
  <c r="M411" i="2"/>
  <c r="L411" i="2"/>
  <c r="P411" i="2" s="1"/>
  <c r="K411" i="2"/>
  <c r="J411" i="2"/>
  <c r="I411" i="2"/>
  <c r="H411" i="2"/>
  <c r="G411" i="2"/>
  <c r="F411" i="2"/>
  <c r="E411" i="2"/>
  <c r="D411" i="2"/>
  <c r="C411" i="2"/>
  <c r="B411" i="2"/>
  <c r="O411" i="2" s="1"/>
  <c r="A411" i="2"/>
  <c r="N410" i="2"/>
  <c r="P410" i="2" s="1"/>
  <c r="M410" i="2"/>
  <c r="L410" i="2"/>
  <c r="Q410" i="2" s="1"/>
  <c r="K410" i="2"/>
  <c r="J410" i="2"/>
  <c r="I410" i="2"/>
  <c r="H410" i="2"/>
  <c r="G410" i="2"/>
  <c r="F410" i="2"/>
  <c r="E410" i="2"/>
  <c r="D410" i="2"/>
  <c r="C410" i="2"/>
  <c r="B410" i="2"/>
  <c r="O410" i="2" s="1"/>
  <c r="A410" i="2"/>
  <c r="Q409" i="2"/>
  <c r="N409" i="2"/>
  <c r="P409" i="2" s="1"/>
  <c r="M409" i="2"/>
  <c r="L409" i="2"/>
  <c r="K409" i="2"/>
  <c r="J409" i="2"/>
  <c r="I409" i="2"/>
  <c r="H409" i="2"/>
  <c r="G409" i="2"/>
  <c r="F409" i="2"/>
  <c r="E409" i="2"/>
  <c r="D409" i="2"/>
  <c r="C409" i="2"/>
  <c r="B409" i="2"/>
  <c r="O409" i="2" s="1"/>
  <c r="A409" i="2"/>
  <c r="N408" i="2"/>
  <c r="M408" i="2"/>
  <c r="L408" i="2"/>
  <c r="Q408" i="2" s="1"/>
  <c r="K408" i="2"/>
  <c r="J408" i="2"/>
  <c r="I408" i="2"/>
  <c r="H408" i="2"/>
  <c r="G408" i="2"/>
  <c r="F408" i="2"/>
  <c r="E408" i="2"/>
  <c r="D408" i="2"/>
  <c r="C408" i="2"/>
  <c r="B408" i="2"/>
  <c r="O408" i="2" s="1"/>
  <c r="A408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N406" i="2"/>
  <c r="P406" i="2" s="1"/>
  <c r="M406" i="2"/>
  <c r="L406" i="2"/>
  <c r="Q406" i="2" s="1"/>
  <c r="K406" i="2"/>
  <c r="J406" i="2"/>
  <c r="I406" i="2"/>
  <c r="H406" i="2"/>
  <c r="G406" i="2"/>
  <c r="F406" i="2"/>
  <c r="E406" i="2"/>
  <c r="D406" i="2"/>
  <c r="C406" i="2"/>
  <c r="B406" i="2"/>
  <c r="O406" i="2" s="1"/>
  <c r="A406" i="2"/>
  <c r="N405" i="2"/>
  <c r="P405" i="2" s="1"/>
  <c r="M405" i="2"/>
  <c r="L405" i="2"/>
  <c r="Q405" i="2" s="1"/>
  <c r="K405" i="2"/>
  <c r="J405" i="2"/>
  <c r="I405" i="2"/>
  <c r="H405" i="2"/>
  <c r="G405" i="2"/>
  <c r="F405" i="2"/>
  <c r="E405" i="2"/>
  <c r="D405" i="2"/>
  <c r="C405" i="2"/>
  <c r="B405" i="2"/>
  <c r="O405" i="2" s="1"/>
  <c r="A405" i="2"/>
  <c r="N404" i="2"/>
  <c r="P404" i="2" s="1"/>
  <c r="M404" i="2"/>
  <c r="L404" i="2"/>
  <c r="Q404" i="2" s="1"/>
  <c r="K404" i="2"/>
  <c r="J404" i="2"/>
  <c r="I404" i="2"/>
  <c r="H404" i="2"/>
  <c r="G404" i="2"/>
  <c r="F404" i="2"/>
  <c r="E404" i="2"/>
  <c r="D404" i="2"/>
  <c r="C404" i="2"/>
  <c r="B404" i="2"/>
  <c r="O404" i="2" s="1"/>
  <c r="A404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O402" i="2" s="1"/>
  <c r="A402" i="2"/>
  <c r="N401" i="2"/>
  <c r="P401" i="2" s="1"/>
  <c r="M401" i="2"/>
  <c r="L401" i="2"/>
  <c r="Q401" i="2" s="1"/>
  <c r="K401" i="2"/>
  <c r="J401" i="2"/>
  <c r="I401" i="2"/>
  <c r="H401" i="2"/>
  <c r="G401" i="2"/>
  <c r="F401" i="2"/>
  <c r="E401" i="2"/>
  <c r="D401" i="2"/>
  <c r="C401" i="2"/>
  <c r="B401" i="2"/>
  <c r="O401" i="2" s="1"/>
  <c r="A401" i="2"/>
  <c r="P400" i="2"/>
  <c r="N400" i="2"/>
  <c r="M400" i="2"/>
  <c r="L400" i="2"/>
  <c r="Q400" i="2" s="1"/>
  <c r="K400" i="2"/>
  <c r="J400" i="2"/>
  <c r="I400" i="2"/>
  <c r="H400" i="2"/>
  <c r="G400" i="2"/>
  <c r="F400" i="2"/>
  <c r="E400" i="2"/>
  <c r="D400" i="2"/>
  <c r="C400" i="2"/>
  <c r="B400" i="2"/>
  <c r="O400" i="2" s="1"/>
  <c r="A400" i="2"/>
  <c r="Q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O399" i="2" s="1"/>
  <c r="A399" i="2"/>
  <c r="N398" i="2"/>
  <c r="P398" i="2" s="1"/>
  <c r="M398" i="2"/>
  <c r="L398" i="2"/>
  <c r="Q398" i="2" s="1"/>
  <c r="K398" i="2"/>
  <c r="J398" i="2"/>
  <c r="I398" i="2"/>
  <c r="H398" i="2"/>
  <c r="G398" i="2"/>
  <c r="F398" i="2"/>
  <c r="E398" i="2"/>
  <c r="D398" i="2"/>
  <c r="C398" i="2"/>
  <c r="B398" i="2"/>
  <c r="O398" i="2" s="1"/>
  <c r="A398" i="2"/>
  <c r="Q397" i="2"/>
  <c r="N397" i="2"/>
  <c r="P397" i="2" s="1"/>
  <c r="M397" i="2"/>
  <c r="L397" i="2"/>
  <c r="K397" i="2"/>
  <c r="J397" i="2"/>
  <c r="I397" i="2"/>
  <c r="H397" i="2"/>
  <c r="G397" i="2"/>
  <c r="F397" i="2"/>
  <c r="E397" i="2"/>
  <c r="D397" i="2"/>
  <c r="C397" i="2"/>
  <c r="B397" i="2"/>
  <c r="O397" i="2" s="1"/>
  <c r="A397" i="2"/>
  <c r="N396" i="2"/>
  <c r="P396" i="2" s="1"/>
  <c r="M396" i="2"/>
  <c r="L396" i="2"/>
  <c r="Q396" i="2" s="1"/>
  <c r="K396" i="2"/>
  <c r="J396" i="2"/>
  <c r="I396" i="2"/>
  <c r="H396" i="2"/>
  <c r="G396" i="2"/>
  <c r="F396" i="2"/>
  <c r="E396" i="2"/>
  <c r="D396" i="2"/>
  <c r="C396" i="2"/>
  <c r="B396" i="2"/>
  <c r="O396" i="2" s="1"/>
  <c r="A396" i="2"/>
  <c r="P395" i="2"/>
  <c r="N395" i="2"/>
  <c r="M395" i="2"/>
  <c r="L395" i="2"/>
  <c r="Q395" i="2" s="1"/>
  <c r="K395" i="2"/>
  <c r="J395" i="2"/>
  <c r="I395" i="2"/>
  <c r="H395" i="2"/>
  <c r="G395" i="2"/>
  <c r="F395" i="2"/>
  <c r="E395" i="2"/>
  <c r="D395" i="2"/>
  <c r="C395" i="2"/>
  <c r="B395" i="2"/>
  <c r="O395" i="2" s="1"/>
  <c r="A395" i="2"/>
  <c r="Q394" i="2"/>
  <c r="N394" i="2"/>
  <c r="P394" i="2" s="1"/>
  <c r="M394" i="2"/>
  <c r="L394" i="2"/>
  <c r="K394" i="2"/>
  <c r="J394" i="2"/>
  <c r="I394" i="2"/>
  <c r="H394" i="2"/>
  <c r="G394" i="2"/>
  <c r="F394" i="2"/>
  <c r="E394" i="2"/>
  <c r="D394" i="2"/>
  <c r="C394" i="2"/>
  <c r="B394" i="2"/>
  <c r="O394" i="2" s="1"/>
  <c r="A394" i="2"/>
  <c r="Q393" i="2"/>
  <c r="N393" i="2"/>
  <c r="P393" i="2" s="1"/>
  <c r="M393" i="2"/>
  <c r="L393" i="2"/>
  <c r="K393" i="2"/>
  <c r="J393" i="2"/>
  <c r="I393" i="2"/>
  <c r="H393" i="2"/>
  <c r="G393" i="2"/>
  <c r="F393" i="2"/>
  <c r="E393" i="2"/>
  <c r="D393" i="2"/>
  <c r="C393" i="2"/>
  <c r="B393" i="2"/>
  <c r="O393" i="2" s="1"/>
  <c r="A393" i="2"/>
  <c r="P392" i="2"/>
  <c r="N392" i="2"/>
  <c r="M392" i="2"/>
  <c r="L392" i="2"/>
  <c r="Q392" i="2" s="1"/>
  <c r="K392" i="2"/>
  <c r="J392" i="2"/>
  <c r="I392" i="2"/>
  <c r="H392" i="2"/>
  <c r="G392" i="2"/>
  <c r="F392" i="2"/>
  <c r="E392" i="2"/>
  <c r="D392" i="2"/>
  <c r="C392" i="2"/>
  <c r="B392" i="2"/>
  <c r="O392" i="2" s="1"/>
  <c r="A392" i="2"/>
  <c r="P391" i="2"/>
  <c r="N391" i="2"/>
  <c r="M391" i="2"/>
  <c r="L391" i="2"/>
  <c r="Q391" i="2" s="1"/>
  <c r="K391" i="2"/>
  <c r="J391" i="2"/>
  <c r="I391" i="2"/>
  <c r="H391" i="2"/>
  <c r="G391" i="2"/>
  <c r="F391" i="2"/>
  <c r="E391" i="2"/>
  <c r="D391" i="2"/>
  <c r="C391" i="2"/>
  <c r="B391" i="2"/>
  <c r="O391" i="2" s="1"/>
  <c r="A391" i="2"/>
  <c r="Q390" i="2"/>
  <c r="N390" i="2"/>
  <c r="M390" i="2"/>
  <c r="L390" i="2"/>
  <c r="P390" i="2" s="1"/>
  <c r="K390" i="2"/>
  <c r="J390" i="2"/>
  <c r="I390" i="2"/>
  <c r="H390" i="2"/>
  <c r="G390" i="2"/>
  <c r="F390" i="2"/>
  <c r="E390" i="2"/>
  <c r="D390" i="2"/>
  <c r="C390" i="2"/>
  <c r="B390" i="2"/>
  <c r="O390" i="2" s="1"/>
  <c r="A390" i="2"/>
  <c r="O389" i="2"/>
  <c r="N389" i="2"/>
  <c r="M389" i="2"/>
  <c r="L389" i="2"/>
  <c r="Q389" i="2" s="1"/>
  <c r="K389" i="2"/>
  <c r="J389" i="2"/>
  <c r="I389" i="2"/>
  <c r="H389" i="2"/>
  <c r="G389" i="2"/>
  <c r="F389" i="2"/>
  <c r="E389" i="2"/>
  <c r="D389" i="2"/>
  <c r="C389" i="2"/>
  <c r="B389" i="2"/>
  <c r="A389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P387" i="2"/>
  <c r="N387" i="2"/>
  <c r="M387" i="2"/>
  <c r="L387" i="2"/>
  <c r="Q387" i="2" s="1"/>
  <c r="K387" i="2"/>
  <c r="J387" i="2"/>
  <c r="I387" i="2"/>
  <c r="H387" i="2"/>
  <c r="G387" i="2"/>
  <c r="F387" i="2"/>
  <c r="E387" i="2"/>
  <c r="D387" i="2"/>
  <c r="C387" i="2"/>
  <c r="B387" i="2"/>
  <c r="O387" i="2" s="1"/>
  <c r="A387" i="2"/>
  <c r="N386" i="2"/>
  <c r="M386" i="2"/>
  <c r="L386" i="2"/>
  <c r="Q386" i="2" s="1"/>
  <c r="K386" i="2"/>
  <c r="J386" i="2"/>
  <c r="I386" i="2"/>
  <c r="H386" i="2"/>
  <c r="G386" i="2"/>
  <c r="F386" i="2"/>
  <c r="E386" i="2"/>
  <c r="D386" i="2"/>
  <c r="C386" i="2"/>
  <c r="B386" i="2"/>
  <c r="O386" i="2" s="1"/>
  <c r="A386" i="2"/>
  <c r="N385" i="2"/>
  <c r="P385" i="2" s="1"/>
  <c r="M385" i="2"/>
  <c r="L385" i="2"/>
  <c r="Q385" i="2" s="1"/>
  <c r="K385" i="2"/>
  <c r="J385" i="2"/>
  <c r="I385" i="2"/>
  <c r="H385" i="2"/>
  <c r="G385" i="2"/>
  <c r="F385" i="2"/>
  <c r="E385" i="2"/>
  <c r="D385" i="2"/>
  <c r="C385" i="2"/>
  <c r="B385" i="2"/>
  <c r="O385" i="2" s="1"/>
  <c r="A385" i="2"/>
  <c r="P384" i="2"/>
  <c r="N384" i="2"/>
  <c r="M384" i="2"/>
  <c r="L384" i="2"/>
  <c r="Q384" i="2" s="1"/>
  <c r="K384" i="2"/>
  <c r="J384" i="2"/>
  <c r="I384" i="2"/>
  <c r="H384" i="2"/>
  <c r="G384" i="2"/>
  <c r="F384" i="2"/>
  <c r="E384" i="2"/>
  <c r="D384" i="2"/>
  <c r="C384" i="2"/>
  <c r="B384" i="2"/>
  <c r="O384" i="2" s="1"/>
  <c r="A384" i="2"/>
  <c r="N383" i="2"/>
  <c r="P383" i="2" s="1"/>
  <c r="M383" i="2"/>
  <c r="L383" i="2"/>
  <c r="Q383" i="2" s="1"/>
  <c r="K383" i="2"/>
  <c r="J383" i="2"/>
  <c r="I383" i="2"/>
  <c r="H383" i="2"/>
  <c r="G383" i="2"/>
  <c r="F383" i="2"/>
  <c r="E383" i="2"/>
  <c r="D383" i="2"/>
  <c r="C383" i="2"/>
  <c r="B383" i="2"/>
  <c r="O383" i="2" s="1"/>
  <c r="A383" i="2"/>
  <c r="Q382" i="2"/>
  <c r="N382" i="2"/>
  <c r="P382" i="2" s="1"/>
  <c r="M382" i="2"/>
  <c r="L382" i="2"/>
  <c r="K382" i="2"/>
  <c r="J382" i="2"/>
  <c r="I382" i="2"/>
  <c r="H382" i="2"/>
  <c r="G382" i="2"/>
  <c r="F382" i="2"/>
  <c r="E382" i="2"/>
  <c r="D382" i="2"/>
  <c r="C382" i="2"/>
  <c r="B382" i="2"/>
  <c r="O382" i="2" s="1"/>
  <c r="A382" i="2"/>
  <c r="N381" i="2"/>
  <c r="M381" i="2"/>
  <c r="L381" i="2"/>
  <c r="Q381" i="2" s="1"/>
  <c r="K381" i="2"/>
  <c r="J381" i="2"/>
  <c r="I381" i="2"/>
  <c r="H381" i="2"/>
  <c r="G381" i="2"/>
  <c r="F381" i="2"/>
  <c r="E381" i="2"/>
  <c r="D381" i="2"/>
  <c r="C381" i="2"/>
  <c r="B381" i="2"/>
  <c r="O381" i="2" s="1"/>
  <c r="A381" i="2"/>
  <c r="N380" i="2"/>
  <c r="P380" i="2" s="1"/>
  <c r="M380" i="2"/>
  <c r="L380" i="2"/>
  <c r="Q380" i="2" s="1"/>
  <c r="K380" i="2"/>
  <c r="J380" i="2"/>
  <c r="I380" i="2"/>
  <c r="H380" i="2"/>
  <c r="G380" i="2"/>
  <c r="F380" i="2"/>
  <c r="E380" i="2"/>
  <c r="D380" i="2"/>
  <c r="C380" i="2"/>
  <c r="B380" i="2"/>
  <c r="O380" i="2" s="1"/>
  <c r="A380" i="2"/>
  <c r="O379" i="2"/>
  <c r="N379" i="2"/>
  <c r="M379" i="2"/>
  <c r="L379" i="2"/>
  <c r="Q379" i="2" s="1"/>
  <c r="K379" i="2"/>
  <c r="J379" i="2"/>
  <c r="I379" i="2"/>
  <c r="H379" i="2"/>
  <c r="G379" i="2"/>
  <c r="F379" i="2"/>
  <c r="E379" i="2"/>
  <c r="D379" i="2"/>
  <c r="C379" i="2"/>
  <c r="B379" i="2"/>
  <c r="A379" i="2"/>
  <c r="N378" i="2"/>
  <c r="P378" i="2" s="1"/>
  <c r="M378" i="2"/>
  <c r="L378" i="2"/>
  <c r="Q378" i="2" s="1"/>
  <c r="K378" i="2"/>
  <c r="J378" i="2"/>
  <c r="I378" i="2"/>
  <c r="H378" i="2"/>
  <c r="G378" i="2"/>
  <c r="F378" i="2"/>
  <c r="E378" i="2"/>
  <c r="D378" i="2"/>
  <c r="C378" i="2"/>
  <c r="B378" i="2"/>
  <c r="O378" i="2" s="1"/>
  <c r="A378" i="2"/>
  <c r="Q377" i="2"/>
  <c r="N377" i="2"/>
  <c r="P377" i="2" s="1"/>
  <c r="M377" i="2"/>
  <c r="L377" i="2"/>
  <c r="K377" i="2"/>
  <c r="J377" i="2"/>
  <c r="I377" i="2"/>
  <c r="H377" i="2"/>
  <c r="G377" i="2"/>
  <c r="F377" i="2"/>
  <c r="E377" i="2"/>
  <c r="D377" i="2"/>
  <c r="C377" i="2"/>
  <c r="B377" i="2"/>
  <c r="O377" i="2" s="1"/>
  <c r="A377" i="2"/>
  <c r="O376" i="2"/>
  <c r="N376" i="2"/>
  <c r="M376" i="2"/>
  <c r="L376" i="2"/>
  <c r="Q376" i="2" s="1"/>
  <c r="K376" i="2"/>
  <c r="J376" i="2"/>
  <c r="I376" i="2"/>
  <c r="H376" i="2"/>
  <c r="G376" i="2"/>
  <c r="F376" i="2"/>
  <c r="E376" i="2"/>
  <c r="D376" i="2"/>
  <c r="C376" i="2"/>
  <c r="B376" i="2"/>
  <c r="A376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O375" i="2" s="1"/>
  <c r="A375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O374" i="2" s="1"/>
  <c r="A374" i="2"/>
  <c r="N373" i="2"/>
  <c r="M373" i="2"/>
  <c r="L373" i="2"/>
  <c r="Q373" i="2" s="1"/>
  <c r="K373" i="2"/>
  <c r="J373" i="2"/>
  <c r="I373" i="2"/>
  <c r="H373" i="2"/>
  <c r="G373" i="2"/>
  <c r="F373" i="2"/>
  <c r="E373" i="2"/>
  <c r="D373" i="2"/>
  <c r="C373" i="2"/>
  <c r="B373" i="2"/>
  <c r="O373" i="2" s="1"/>
  <c r="A373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N371" i="2"/>
  <c r="M371" i="2"/>
  <c r="L371" i="2"/>
  <c r="P371" i="2" s="1"/>
  <c r="K371" i="2"/>
  <c r="J371" i="2"/>
  <c r="I371" i="2"/>
  <c r="H371" i="2"/>
  <c r="G371" i="2"/>
  <c r="F371" i="2"/>
  <c r="E371" i="2"/>
  <c r="D371" i="2"/>
  <c r="C371" i="2"/>
  <c r="B371" i="2"/>
  <c r="O371" i="2" s="1"/>
  <c r="A371" i="2"/>
  <c r="Q370" i="2"/>
  <c r="N370" i="2"/>
  <c r="P370" i="2" s="1"/>
  <c r="M370" i="2"/>
  <c r="L370" i="2"/>
  <c r="K370" i="2"/>
  <c r="J370" i="2"/>
  <c r="I370" i="2"/>
  <c r="H370" i="2"/>
  <c r="G370" i="2"/>
  <c r="F370" i="2"/>
  <c r="E370" i="2"/>
  <c r="D370" i="2"/>
  <c r="C370" i="2"/>
  <c r="B370" i="2"/>
  <c r="O370" i="2" s="1"/>
  <c r="A370" i="2"/>
  <c r="Q369" i="2"/>
  <c r="N369" i="2"/>
  <c r="P369" i="2" s="1"/>
  <c r="M369" i="2"/>
  <c r="L369" i="2"/>
  <c r="K369" i="2"/>
  <c r="J369" i="2"/>
  <c r="I369" i="2"/>
  <c r="H369" i="2"/>
  <c r="G369" i="2"/>
  <c r="F369" i="2"/>
  <c r="E369" i="2"/>
  <c r="D369" i="2"/>
  <c r="C369" i="2"/>
  <c r="B369" i="2"/>
  <c r="O369" i="2" s="1"/>
  <c r="A369" i="2"/>
  <c r="N368" i="2"/>
  <c r="P368" i="2" s="1"/>
  <c r="M368" i="2"/>
  <c r="L368" i="2"/>
  <c r="Q368" i="2" s="1"/>
  <c r="K368" i="2"/>
  <c r="J368" i="2"/>
  <c r="I368" i="2"/>
  <c r="H368" i="2"/>
  <c r="G368" i="2"/>
  <c r="F368" i="2"/>
  <c r="E368" i="2"/>
  <c r="D368" i="2"/>
  <c r="C368" i="2"/>
  <c r="B368" i="2"/>
  <c r="O368" i="2" s="1"/>
  <c r="A368" i="2"/>
  <c r="Q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O367" i="2" s="1"/>
  <c r="A367" i="2"/>
  <c r="N366" i="2"/>
  <c r="P366" i="2" s="1"/>
  <c r="M366" i="2"/>
  <c r="L366" i="2"/>
  <c r="Q366" i="2" s="1"/>
  <c r="K366" i="2"/>
  <c r="J366" i="2"/>
  <c r="I366" i="2"/>
  <c r="H366" i="2"/>
  <c r="G366" i="2"/>
  <c r="F366" i="2"/>
  <c r="E366" i="2"/>
  <c r="D366" i="2"/>
  <c r="C366" i="2"/>
  <c r="B366" i="2"/>
  <c r="O366" i="2" s="1"/>
  <c r="A366" i="2"/>
  <c r="Q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O365" i="2" s="1"/>
  <c r="A365" i="2"/>
  <c r="N364" i="2"/>
  <c r="P364" i="2" s="1"/>
  <c r="M364" i="2"/>
  <c r="L364" i="2"/>
  <c r="Q364" i="2" s="1"/>
  <c r="K364" i="2"/>
  <c r="J364" i="2"/>
  <c r="I364" i="2"/>
  <c r="H364" i="2"/>
  <c r="G364" i="2"/>
  <c r="F364" i="2"/>
  <c r="E364" i="2"/>
  <c r="D364" i="2"/>
  <c r="C364" i="2"/>
  <c r="B364" i="2"/>
  <c r="O364" i="2" s="1"/>
  <c r="A364" i="2"/>
  <c r="P363" i="2"/>
  <c r="O363" i="2"/>
  <c r="N363" i="2"/>
  <c r="M363" i="2"/>
  <c r="L363" i="2"/>
  <c r="Q363" i="2" s="1"/>
  <c r="K363" i="2"/>
  <c r="J363" i="2"/>
  <c r="I363" i="2"/>
  <c r="H363" i="2"/>
  <c r="G363" i="2"/>
  <c r="F363" i="2"/>
  <c r="E363" i="2"/>
  <c r="D363" i="2"/>
  <c r="C363" i="2"/>
  <c r="B363" i="2"/>
  <c r="A363" i="2"/>
  <c r="Q362" i="2"/>
  <c r="P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O362" i="2" s="1"/>
  <c r="A362" i="2"/>
  <c r="Q361" i="2"/>
  <c r="O361" i="2"/>
  <c r="N361" i="2"/>
  <c r="P361" i="2" s="1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P360" i="2"/>
  <c r="O360" i="2"/>
  <c r="N360" i="2"/>
  <c r="M360" i="2"/>
  <c r="L360" i="2"/>
  <c r="Q360" i="2" s="1"/>
  <c r="K360" i="2"/>
  <c r="J360" i="2"/>
  <c r="I360" i="2"/>
  <c r="H360" i="2"/>
  <c r="G360" i="2"/>
  <c r="F360" i="2"/>
  <c r="E360" i="2"/>
  <c r="D360" i="2"/>
  <c r="C360" i="2"/>
  <c r="B360" i="2"/>
  <c r="A360" i="2"/>
  <c r="Q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O359" i="2" s="1"/>
  <c r="A359" i="2"/>
  <c r="Q358" i="2"/>
  <c r="N358" i="2"/>
  <c r="P358" i="2" s="1"/>
  <c r="M358" i="2"/>
  <c r="L358" i="2"/>
  <c r="K358" i="2"/>
  <c r="J358" i="2"/>
  <c r="I358" i="2"/>
  <c r="H358" i="2"/>
  <c r="G358" i="2"/>
  <c r="F358" i="2"/>
  <c r="E358" i="2"/>
  <c r="D358" i="2"/>
  <c r="C358" i="2"/>
  <c r="B358" i="2"/>
  <c r="O358" i="2" s="1"/>
  <c r="A358" i="2"/>
  <c r="N357" i="2"/>
  <c r="P357" i="2" s="1"/>
  <c r="M357" i="2"/>
  <c r="L357" i="2"/>
  <c r="Q357" i="2" s="1"/>
  <c r="K357" i="2"/>
  <c r="J357" i="2"/>
  <c r="I357" i="2"/>
  <c r="H357" i="2"/>
  <c r="G357" i="2"/>
  <c r="F357" i="2"/>
  <c r="E357" i="2"/>
  <c r="D357" i="2"/>
  <c r="C357" i="2"/>
  <c r="B357" i="2"/>
  <c r="O357" i="2" s="1"/>
  <c r="A357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N355" i="2"/>
  <c r="M355" i="2"/>
  <c r="L355" i="2"/>
  <c r="Q355" i="2" s="1"/>
  <c r="K355" i="2"/>
  <c r="J355" i="2"/>
  <c r="I355" i="2"/>
  <c r="H355" i="2"/>
  <c r="G355" i="2"/>
  <c r="F355" i="2"/>
  <c r="E355" i="2"/>
  <c r="D355" i="2"/>
  <c r="C355" i="2"/>
  <c r="B355" i="2"/>
  <c r="O355" i="2" s="1"/>
  <c r="A355" i="2"/>
  <c r="Q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O354" i="2" s="1"/>
  <c r="A354" i="2"/>
  <c r="P353" i="2"/>
  <c r="N353" i="2"/>
  <c r="M353" i="2"/>
  <c r="L353" i="2"/>
  <c r="Q353" i="2" s="1"/>
  <c r="K353" i="2"/>
  <c r="J353" i="2"/>
  <c r="I353" i="2"/>
  <c r="H353" i="2"/>
  <c r="G353" i="2"/>
  <c r="F353" i="2"/>
  <c r="E353" i="2"/>
  <c r="D353" i="2"/>
  <c r="C353" i="2"/>
  <c r="B353" i="2"/>
  <c r="O353" i="2" s="1"/>
  <c r="A353" i="2"/>
  <c r="P352" i="2"/>
  <c r="N352" i="2"/>
  <c r="M352" i="2"/>
  <c r="L352" i="2"/>
  <c r="Q352" i="2" s="1"/>
  <c r="K352" i="2"/>
  <c r="J352" i="2"/>
  <c r="I352" i="2"/>
  <c r="H352" i="2"/>
  <c r="G352" i="2"/>
  <c r="F352" i="2"/>
  <c r="E352" i="2"/>
  <c r="D352" i="2"/>
  <c r="C352" i="2"/>
  <c r="B352" i="2"/>
  <c r="O352" i="2" s="1"/>
  <c r="A352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O351" i="2" s="1"/>
  <c r="A351" i="2"/>
  <c r="Q350" i="2"/>
  <c r="N350" i="2"/>
  <c r="P350" i="2" s="1"/>
  <c r="M350" i="2"/>
  <c r="L350" i="2"/>
  <c r="K350" i="2"/>
  <c r="J350" i="2"/>
  <c r="I350" i="2"/>
  <c r="H350" i="2"/>
  <c r="G350" i="2"/>
  <c r="F350" i="2"/>
  <c r="E350" i="2"/>
  <c r="D350" i="2"/>
  <c r="C350" i="2"/>
  <c r="B350" i="2"/>
  <c r="O350" i="2" s="1"/>
  <c r="A350" i="2"/>
  <c r="N349" i="2"/>
  <c r="P349" i="2" s="1"/>
  <c r="M349" i="2"/>
  <c r="L349" i="2"/>
  <c r="Q349" i="2" s="1"/>
  <c r="K349" i="2"/>
  <c r="J349" i="2"/>
  <c r="I349" i="2"/>
  <c r="H349" i="2"/>
  <c r="G349" i="2"/>
  <c r="F349" i="2"/>
  <c r="E349" i="2"/>
  <c r="D349" i="2"/>
  <c r="C349" i="2"/>
  <c r="B349" i="2"/>
  <c r="O349" i="2" s="1"/>
  <c r="A349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N347" i="2"/>
  <c r="P347" i="2" s="1"/>
  <c r="M347" i="2"/>
  <c r="L347" i="2"/>
  <c r="Q347" i="2" s="1"/>
  <c r="K347" i="2"/>
  <c r="J347" i="2"/>
  <c r="I347" i="2"/>
  <c r="H347" i="2"/>
  <c r="G347" i="2"/>
  <c r="F347" i="2"/>
  <c r="E347" i="2"/>
  <c r="D347" i="2"/>
  <c r="C347" i="2"/>
  <c r="B347" i="2"/>
  <c r="O347" i="2" s="1"/>
  <c r="A347" i="2"/>
  <c r="Q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O346" i="2" s="1"/>
  <c r="A346" i="2"/>
  <c r="O345" i="2"/>
  <c r="N345" i="2"/>
  <c r="P345" i="2" s="1"/>
  <c r="M345" i="2"/>
  <c r="L345" i="2"/>
  <c r="Q345" i="2" s="1"/>
  <c r="K345" i="2"/>
  <c r="J345" i="2"/>
  <c r="I345" i="2"/>
  <c r="H345" i="2"/>
  <c r="G345" i="2"/>
  <c r="F345" i="2"/>
  <c r="E345" i="2"/>
  <c r="D345" i="2"/>
  <c r="C345" i="2"/>
  <c r="B345" i="2"/>
  <c r="A345" i="2"/>
  <c r="O344" i="2"/>
  <c r="N344" i="2"/>
  <c r="P344" i="2" s="1"/>
  <c r="M344" i="2"/>
  <c r="L344" i="2"/>
  <c r="Q344" i="2" s="1"/>
  <c r="K344" i="2"/>
  <c r="J344" i="2"/>
  <c r="I344" i="2"/>
  <c r="H344" i="2"/>
  <c r="G344" i="2"/>
  <c r="F344" i="2"/>
  <c r="E344" i="2"/>
  <c r="D344" i="2"/>
  <c r="C344" i="2"/>
  <c r="B344" i="2"/>
  <c r="A344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O343" i="2" s="1"/>
  <c r="A343" i="2"/>
  <c r="Q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O342" i="2" s="1"/>
  <c r="A342" i="2"/>
  <c r="N341" i="2"/>
  <c r="M341" i="2"/>
  <c r="L341" i="2"/>
  <c r="Q341" i="2" s="1"/>
  <c r="K341" i="2"/>
  <c r="J341" i="2"/>
  <c r="I341" i="2"/>
  <c r="H341" i="2"/>
  <c r="G341" i="2"/>
  <c r="F341" i="2"/>
  <c r="E341" i="2"/>
  <c r="D341" i="2"/>
  <c r="C341" i="2"/>
  <c r="B341" i="2"/>
  <c r="O341" i="2" s="1"/>
  <c r="A341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Q339" i="2"/>
  <c r="N339" i="2"/>
  <c r="P339" i="2" s="1"/>
  <c r="M339" i="2"/>
  <c r="L339" i="2"/>
  <c r="K339" i="2"/>
  <c r="J339" i="2"/>
  <c r="I339" i="2"/>
  <c r="H339" i="2"/>
  <c r="G339" i="2"/>
  <c r="F339" i="2"/>
  <c r="E339" i="2"/>
  <c r="D339" i="2"/>
  <c r="C339" i="2"/>
  <c r="B339" i="2"/>
  <c r="O339" i="2" s="1"/>
  <c r="A339" i="2"/>
  <c r="Q338" i="2"/>
  <c r="N338" i="2"/>
  <c r="P338" i="2" s="1"/>
  <c r="M338" i="2"/>
  <c r="L338" i="2"/>
  <c r="K338" i="2"/>
  <c r="J338" i="2"/>
  <c r="I338" i="2"/>
  <c r="H338" i="2"/>
  <c r="G338" i="2"/>
  <c r="F338" i="2"/>
  <c r="E338" i="2"/>
  <c r="D338" i="2"/>
  <c r="C338" i="2"/>
  <c r="B338" i="2"/>
  <c r="O338" i="2" s="1"/>
  <c r="A338" i="2"/>
  <c r="O337" i="2"/>
  <c r="N337" i="2"/>
  <c r="P337" i="2" s="1"/>
  <c r="M337" i="2"/>
  <c r="L337" i="2"/>
  <c r="Q337" i="2" s="1"/>
  <c r="K337" i="2"/>
  <c r="J337" i="2"/>
  <c r="I337" i="2"/>
  <c r="H337" i="2"/>
  <c r="G337" i="2"/>
  <c r="F337" i="2"/>
  <c r="E337" i="2"/>
  <c r="D337" i="2"/>
  <c r="C337" i="2"/>
  <c r="B337" i="2"/>
  <c r="A337" i="2"/>
  <c r="O336" i="2"/>
  <c r="N336" i="2"/>
  <c r="P336" i="2" s="1"/>
  <c r="M336" i="2"/>
  <c r="L336" i="2"/>
  <c r="Q336" i="2" s="1"/>
  <c r="K336" i="2"/>
  <c r="J336" i="2"/>
  <c r="I336" i="2"/>
  <c r="H336" i="2"/>
  <c r="G336" i="2"/>
  <c r="F336" i="2"/>
  <c r="E336" i="2"/>
  <c r="D336" i="2"/>
  <c r="C336" i="2"/>
  <c r="B336" i="2"/>
  <c r="A336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O335" i="2" s="1"/>
  <c r="A335" i="2"/>
  <c r="Q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O334" i="2" s="1"/>
  <c r="A334" i="2"/>
  <c r="N333" i="2"/>
  <c r="P333" i="2" s="1"/>
  <c r="M333" i="2"/>
  <c r="L333" i="2"/>
  <c r="Q333" i="2" s="1"/>
  <c r="K333" i="2"/>
  <c r="J333" i="2"/>
  <c r="I333" i="2"/>
  <c r="H333" i="2"/>
  <c r="G333" i="2"/>
  <c r="F333" i="2"/>
  <c r="E333" i="2"/>
  <c r="D333" i="2"/>
  <c r="C333" i="2"/>
  <c r="B333" i="2"/>
  <c r="O333" i="2" s="1"/>
  <c r="A333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O332" i="2" s="1"/>
  <c r="A332" i="2"/>
  <c r="N331" i="2"/>
  <c r="M331" i="2"/>
  <c r="L331" i="2"/>
  <c r="Q331" i="2" s="1"/>
  <c r="K331" i="2"/>
  <c r="J331" i="2"/>
  <c r="I331" i="2"/>
  <c r="H331" i="2"/>
  <c r="G331" i="2"/>
  <c r="F331" i="2"/>
  <c r="E331" i="2"/>
  <c r="D331" i="2"/>
  <c r="C331" i="2"/>
  <c r="B331" i="2"/>
  <c r="O331" i="2" s="1"/>
  <c r="A331" i="2"/>
  <c r="Q330" i="2"/>
  <c r="N330" i="2"/>
  <c r="P330" i="2" s="1"/>
  <c r="M330" i="2"/>
  <c r="L330" i="2"/>
  <c r="K330" i="2"/>
  <c r="J330" i="2"/>
  <c r="I330" i="2"/>
  <c r="H330" i="2"/>
  <c r="G330" i="2"/>
  <c r="F330" i="2"/>
  <c r="E330" i="2"/>
  <c r="D330" i="2"/>
  <c r="C330" i="2"/>
  <c r="B330" i="2"/>
  <c r="O330" i="2" s="1"/>
  <c r="A330" i="2"/>
  <c r="P329" i="2"/>
  <c r="O329" i="2"/>
  <c r="N329" i="2"/>
  <c r="M329" i="2"/>
  <c r="L329" i="2"/>
  <c r="Q329" i="2" s="1"/>
  <c r="K329" i="2"/>
  <c r="J329" i="2"/>
  <c r="I329" i="2"/>
  <c r="H329" i="2"/>
  <c r="G329" i="2"/>
  <c r="F329" i="2"/>
  <c r="E329" i="2"/>
  <c r="D329" i="2"/>
  <c r="C329" i="2"/>
  <c r="B329" i="2"/>
  <c r="A329" i="2"/>
  <c r="P328" i="2"/>
  <c r="O328" i="2"/>
  <c r="N328" i="2"/>
  <c r="M328" i="2"/>
  <c r="L328" i="2"/>
  <c r="Q328" i="2" s="1"/>
  <c r="K328" i="2"/>
  <c r="J328" i="2"/>
  <c r="I328" i="2"/>
  <c r="H328" i="2"/>
  <c r="G328" i="2"/>
  <c r="F328" i="2"/>
  <c r="E328" i="2"/>
  <c r="D328" i="2"/>
  <c r="C328" i="2"/>
  <c r="B328" i="2"/>
  <c r="A328" i="2"/>
  <c r="Q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O327" i="2" s="1"/>
  <c r="A327" i="2"/>
  <c r="Q326" i="2"/>
  <c r="N326" i="2"/>
  <c r="P326" i="2" s="1"/>
  <c r="M326" i="2"/>
  <c r="L326" i="2"/>
  <c r="K326" i="2"/>
  <c r="J326" i="2"/>
  <c r="I326" i="2"/>
  <c r="H326" i="2"/>
  <c r="G326" i="2"/>
  <c r="F326" i="2"/>
  <c r="E326" i="2"/>
  <c r="D326" i="2"/>
  <c r="C326" i="2"/>
  <c r="B326" i="2"/>
  <c r="O326" i="2" s="1"/>
  <c r="A326" i="2"/>
  <c r="N325" i="2"/>
  <c r="P325" i="2" s="1"/>
  <c r="M325" i="2"/>
  <c r="L325" i="2"/>
  <c r="Q325" i="2" s="1"/>
  <c r="K325" i="2"/>
  <c r="J325" i="2"/>
  <c r="I325" i="2"/>
  <c r="H325" i="2"/>
  <c r="G325" i="2"/>
  <c r="F325" i="2"/>
  <c r="E325" i="2"/>
  <c r="D325" i="2"/>
  <c r="C325" i="2"/>
  <c r="B325" i="2"/>
  <c r="O325" i="2" s="1"/>
  <c r="A325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N323" i="2"/>
  <c r="M323" i="2"/>
  <c r="L323" i="2"/>
  <c r="Q323" i="2" s="1"/>
  <c r="K323" i="2"/>
  <c r="J323" i="2"/>
  <c r="I323" i="2"/>
  <c r="H323" i="2"/>
  <c r="G323" i="2"/>
  <c r="F323" i="2"/>
  <c r="E323" i="2"/>
  <c r="D323" i="2"/>
  <c r="C323" i="2"/>
  <c r="B323" i="2"/>
  <c r="O323" i="2" s="1"/>
  <c r="A323" i="2"/>
  <c r="Q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O322" i="2" s="1"/>
  <c r="A322" i="2"/>
  <c r="N321" i="2"/>
  <c r="P321" i="2" s="1"/>
  <c r="M321" i="2"/>
  <c r="L321" i="2"/>
  <c r="Q321" i="2" s="1"/>
  <c r="K321" i="2"/>
  <c r="J321" i="2"/>
  <c r="I321" i="2"/>
  <c r="H321" i="2"/>
  <c r="G321" i="2"/>
  <c r="F321" i="2"/>
  <c r="E321" i="2"/>
  <c r="D321" i="2"/>
  <c r="C321" i="2"/>
  <c r="B321" i="2"/>
  <c r="O321" i="2" s="1"/>
  <c r="A321" i="2"/>
  <c r="N320" i="2"/>
  <c r="P320" i="2" s="1"/>
  <c r="M320" i="2"/>
  <c r="L320" i="2"/>
  <c r="Q320" i="2" s="1"/>
  <c r="K320" i="2"/>
  <c r="J320" i="2"/>
  <c r="I320" i="2"/>
  <c r="H320" i="2"/>
  <c r="G320" i="2"/>
  <c r="F320" i="2"/>
  <c r="E320" i="2"/>
  <c r="D320" i="2"/>
  <c r="C320" i="2"/>
  <c r="B320" i="2"/>
  <c r="O320" i="2" s="1"/>
  <c r="A320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O319" i="2" s="1"/>
  <c r="A319" i="2"/>
  <c r="Q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O318" i="2" s="1"/>
  <c r="A318" i="2"/>
  <c r="N317" i="2"/>
  <c r="M317" i="2"/>
  <c r="L317" i="2"/>
  <c r="Q317" i="2" s="1"/>
  <c r="K317" i="2"/>
  <c r="J317" i="2"/>
  <c r="I317" i="2"/>
  <c r="H317" i="2"/>
  <c r="G317" i="2"/>
  <c r="F317" i="2"/>
  <c r="E317" i="2"/>
  <c r="D317" i="2"/>
  <c r="C317" i="2"/>
  <c r="B317" i="2"/>
  <c r="O317" i="2" s="1"/>
  <c r="A317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N315" i="2"/>
  <c r="P315" i="2" s="1"/>
  <c r="M315" i="2"/>
  <c r="L315" i="2"/>
  <c r="Q315" i="2" s="1"/>
  <c r="K315" i="2"/>
  <c r="J315" i="2"/>
  <c r="I315" i="2"/>
  <c r="H315" i="2"/>
  <c r="G315" i="2"/>
  <c r="F315" i="2"/>
  <c r="E315" i="2"/>
  <c r="D315" i="2"/>
  <c r="C315" i="2"/>
  <c r="B315" i="2"/>
  <c r="O315" i="2" s="1"/>
  <c r="A315" i="2"/>
  <c r="Q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O314" i="2" s="1"/>
  <c r="A314" i="2"/>
  <c r="O313" i="2"/>
  <c r="N313" i="2"/>
  <c r="P313" i="2" s="1"/>
  <c r="M313" i="2"/>
  <c r="L313" i="2"/>
  <c r="Q313" i="2" s="1"/>
  <c r="K313" i="2"/>
  <c r="J313" i="2"/>
  <c r="I313" i="2"/>
  <c r="H313" i="2"/>
  <c r="G313" i="2"/>
  <c r="F313" i="2"/>
  <c r="E313" i="2"/>
  <c r="D313" i="2"/>
  <c r="C313" i="2"/>
  <c r="B313" i="2"/>
  <c r="A313" i="2"/>
  <c r="O312" i="2"/>
  <c r="N312" i="2"/>
  <c r="M312" i="2"/>
  <c r="L312" i="2"/>
  <c r="Q312" i="2" s="1"/>
  <c r="K312" i="2"/>
  <c r="J312" i="2"/>
  <c r="I312" i="2"/>
  <c r="H312" i="2"/>
  <c r="G312" i="2"/>
  <c r="F312" i="2"/>
  <c r="E312" i="2"/>
  <c r="D312" i="2"/>
  <c r="C312" i="2"/>
  <c r="B312" i="2"/>
  <c r="A312" i="2"/>
  <c r="N311" i="2"/>
  <c r="M311" i="2"/>
  <c r="L311" i="2"/>
  <c r="Q311" i="2" s="1"/>
  <c r="K311" i="2"/>
  <c r="J311" i="2"/>
  <c r="I311" i="2"/>
  <c r="H311" i="2"/>
  <c r="G311" i="2"/>
  <c r="F311" i="2"/>
  <c r="E311" i="2"/>
  <c r="D311" i="2"/>
  <c r="C311" i="2"/>
  <c r="B311" i="2"/>
  <c r="O311" i="2" s="1"/>
  <c r="A311" i="2"/>
  <c r="N310" i="2"/>
  <c r="P310" i="2" s="1"/>
  <c r="M310" i="2"/>
  <c r="L310" i="2"/>
  <c r="Q310" i="2" s="1"/>
  <c r="K310" i="2"/>
  <c r="J310" i="2"/>
  <c r="I310" i="2"/>
  <c r="H310" i="2"/>
  <c r="G310" i="2"/>
  <c r="F310" i="2"/>
  <c r="E310" i="2"/>
  <c r="D310" i="2"/>
  <c r="C310" i="2"/>
  <c r="B310" i="2"/>
  <c r="O310" i="2" s="1"/>
  <c r="A310" i="2"/>
  <c r="N309" i="2"/>
  <c r="M309" i="2"/>
  <c r="L309" i="2"/>
  <c r="Q309" i="2" s="1"/>
  <c r="K309" i="2"/>
  <c r="J309" i="2"/>
  <c r="I309" i="2"/>
  <c r="H309" i="2"/>
  <c r="G309" i="2"/>
  <c r="F309" i="2"/>
  <c r="E309" i="2"/>
  <c r="D309" i="2"/>
  <c r="C309" i="2"/>
  <c r="B309" i="2"/>
  <c r="O309" i="2" s="1"/>
  <c r="A309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O308" i="2" s="1"/>
  <c r="A308" i="2"/>
  <c r="Q307" i="2"/>
  <c r="N307" i="2"/>
  <c r="P307" i="2" s="1"/>
  <c r="M307" i="2"/>
  <c r="L307" i="2"/>
  <c r="K307" i="2"/>
  <c r="J307" i="2"/>
  <c r="I307" i="2"/>
  <c r="H307" i="2"/>
  <c r="G307" i="2"/>
  <c r="F307" i="2"/>
  <c r="E307" i="2"/>
  <c r="D307" i="2"/>
  <c r="C307" i="2"/>
  <c r="B307" i="2"/>
  <c r="O307" i="2" s="1"/>
  <c r="A307" i="2"/>
  <c r="N306" i="2"/>
  <c r="M306" i="2"/>
  <c r="L306" i="2"/>
  <c r="Q306" i="2" s="1"/>
  <c r="K306" i="2"/>
  <c r="J306" i="2"/>
  <c r="I306" i="2"/>
  <c r="H306" i="2"/>
  <c r="G306" i="2"/>
  <c r="F306" i="2"/>
  <c r="E306" i="2"/>
  <c r="D306" i="2"/>
  <c r="C306" i="2"/>
  <c r="B306" i="2"/>
  <c r="O306" i="2" s="1"/>
  <c r="A306" i="2"/>
  <c r="N305" i="2"/>
  <c r="P305" i="2" s="1"/>
  <c r="M305" i="2"/>
  <c r="L305" i="2"/>
  <c r="Q305" i="2" s="1"/>
  <c r="K305" i="2"/>
  <c r="J305" i="2"/>
  <c r="I305" i="2"/>
  <c r="H305" i="2"/>
  <c r="G305" i="2"/>
  <c r="F305" i="2"/>
  <c r="E305" i="2"/>
  <c r="D305" i="2"/>
  <c r="C305" i="2"/>
  <c r="B305" i="2"/>
  <c r="O305" i="2" s="1"/>
  <c r="A305" i="2"/>
  <c r="N304" i="2"/>
  <c r="P304" i="2" s="1"/>
  <c r="M304" i="2"/>
  <c r="L304" i="2"/>
  <c r="Q304" i="2" s="1"/>
  <c r="K304" i="2"/>
  <c r="J304" i="2"/>
  <c r="I304" i="2"/>
  <c r="H304" i="2"/>
  <c r="G304" i="2"/>
  <c r="F304" i="2"/>
  <c r="E304" i="2"/>
  <c r="D304" i="2"/>
  <c r="C304" i="2"/>
  <c r="B304" i="2"/>
  <c r="O304" i="2" s="1"/>
  <c r="A304" i="2"/>
  <c r="N303" i="2"/>
  <c r="P303" i="2" s="1"/>
  <c r="M303" i="2"/>
  <c r="L303" i="2"/>
  <c r="Q303" i="2" s="1"/>
  <c r="K303" i="2"/>
  <c r="J303" i="2"/>
  <c r="I303" i="2"/>
  <c r="H303" i="2"/>
  <c r="G303" i="2"/>
  <c r="F303" i="2"/>
  <c r="E303" i="2"/>
  <c r="D303" i="2"/>
  <c r="C303" i="2"/>
  <c r="B303" i="2"/>
  <c r="O303" i="2" s="1"/>
  <c r="A303" i="2"/>
  <c r="Q302" i="2"/>
  <c r="N302" i="2"/>
  <c r="P302" i="2" s="1"/>
  <c r="M302" i="2"/>
  <c r="L302" i="2"/>
  <c r="K302" i="2"/>
  <c r="J302" i="2"/>
  <c r="I302" i="2"/>
  <c r="H302" i="2"/>
  <c r="G302" i="2"/>
  <c r="F302" i="2"/>
  <c r="E302" i="2"/>
  <c r="D302" i="2"/>
  <c r="C302" i="2"/>
  <c r="B302" i="2"/>
  <c r="O302" i="2" s="1"/>
  <c r="A302" i="2"/>
  <c r="N301" i="2"/>
  <c r="M301" i="2"/>
  <c r="L301" i="2"/>
  <c r="Q301" i="2" s="1"/>
  <c r="K301" i="2"/>
  <c r="J301" i="2"/>
  <c r="I301" i="2"/>
  <c r="H301" i="2"/>
  <c r="G301" i="2"/>
  <c r="F301" i="2"/>
  <c r="E301" i="2"/>
  <c r="D301" i="2"/>
  <c r="C301" i="2"/>
  <c r="B301" i="2"/>
  <c r="O301" i="2" s="1"/>
  <c r="A301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N299" i="2"/>
  <c r="P299" i="2" s="1"/>
  <c r="M299" i="2"/>
  <c r="L299" i="2"/>
  <c r="Q299" i="2" s="1"/>
  <c r="K299" i="2"/>
  <c r="J299" i="2"/>
  <c r="I299" i="2"/>
  <c r="H299" i="2"/>
  <c r="G299" i="2"/>
  <c r="F299" i="2"/>
  <c r="E299" i="2"/>
  <c r="D299" i="2"/>
  <c r="C299" i="2"/>
  <c r="B299" i="2"/>
  <c r="O299" i="2" s="1"/>
  <c r="A299" i="2"/>
  <c r="N298" i="2"/>
  <c r="P298" i="2" s="1"/>
  <c r="M298" i="2"/>
  <c r="L298" i="2"/>
  <c r="Q298" i="2" s="1"/>
  <c r="K298" i="2"/>
  <c r="J298" i="2"/>
  <c r="I298" i="2"/>
  <c r="H298" i="2"/>
  <c r="G298" i="2"/>
  <c r="F298" i="2"/>
  <c r="E298" i="2"/>
  <c r="D298" i="2"/>
  <c r="C298" i="2"/>
  <c r="B298" i="2"/>
  <c r="O298" i="2" s="1"/>
  <c r="A298" i="2"/>
  <c r="N297" i="2"/>
  <c r="P297" i="2" s="1"/>
  <c r="M297" i="2"/>
  <c r="L297" i="2"/>
  <c r="Q297" i="2" s="1"/>
  <c r="K297" i="2"/>
  <c r="J297" i="2"/>
  <c r="I297" i="2"/>
  <c r="H297" i="2"/>
  <c r="G297" i="2"/>
  <c r="F297" i="2"/>
  <c r="E297" i="2"/>
  <c r="D297" i="2"/>
  <c r="C297" i="2"/>
  <c r="B297" i="2"/>
  <c r="O297" i="2" s="1"/>
  <c r="A297" i="2"/>
  <c r="N296" i="2"/>
  <c r="P296" i="2" s="1"/>
  <c r="M296" i="2"/>
  <c r="L296" i="2"/>
  <c r="Q296" i="2" s="1"/>
  <c r="K296" i="2"/>
  <c r="J296" i="2"/>
  <c r="I296" i="2"/>
  <c r="H296" i="2"/>
  <c r="G296" i="2"/>
  <c r="F296" i="2"/>
  <c r="E296" i="2"/>
  <c r="D296" i="2"/>
  <c r="C296" i="2"/>
  <c r="B296" i="2"/>
  <c r="O296" i="2" s="1"/>
  <c r="A296" i="2"/>
  <c r="N295" i="2"/>
  <c r="M295" i="2"/>
  <c r="L295" i="2"/>
  <c r="P295" i="2" s="1"/>
  <c r="K295" i="2"/>
  <c r="J295" i="2"/>
  <c r="I295" i="2"/>
  <c r="H295" i="2"/>
  <c r="G295" i="2"/>
  <c r="F295" i="2"/>
  <c r="E295" i="2"/>
  <c r="D295" i="2"/>
  <c r="C295" i="2"/>
  <c r="B295" i="2"/>
  <c r="O295" i="2" s="1"/>
  <c r="A295" i="2"/>
  <c r="N294" i="2"/>
  <c r="P294" i="2" s="1"/>
  <c r="M294" i="2"/>
  <c r="L294" i="2"/>
  <c r="Q294" i="2" s="1"/>
  <c r="K294" i="2"/>
  <c r="J294" i="2"/>
  <c r="I294" i="2"/>
  <c r="H294" i="2"/>
  <c r="G294" i="2"/>
  <c r="F294" i="2"/>
  <c r="E294" i="2"/>
  <c r="D294" i="2"/>
  <c r="C294" i="2"/>
  <c r="B294" i="2"/>
  <c r="O294" i="2" s="1"/>
  <c r="A294" i="2"/>
  <c r="O293" i="2"/>
  <c r="N293" i="2"/>
  <c r="P293" i="2" s="1"/>
  <c r="M293" i="2"/>
  <c r="L293" i="2"/>
  <c r="Q293" i="2" s="1"/>
  <c r="K293" i="2"/>
  <c r="J293" i="2"/>
  <c r="I293" i="2"/>
  <c r="H293" i="2"/>
  <c r="G293" i="2"/>
  <c r="F293" i="2"/>
  <c r="E293" i="2"/>
  <c r="D293" i="2"/>
  <c r="C293" i="2"/>
  <c r="B293" i="2"/>
  <c r="A293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Q291" i="2"/>
  <c r="P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O291" i="2" s="1"/>
  <c r="A291" i="2"/>
  <c r="Q290" i="2"/>
  <c r="N290" i="2"/>
  <c r="P290" i="2" s="1"/>
  <c r="M290" i="2"/>
  <c r="L290" i="2"/>
  <c r="K290" i="2"/>
  <c r="J290" i="2"/>
  <c r="I290" i="2"/>
  <c r="H290" i="2"/>
  <c r="G290" i="2"/>
  <c r="F290" i="2"/>
  <c r="E290" i="2"/>
  <c r="D290" i="2"/>
  <c r="C290" i="2"/>
  <c r="B290" i="2"/>
  <c r="O290" i="2" s="1"/>
  <c r="A290" i="2"/>
  <c r="O289" i="2"/>
  <c r="N289" i="2"/>
  <c r="P289" i="2" s="1"/>
  <c r="M289" i="2"/>
  <c r="L289" i="2"/>
  <c r="Q289" i="2" s="1"/>
  <c r="K289" i="2"/>
  <c r="J289" i="2"/>
  <c r="I289" i="2"/>
  <c r="H289" i="2"/>
  <c r="G289" i="2"/>
  <c r="F289" i="2"/>
  <c r="E289" i="2"/>
  <c r="D289" i="2"/>
  <c r="C289" i="2"/>
  <c r="B289" i="2"/>
  <c r="A289" i="2"/>
  <c r="O288" i="2"/>
  <c r="N288" i="2"/>
  <c r="P288" i="2" s="1"/>
  <c r="M288" i="2"/>
  <c r="L288" i="2"/>
  <c r="Q288" i="2" s="1"/>
  <c r="K288" i="2"/>
  <c r="J288" i="2"/>
  <c r="I288" i="2"/>
  <c r="H288" i="2"/>
  <c r="G288" i="2"/>
  <c r="F288" i="2"/>
  <c r="E288" i="2"/>
  <c r="D288" i="2"/>
  <c r="C288" i="2"/>
  <c r="B288" i="2"/>
  <c r="A288" i="2"/>
  <c r="N287" i="2"/>
  <c r="M287" i="2"/>
  <c r="L287" i="2"/>
  <c r="P287" i="2" s="1"/>
  <c r="K287" i="2"/>
  <c r="J287" i="2"/>
  <c r="I287" i="2"/>
  <c r="H287" i="2"/>
  <c r="G287" i="2"/>
  <c r="F287" i="2"/>
  <c r="E287" i="2"/>
  <c r="D287" i="2"/>
  <c r="C287" i="2"/>
  <c r="B287" i="2"/>
  <c r="O287" i="2" s="1"/>
  <c r="A287" i="2"/>
  <c r="N286" i="2"/>
  <c r="M286" i="2"/>
  <c r="L286" i="2"/>
  <c r="Q286" i="2" s="1"/>
  <c r="K286" i="2"/>
  <c r="J286" i="2"/>
  <c r="I286" i="2"/>
  <c r="H286" i="2"/>
  <c r="G286" i="2"/>
  <c r="F286" i="2"/>
  <c r="E286" i="2"/>
  <c r="D286" i="2"/>
  <c r="C286" i="2"/>
  <c r="B286" i="2"/>
  <c r="O286" i="2" s="1"/>
  <c r="A286" i="2"/>
  <c r="N285" i="2"/>
  <c r="M285" i="2"/>
  <c r="L285" i="2"/>
  <c r="Q285" i="2" s="1"/>
  <c r="K285" i="2"/>
  <c r="J285" i="2"/>
  <c r="I285" i="2"/>
  <c r="H285" i="2"/>
  <c r="G285" i="2"/>
  <c r="F285" i="2"/>
  <c r="E285" i="2"/>
  <c r="D285" i="2"/>
  <c r="C285" i="2"/>
  <c r="B285" i="2"/>
  <c r="O285" i="2" s="1"/>
  <c r="A285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O284" i="2" s="1"/>
  <c r="A284" i="2"/>
  <c r="Q283" i="2"/>
  <c r="N283" i="2"/>
  <c r="P283" i="2" s="1"/>
  <c r="M283" i="2"/>
  <c r="L283" i="2"/>
  <c r="K283" i="2"/>
  <c r="J283" i="2"/>
  <c r="I283" i="2"/>
  <c r="H283" i="2"/>
  <c r="G283" i="2"/>
  <c r="F283" i="2"/>
  <c r="E283" i="2"/>
  <c r="D283" i="2"/>
  <c r="C283" i="2"/>
  <c r="B283" i="2"/>
  <c r="O283" i="2" s="1"/>
  <c r="A283" i="2"/>
  <c r="Q282" i="2"/>
  <c r="N282" i="2"/>
  <c r="P282" i="2" s="1"/>
  <c r="M282" i="2"/>
  <c r="L282" i="2"/>
  <c r="K282" i="2"/>
  <c r="J282" i="2"/>
  <c r="I282" i="2"/>
  <c r="H282" i="2"/>
  <c r="G282" i="2"/>
  <c r="F282" i="2"/>
  <c r="E282" i="2"/>
  <c r="D282" i="2"/>
  <c r="C282" i="2"/>
  <c r="B282" i="2"/>
  <c r="O282" i="2" s="1"/>
  <c r="A282" i="2"/>
  <c r="O281" i="2"/>
  <c r="N281" i="2"/>
  <c r="P281" i="2" s="1"/>
  <c r="M281" i="2"/>
  <c r="L281" i="2"/>
  <c r="Q281" i="2" s="1"/>
  <c r="K281" i="2"/>
  <c r="J281" i="2"/>
  <c r="I281" i="2"/>
  <c r="H281" i="2"/>
  <c r="G281" i="2"/>
  <c r="F281" i="2"/>
  <c r="E281" i="2"/>
  <c r="D281" i="2"/>
  <c r="C281" i="2"/>
  <c r="B281" i="2"/>
  <c r="A281" i="2"/>
  <c r="O280" i="2"/>
  <c r="N280" i="2"/>
  <c r="P280" i="2" s="1"/>
  <c r="M280" i="2"/>
  <c r="L280" i="2"/>
  <c r="Q280" i="2" s="1"/>
  <c r="K280" i="2"/>
  <c r="J280" i="2"/>
  <c r="I280" i="2"/>
  <c r="H280" i="2"/>
  <c r="G280" i="2"/>
  <c r="F280" i="2"/>
  <c r="E280" i="2"/>
  <c r="D280" i="2"/>
  <c r="C280" i="2"/>
  <c r="B280" i="2"/>
  <c r="A280" i="2"/>
  <c r="Q279" i="2"/>
  <c r="P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O279" i="2" s="1"/>
  <c r="A279" i="2"/>
  <c r="Q278" i="2"/>
  <c r="N278" i="2"/>
  <c r="P278" i="2" s="1"/>
  <c r="M278" i="2"/>
  <c r="L278" i="2"/>
  <c r="K278" i="2"/>
  <c r="J278" i="2"/>
  <c r="I278" i="2"/>
  <c r="H278" i="2"/>
  <c r="G278" i="2"/>
  <c r="F278" i="2"/>
  <c r="E278" i="2"/>
  <c r="D278" i="2"/>
  <c r="C278" i="2"/>
  <c r="B278" i="2"/>
  <c r="O278" i="2" s="1"/>
  <c r="A278" i="2"/>
  <c r="N277" i="2"/>
  <c r="M277" i="2"/>
  <c r="L277" i="2"/>
  <c r="Q277" i="2" s="1"/>
  <c r="K277" i="2"/>
  <c r="J277" i="2"/>
  <c r="I277" i="2"/>
  <c r="H277" i="2"/>
  <c r="G277" i="2"/>
  <c r="F277" i="2"/>
  <c r="E277" i="2"/>
  <c r="D277" i="2"/>
  <c r="C277" i="2"/>
  <c r="B277" i="2"/>
  <c r="O277" i="2" s="1"/>
  <c r="A277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O276" i="2" s="1"/>
  <c r="A276" i="2"/>
  <c r="N275" i="2"/>
  <c r="M275" i="2"/>
  <c r="L275" i="2"/>
  <c r="P275" i="2" s="1"/>
  <c r="K275" i="2"/>
  <c r="J275" i="2"/>
  <c r="I275" i="2"/>
  <c r="H275" i="2"/>
  <c r="G275" i="2"/>
  <c r="F275" i="2"/>
  <c r="E275" i="2"/>
  <c r="D275" i="2"/>
  <c r="C275" i="2"/>
  <c r="B275" i="2"/>
  <c r="O275" i="2" s="1"/>
  <c r="A275" i="2"/>
  <c r="Q274" i="2"/>
  <c r="N274" i="2"/>
  <c r="P274" i="2" s="1"/>
  <c r="M274" i="2"/>
  <c r="L274" i="2"/>
  <c r="K274" i="2"/>
  <c r="J274" i="2"/>
  <c r="I274" i="2"/>
  <c r="H274" i="2"/>
  <c r="G274" i="2"/>
  <c r="F274" i="2"/>
  <c r="E274" i="2"/>
  <c r="D274" i="2"/>
  <c r="C274" i="2"/>
  <c r="B274" i="2"/>
  <c r="O274" i="2" s="1"/>
  <c r="A274" i="2"/>
  <c r="N273" i="2"/>
  <c r="P273" i="2" s="1"/>
  <c r="M273" i="2"/>
  <c r="L273" i="2"/>
  <c r="Q273" i="2" s="1"/>
  <c r="K273" i="2"/>
  <c r="J273" i="2"/>
  <c r="I273" i="2"/>
  <c r="H273" i="2"/>
  <c r="G273" i="2"/>
  <c r="F273" i="2"/>
  <c r="E273" i="2"/>
  <c r="D273" i="2"/>
  <c r="C273" i="2"/>
  <c r="B273" i="2"/>
  <c r="O273" i="2" s="1"/>
  <c r="A273" i="2"/>
  <c r="P272" i="2"/>
  <c r="N272" i="2"/>
  <c r="M272" i="2"/>
  <c r="L272" i="2"/>
  <c r="Q272" i="2" s="1"/>
  <c r="K272" i="2"/>
  <c r="J272" i="2"/>
  <c r="I272" i="2"/>
  <c r="H272" i="2"/>
  <c r="G272" i="2"/>
  <c r="F272" i="2"/>
  <c r="E272" i="2"/>
  <c r="D272" i="2"/>
  <c r="C272" i="2"/>
  <c r="B272" i="2"/>
  <c r="O272" i="2" s="1"/>
  <c r="A272" i="2"/>
  <c r="Q271" i="2"/>
  <c r="N271" i="2"/>
  <c r="P271" i="2" s="1"/>
  <c r="M271" i="2"/>
  <c r="L271" i="2"/>
  <c r="K271" i="2"/>
  <c r="J271" i="2"/>
  <c r="I271" i="2"/>
  <c r="H271" i="2"/>
  <c r="G271" i="2"/>
  <c r="F271" i="2"/>
  <c r="E271" i="2"/>
  <c r="D271" i="2"/>
  <c r="C271" i="2"/>
  <c r="B271" i="2"/>
  <c r="O271" i="2" s="1"/>
  <c r="A271" i="2"/>
  <c r="Q270" i="2"/>
  <c r="N270" i="2"/>
  <c r="P270" i="2" s="1"/>
  <c r="M270" i="2"/>
  <c r="L270" i="2"/>
  <c r="K270" i="2"/>
  <c r="J270" i="2"/>
  <c r="I270" i="2"/>
  <c r="H270" i="2"/>
  <c r="G270" i="2"/>
  <c r="F270" i="2"/>
  <c r="E270" i="2"/>
  <c r="D270" i="2"/>
  <c r="C270" i="2"/>
  <c r="B270" i="2"/>
  <c r="O270" i="2" s="1"/>
  <c r="A270" i="2"/>
  <c r="O269" i="2"/>
  <c r="N269" i="2"/>
  <c r="P269" i="2" s="1"/>
  <c r="M269" i="2"/>
  <c r="L269" i="2"/>
  <c r="Q269" i="2" s="1"/>
  <c r="K269" i="2"/>
  <c r="J269" i="2"/>
  <c r="I269" i="2"/>
  <c r="H269" i="2"/>
  <c r="G269" i="2"/>
  <c r="F269" i="2"/>
  <c r="E269" i="2"/>
  <c r="D269" i="2"/>
  <c r="C269" i="2"/>
  <c r="B269" i="2"/>
  <c r="A269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N267" i="2"/>
  <c r="M267" i="2"/>
  <c r="L267" i="2"/>
  <c r="P267" i="2" s="1"/>
  <c r="K267" i="2"/>
  <c r="J267" i="2"/>
  <c r="I267" i="2"/>
  <c r="H267" i="2"/>
  <c r="G267" i="2"/>
  <c r="F267" i="2"/>
  <c r="E267" i="2"/>
  <c r="D267" i="2"/>
  <c r="C267" i="2"/>
  <c r="B267" i="2"/>
  <c r="O267" i="2" s="1"/>
  <c r="A267" i="2"/>
  <c r="N266" i="2"/>
  <c r="M266" i="2"/>
  <c r="L266" i="2"/>
  <c r="Q266" i="2" s="1"/>
  <c r="K266" i="2"/>
  <c r="J266" i="2"/>
  <c r="I266" i="2"/>
  <c r="H266" i="2"/>
  <c r="G266" i="2"/>
  <c r="F266" i="2"/>
  <c r="E266" i="2"/>
  <c r="D266" i="2"/>
  <c r="C266" i="2"/>
  <c r="B266" i="2"/>
  <c r="O266" i="2" s="1"/>
  <c r="A266" i="2"/>
  <c r="N265" i="2"/>
  <c r="M265" i="2"/>
  <c r="L265" i="2"/>
  <c r="Q265" i="2" s="1"/>
  <c r="K265" i="2"/>
  <c r="J265" i="2"/>
  <c r="I265" i="2"/>
  <c r="H265" i="2"/>
  <c r="G265" i="2"/>
  <c r="F265" i="2"/>
  <c r="E265" i="2"/>
  <c r="D265" i="2"/>
  <c r="C265" i="2"/>
  <c r="B265" i="2"/>
  <c r="O265" i="2" s="1"/>
  <c r="A265" i="2"/>
  <c r="N264" i="2"/>
  <c r="M264" i="2"/>
  <c r="L264" i="2"/>
  <c r="Q264" i="2" s="1"/>
  <c r="K264" i="2"/>
  <c r="J264" i="2"/>
  <c r="I264" i="2"/>
  <c r="H264" i="2"/>
  <c r="G264" i="2"/>
  <c r="F264" i="2"/>
  <c r="E264" i="2"/>
  <c r="D264" i="2"/>
  <c r="C264" i="2"/>
  <c r="B264" i="2"/>
  <c r="O264" i="2" s="1"/>
  <c r="A264" i="2"/>
  <c r="N263" i="2"/>
  <c r="M263" i="2"/>
  <c r="L263" i="2"/>
  <c r="Q263" i="2" s="1"/>
  <c r="K263" i="2"/>
  <c r="J263" i="2"/>
  <c r="I263" i="2"/>
  <c r="H263" i="2"/>
  <c r="G263" i="2"/>
  <c r="F263" i="2"/>
  <c r="E263" i="2"/>
  <c r="D263" i="2"/>
  <c r="C263" i="2"/>
  <c r="B263" i="2"/>
  <c r="O263" i="2" s="1"/>
  <c r="A263" i="2"/>
  <c r="Q262" i="2"/>
  <c r="N262" i="2"/>
  <c r="P262" i="2" s="1"/>
  <c r="M262" i="2"/>
  <c r="L262" i="2"/>
  <c r="K262" i="2"/>
  <c r="J262" i="2"/>
  <c r="I262" i="2"/>
  <c r="H262" i="2"/>
  <c r="G262" i="2"/>
  <c r="F262" i="2"/>
  <c r="E262" i="2"/>
  <c r="D262" i="2"/>
  <c r="C262" i="2"/>
  <c r="B262" i="2"/>
  <c r="O262" i="2" s="1"/>
  <c r="A262" i="2"/>
  <c r="N261" i="2"/>
  <c r="P261" i="2" s="1"/>
  <c r="M261" i="2"/>
  <c r="L261" i="2"/>
  <c r="Q261" i="2" s="1"/>
  <c r="K261" i="2"/>
  <c r="J261" i="2"/>
  <c r="I261" i="2"/>
  <c r="H261" i="2"/>
  <c r="G261" i="2"/>
  <c r="F261" i="2"/>
  <c r="E261" i="2"/>
  <c r="D261" i="2"/>
  <c r="C261" i="2"/>
  <c r="B261" i="2"/>
  <c r="O261" i="2" s="1"/>
  <c r="A261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Q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O259" i="2" s="1"/>
  <c r="A259" i="2"/>
  <c r="Q258" i="2"/>
  <c r="N258" i="2"/>
  <c r="P258" i="2" s="1"/>
  <c r="M258" i="2"/>
  <c r="L258" i="2"/>
  <c r="K258" i="2"/>
  <c r="J258" i="2"/>
  <c r="I258" i="2"/>
  <c r="H258" i="2"/>
  <c r="G258" i="2"/>
  <c r="F258" i="2"/>
  <c r="E258" i="2"/>
  <c r="D258" i="2"/>
  <c r="C258" i="2"/>
  <c r="B258" i="2"/>
  <c r="O258" i="2" s="1"/>
  <c r="A258" i="2"/>
  <c r="N257" i="2"/>
  <c r="M257" i="2"/>
  <c r="L257" i="2"/>
  <c r="Q257" i="2" s="1"/>
  <c r="K257" i="2"/>
  <c r="J257" i="2"/>
  <c r="I257" i="2"/>
  <c r="H257" i="2"/>
  <c r="G257" i="2"/>
  <c r="F257" i="2"/>
  <c r="E257" i="2"/>
  <c r="D257" i="2"/>
  <c r="C257" i="2"/>
  <c r="B257" i="2"/>
  <c r="O257" i="2" s="1"/>
  <c r="A257" i="2"/>
  <c r="N256" i="2"/>
  <c r="P256" i="2" s="1"/>
  <c r="M256" i="2"/>
  <c r="L256" i="2"/>
  <c r="Q256" i="2" s="1"/>
  <c r="K256" i="2"/>
  <c r="J256" i="2"/>
  <c r="I256" i="2"/>
  <c r="H256" i="2"/>
  <c r="G256" i="2"/>
  <c r="F256" i="2"/>
  <c r="E256" i="2"/>
  <c r="D256" i="2"/>
  <c r="C256" i="2"/>
  <c r="B256" i="2"/>
  <c r="O256" i="2" s="1"/>
  <c r="A256" i="2"/>
  <c r="N255" i="2"/>
  <c r="P255" i="2" s="1"/>
  <c r="M255" i="2"/>
  <c r="L255" i="2"/>
  <c r="Q255" i="2" s="1"/>
  <c r="K255" i="2"/>
  <c r="J255" i="2"/>
  <c r="I255" i="2"/>
  <c r="H255" i="2"/>
  <c r="G255" i="2"/>
  <c r="F255" i="2"/>
  <c r="E255" i="2"/>
  <c r="D255" i="2"/>
  <c r="C255" i="2"/>
  <c r="B255" i="2"/>
  <c r="O255" i="2" s="1"/>
  <c r="A255" i="2"/>
  <c r="N254" i="2"/>
  <c r="M254" i="2"/>
  <c r="L254" i="2"/>
  <c r="Q254" i="2" s="1"/>
  <c r="K254" i="2"/>
  <c r="J254" i="2"/>
  <c r="I254" i="2"/>
  <c r="H254" i="2"/>
  <c r="G254" i="2"/>
  <c r="F254" i="2"/>
  <c r="E254" i="2"/>
  <c r="D254" i="2"/>
  <c r="C254" i="2"/>
  <c r="B254" i="2"/>
  <c r="O254" i="2" s="1"/>
  <c r="A254" i="2"/>
  <c r="N253" i="2"/>
  <c r="M253" i="2"/>
  <c r="L253" i="2"/>
  <c r="Q253" i="2" s="1"/>
  <c r="K253" i="2"/>
  <c r="J253" i="2"/>
  <c r="I253" i="2"/>
  <c r="H253" i="2"/>
  <c r="G253" i="2"/>
  <c r="F253" i="2"/>
  <c r="E253" i="2"/>
  <c r="D253" i="2"/>
  <c r="C253" i="2"/>
  <c r="B253" i="2"/>
  <c r="O253" i="2" s="1"/>
  <c r="A253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O252" i="2" s="1"/>
  <c r="A252" i="2"/>
  <c r="Q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O251" i="2" s="1"/>
  <c r="A251" i="2"/>
  <c r="Q250" i="2"/>
  <c r="N250" i="2"/>
  <c r="P250" i="2" s="1"/>
  <c r="M250" i="2"/>
  <c r="L250" i="2"/>
  <c r="K250" i="2"/>
  <c r="J250" i="2"/>
  <c r="I250" i="2"/>
  <c r="H250" i="2"/>
  <c r="G250" i="2"/>
  <c r="F250" i="2"/>
  <c r="E250" i="2"/>
  <c r="D250" i="2"/>
  <c r="C250" i="2"/>
  <c r="B250" i="2"/>
  <c r="O250" i="2" s="1"/>
  <c r="A250" i="2"/>
  <c r="O249" i="2"/>
  <c r="N249" i="2"/>
  <c r="P249" i="2" s="1"/>
  <c r="M249" i="2"/>
  <c r="L249" i="2"/>
  <c r="Q249" i="2" s="1"/>
  <c r="K249" i="2"/>
  <c r="J249" i="2"/>
  <c r="I249" i="2"/>
  <c r="H249" i="2"/>
  <c r="G249" i="2"/>
  <c r="F249" i="2"/>
  <c r="E249" i="2"/>
  <c r="D249" i="2"/>
  <c r="C249" i="2"/>
  <c r="B249" i="2"/>
  <c r="A249" i="2"/>
  <c r="O248" i="2"/>
  <c r="N248" i="2"/>
  <c r="P248" i="2" s="1"/>
  <c r="M248" i="2"/>
  <c r="L248" i="2"/>
  <c r="Q248" i="2" s="1"/>
  <c r="K248" i="2"/>
  <c r="J248" i="2"/>
  <c r="I248" i="2"/>
  <c r="H248" i="2"/>
  <c r="G248" i="2"/>
  <c r="F248" i="2"/>
  <c r="E248" i="2"/>
  <c r="D248" i="2"/>
  <c r="C248" i="2"/>
  <c r="B248" i="2"/>
  <c r="A248" i="2"/>
  <c r="Q247" i="2"/>
  <c r="P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O247" i="2" s="1"/>
  <c r="A247" i="2"/>
  <c r="Q246" i="2"/>
  <c r="N246" i="2"/>
  <c r="P246" i="2" s="1"/>
  <c r="M246" i="2"/>
  <c r="L246" i="2"/>
  <c r="K246" i="2"/>
  <c r="J246" i="2"/>
  <c r="I246" i="2"/>
  <c r="H246" i="2"/>
  <c r="G246" i="2"/>
  <c r="F246" i="2"/>
  <c r="E246" i="2"/>
  <c r="D246" i="2"/>
  <c r="C246" i="2"/>
  <c r="B246" i="2"/>
  <c r="O246" i="2" s="1"/>
  <c r="A246" i="2"/>
  <c r="N245" i="2"/>
  <c r="M245" i="2"/>
  <c r="L245" i="2"/>
  <c r="Q245" i="2" s="1"/>
  <c r="K245" i="2"/>
  <c r="J245" i="2"/>
  <c r="I245" i="2"/>
  <c r="H245" i="2"/>
  <c r="G245" i="2"/>
  <c r="F245" i="2"/>
  <c r="E245" i="2"/>
  <c r="D245" i="2"/>
  <c r="C245" i="2"/>
  <c r="B245" i="2"/>
  <c r="O245" i="2" s="1"/>
  <c r="A245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O244" i="2" s="1"/>
  <c r="A244" i="2"/>
  <c r="N243" i="2"/>
  <c r="M243" i="2"/>
  <c r="L243" i="2"/>
  <c r="P243" i="2" s="1"/>
  <c r="K243" i="2"/>
  <c r="J243" i="2"/>
  <c r="I243" i="2"/>
  <c r="H243" i="2"/>
  <c r="G243" i="2"/>
  <c r="F243" i="2"/>
  <c r="E243" i="2"/>
  <c r="D243" i="2"/>
  <c r="C243" i="2"/>
  <c r="B243" i="2"/>
  <c r="O243" i="2" s="1"/>
  <c r="A243" i="2"/>
  <c r="Q242" i="2"/>
  <c r="N242" i="2"/>
  <c r="P242" i="2" s="1"/>
  <c r="M242" i="2"/>
  <c r="L242" i="2"/>
  <c r="K242" i="2"/>
  <c r="J242" i="2"/>
  <c r="I242" i="2"/>
  <c r="H242" i="2"/>
  <c r="G242" i="2"/>
  <c r="F242" i="2"/>
  <c r="E242" i="2"/>
  <c r="D242" i="2"/>
  <c r="C242" i="2"/>
  <c r="B242" i="2"/>
  <c r="O242" i="2" s="1"/>
  <c r="A242" i="2"/>
  <c r="N241" i="2"/>
  <c r="P241" i="2" s="1"/>
  <c r="M241" i="2"/>
  <c r="L241" i="2"/>
  <c r="Q241" i="2" s="1"/>
  <c r="K241" i="2"/>
  <c r="J241" i="2"/>
  <c r="I241" i="2"/>
  <c r="H241" i="2"/>
  <c r="G241" i="2"/>
  <c r="F241" i="2"/>
  <c r="E241" i="2"/>
  <c r="D241" i="2"/>
  <c r="C241" i="2"/>
  <c r="B241" i="2"/>
  <c r="O241" i="2" s="1"/>
  <c r="A241" i="2"/>
  <c r="P240" i="2"/>
  <c r="N240" i="2"/>
  <c r="M240" i="2"/>
  <c r="L240" i="2"/>
  <c r="Q240" i="2" s="1"/>
  <c r="K240" i="2"/>
  <c r="J240" i="2"/>
  <c r="I240" i="2"/>
  <c r="H240" i="2"/>
  <c r="G240" i="2"/>
  <c r="F240" i="2"/>
  <c r="E240" i="2"/>
  <c r="D240" i="2"/>
  <c r="C240" i="2"/>
  <c r="B240" i="2"/>
  <c r="O240" i="2" s="1"/>
  <c r="A240" i="2"/>
  <c r="Q239" i="2"/>
  <c r="N239" i="2"/>
  <c r="P239" i="2" s="1"/>
  <c r="M239" i="2"/>
  <c r="L239" i="2"/>
  <c r="K239" i="2"/>
  <c r="J239" i="2"/>
  <c r="I239" i="2"/>
  <c r="H239" i="2"/>
  <c r="G239" i="2"/>
  <c r="F239" i="2"/>
  <c r="E239" i="2"/>
  <c r="D239" i="2"/>
  <c r="C239" i="2"/>
  <c r="B239" i="2"/>
  <c r="O239" i="2" s="1"/>
  <c r="A239" i="2"/>
  <c r="Q238" i="2"/>
  <c r="N238" i="2"/>
  <c r="P238" i="2" s="1"/>
  <c r="M238" i="2"/>
  <c r="L238" i="2"/>
  <c r="K238" i="2"/>
  <c r="J238" i="2"/>
  <c r="I238" i="2"/>
  <c r="H238" i="2"/>
  <c r="G238" i="2"/>
  <c r="F238" i="2"/>
  <c r="E238" i="2"/>
  <c r="D238" i="2"/>
  <c r="C238" i="2"/>
  <c r="B238" i="2"/>
  <c r="O238" i="2" s="1"/>
  <c r="A238" i="2"/>
  <c r="O237" i="2"/>
  <c r="N237" i="2"/>
  <c r="P237" i="2" s="1"/>
  <c r="M237" i="2"/>
  <c r="L237" i="2"/>
  <c r="Q237" i="2" s="1"/>
  <c r="K237" i="2"/>
  <c r="J237" i="2"/>
  <c r="I237" i="2"/>
  <c r="H237" i="2"/>
  <c r="G237" i="2"/>
  <c r="F237" i="2"/>
  <c r="E237" i="2"/>
  <c r="D237" i="2"/>
  <c r="C237" i="2"/>
  <c r="B237" i="2"/>
  <c r="A237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N235" i="2"/>
  <c r="M235" i="2"/>
  <c r="L235" i="2"/>
  <c r="P235" i="2" s="1"/>
  <c r="K235" i="2"/>
  <c r="J235" i="2"/>
  <c r="I235" i="2"/>
  <c r="H235" i="2"/>
  <c r="G235" i="2"/>
  <c r="F235" i="2"/>
  <c r="E235" i="2"/>
  <c r="D235" i="2"/>
  <c r="C235" i="2"/>
  <c r="B235" i="2"/>
  <c r="O235" i="2" s="1"/>
  <c r="A235" i="2"/>
  <c r="N234" i="2"/>
  <c r="M234" i="2"/>
  <c r="L234" i="2"/>
  <c r="Q234" i="2" s="1"/>
  <c r="K234" i="2"/>
  <c r="J234" i="2"/>
  <c r="I234" i="2"/>
  <c r="H234" i="2"/>
  <c r="G234" i="2"/>
  <c r="F234" i="2"/>
  <c r="E234" i="2"/>
  <c r="D234" i="2"/>
  <c r="C234" i="2"/>
  <c r="B234" i="2"/>
  <c r="O234" i="2" s="1"/>
  <c r="A234" i="2"/>
  <c r="N233" i="2"/>
  <c r="M233" i="2"/>
  <c r="L233" i="2"/>
  <c r="Q233" i="2" s="1"/>
  <c r="K233" i="2"/>
  <c r="J233" i="2"/>
  <c r="I233" i="2"/>
  <c r="H233" i="2"/>
  <c r="G233" i="2"/>
  <c r="F233" i="2"/>
  <c r="E233" i="2"/>
  <c r="D233" i="2"/>
  <c r="C233" i="2"/>
  <c r="B233" i="2"/>
  <c r="O233" i="2" s="1"/>
  <c r="A233" i="2"/>
  <c r="N232" i="2"/>
  <c r="M232" i="2"/>
  <c r="L232" i="2"/>
  <c r="Q232" i="2" s="1"/>
  <c r="K232" i="2"/>
  <c r="J232" i="2"/>
  <c r="I232" i="2"/>
  <c r="H232" i="2"/>
  <c r="G232" i="2"/>
  <c r="F232" i="2"/>
  <c r="E232" i="2"/>
  <c r="D232" i="2"/>
  <c r="C232" i="2"/>
  <c r="B232" i="2"/>
  <c r="O232" i="2" s="1"/>
  <c r="A232" i="2"/>
  <c r="N231" i="2"/>
  <c r="M231" i="2"/>
  <c r="L231" i="2"/>
  <c r="Q231" i="2" s="1"/>
  <c r="K231" i="2"/>
  <c r="J231" i="2"/>
  <c r="I231" i="2"/>
  <c r="H231" i="2"/>
  <c r="G231" i="2"/>
  <c r="F231" i="2"/>
  <c r="E231" i="2"/>
  <c r="D231" i="2"/>
  <c r="C231" i="2"/>
  <c r="B231" i="2"/>
  <c r="O231" i="2" s="1"/>
  <c r="A231" i="2"/>
  <c r="Q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O230" i="2" s="1"/>
  <c r="A230" i="2"/>
  <c r="N229" i="2"/>
  <c r="P229" i="2" s="1"/>
  <c r="M229" i="2"/>
  <c r="L229" i="2"/>
  <c r="Q229" i="2" s="1"/>
  <c r="K229" i="2"/>
  <c r="J229" i="2"/>
  <c r="I229" i="2"/>
  <c r="H229" i="2"/>
  <c r="G229" i="2"/>
  <c r="F229" i="2"/>
  <c r="E229" i="2"/>
  <c r="D229" i="2"/>
  <c r="C229" i="2"/>
  <c r="B229" i="2"/>
  <c r="O229" i="2" s="1"/>
  <c r="A229" i="2"/>
  <c r="P228" i="2"/>
  <c r="N228" i="2"/>
  <c r="M228" i="2"/>
  <c r="L228" i="2"/>
  <c r="Q228" i="2" s="1"/>
  <c r="K228" i="2"/>
  <c r="J228" i="2"/>
  <c r="I228" i="2"/>
  <c r="H228" i="2"/>
  <c r="G228" i="2"/>
  <c r="F228" i="2"/>
  <c r="E228" i="2"/>
  <c r="D228" i="2"/>
  <c r="C228" i="2"/>
  <c r="B228" i="2"/>
  <c r="O228" i="2" s="1"/>
  <c r="A228" i="2"/>
  <c r="Q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O227" i="2" s="1"/>
  <c r="A227" i="2"/>
  <c r="Q226" i="2"/>
  <c r="N226" i="2"/>
  <c r="P226" i="2" s="1"/>
  <c r="M226" i="2"/>
  <c r="L226" i="2"/>
  <c r="K226" i="2"/>
  <c r="J226" i="2"/>
  <c r="I226" i="2"/>
  <c r="H226" i="2"/>
  <c r="G226" i="2"/>
  <c r="F226" i="2"/>
  <c r="E226" i="2"/>
  <c r="D226" i="2"/>
  <c r="C226" i="2"/>
  <c r="B226" i="2"/>
  <c r="O226" i="2" s="1"/>
  <c r="A226" i="2"/>
  <c r="O225" i="2"/>
  <c r="N225" i="2"/>
  <c r="P225" i="2" s="1"/>
  <c r="M225" i="2"/>
  <c r="L225" i="2"/>
  <c r="Q225" i="2" s="1"/>
  <c r="K225" i="2"/>
  <c r="J225" i="2"/>
  <c r="I225" i="2"/>
  <c r="H225" i="2"/>
  <c r="G225" i="2"/>
  <c r="F225" i="2"/>
  <c r="E225" i="2"/>
  <c r="D225" i="2"/>
  <c r="C225" i="2"/>
  <c r="B225" i="2"/>
  <c r="A225" i="2"/>
  <c r="N224" i="2"/>
  <c r="M224" i="2"/>
  <c r="L224" i="2"/>
  <c r="Q224" i="2" s="1"/>
  <c r="K224" i="2"/>
  <c r="J224" i="2"/>
  <c r="I224" i="2"/>
  <c r="H224" i="2"/>
  <c r="G224" i="2"/>
  <c r="F224" i="2"/>
  <c r="E224" i="2"/>
  <c r="D224" i="2"/>
  <c r="C224" i="2"/>
  <c r="B224" i="2"/>
  <c r="O224" i="2" s="1"/>
  <c r="A224" i="2"/>
  <c r="N223" i="2"/>
  <c r="P223" i="2" s="1"/>
  <c r="M223" i="2"/>
  <c r="L223" i="2"/>
  <c r="Q223" i="2" s="1"/>
  <c r="K223" i="2"/>
  <c r="J223" i="2"/>
  <c r="I223" i="2"/>
  <c r="H223" i="2"/>
  <c r="G223" i="2"/>
  <c r="F223" i="2"/>
  <c r="E223" i="2"/>
  <c r="D223" i="2"/>
  <c r="C223" i="2"/>
  <c r="B223" i="2"/>
  <c r="O223" i="2" s="1"/>
  <c r="A223" i="2"/>
  <c r="N222" i="2"/>
  <c r="M222" i="2"/>
  <c r="L222" i="2"/>
  <c r="Q222" i="2" s="1"/>
  <c r="K222" i="2"/>
  <c r="J222" i="2"/>
  <c r="I222" i="2"/>
  <c r="H222" i="2"/>
  <c r="G222" i="2"/>
  <c r="F222" i="2"/>
  <c r="E222" i="2"/>
  <c r="D222" i="2"/>
  <c r="C222" i="2"/>
  <c r="B222" i="2"/>
  <c r="O222" i="2" s="1"/>
  <c r="A222" i="2"/>
  <c r="N221" i="2"/>
  <c r="M221" i="2"/>
  <c r="L221" i="2"/>
  <c r="Q221" i="2" s="1"/>
  <c r="K221" i="2"/>
  <c r="J221" i="2"/>
  <c r="I221" i="2"/>
  <c r="H221" i="2"/>
  <c r="G221" i="2"/>
  <c r="F221" i="2"/>
  <c r="E221" i="2"/>
  <c r="D221" i="2"/>
  <c r="C221" i="2"/>
  <c r="B221" i="2"/>
  <c r="O221" i="2" s="1"/>
  <c r="A221" i="2"/>
  <c r="N220" i="2"/>
  <c r="M220" i="2"/>
  <c r="L220" i="2"/>
  <c r="Q220" i="2" s="1"/>
  <c r="K220" i="2"/>
  <c r="J220" i="2"/>
  <c r="I220" i="2"/>
  <c r="H220" i="2"/>
  <c r="G220" i="2"/>
  <c r="F220" i="2"/>
  <c r="E220" i="2"/>
  <c r="D220" i="2"/>
  <c r="C220" i="2"/>
  <c r="B220" i="2"/>
  <c r="O220" i="2" s="1"/>
  <c r="A220" i="2"/>
  <c r="Q219" i="2"/>
  <c r="P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O219" i="2" s="1"/>
  <c r="A219" i="2"/>
  <c r="Q218" i="2"/>
  <c r="N218" i="2"/>
  <c r="P218" i="2" s="1"/>
  <c r="M218" i="2"/>
  <c r="L218" i="2"/>
  <c r="K218" i="2"/>
  <c r="J218" i="2"/>
  <c r="I218" i="2"/>
  <c r="H218" i="2"/>
  <c r="G218" i="2"/>
  <c r="F218" i="2"/>
  <c r="E218" i="2"/>
  <c r="D218" i="2"/>
  <c r="C218" i="2"/>
  <c r="B218" i="2"/>
  <c r="O218" i="2" s="1"/>
  <c r="A218" i="2"/>
  <c r="O217" i="2"/>
  <c r="N217" i="2"/>
  <c r="P217" i="2" s="1"/>
  <c r="M217" i="2"/>
  <c r="L217" i="2"/>
  <c r="Q217" i="2" s="1"/>
  <c r="K217" i="2"/>
  <c r="J217" i="2"/>
  <c r="I217" i="2"/>
  <c r="H217" i="2"/>
  <c r="G217" i="2"/>
  <c r="F217" i="2"/>
  <c r="E217" i="2"/>
  <c r="D217" i="2"/>
  <c r="C217" i="2"/>
  <c r="B217" i="2"/>
  <c r="A217" i="2"/>
  <c r="P216" i="2"/>
  <c r="O216" i="2"/>
  <c r="N216" i="2"/>
  <c r="M216" i="2"/>
  <c r="L216" i="2"/>
  <c r="Q216" i="2" s="1"/>
  <c r="K216" i="2"/>
  <c r="J216" i="2"/>
  <c r="I216" i="2"/>
  <c r="H216" i="2"/>
  <c r="G216" i="2"/>
  <c r="F216" i="2"/>
  <c r="E216" i="2"/>
  <c r="D216" i="2"/>
  <c r="C216" i="2"/>
  <c r="B216" i="2"/>
  <c r="A216" i="2"/>
  <c r="Q215" i="2"/>
  <c r="P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O215" i="2" s="1"/>
  <c r="A215" i="2"/>
  <c r="Q214" i="2"/>
  <c r="N214" i="2"/>
  <c r="P214" i="2" s="1"/>
  <c r="M214" i="2"/>
  <c r="L214" i="2"/>
  <c r="K214" i="2"/>
  <c r="J214" i="2"/>
  <c r="I214" i="2"/>
  <c r="H214" i="2"/>
  <c r="G214" i="2"/>
  <c r="F214" i="2"/>
  <c r="E214" i="2"/>
  <c r="D214" i="2"/>
  <c r="C214" i="2"/>
  <c r="B214" i="2"/>
  <c r="O214" i="2" s="1"/>
  <c r="A214" i="2"/>
  <c r="O213" i="2"/>
  <c r="N213" i="2"/>
  <c r="P213" i="2" s="1"/>
  <c r="M213" i="2"/>
  <c r="L213" i="2"/>
  <c r="Q213" i="2" s="1"/>
  <c r="K213" i="2"/>
  <c r="J213" i="2"/>
  <c r="I213" i="2"/>
  <c r="H213" i="2"/>
  <c r="G213" i="2"/>
  <c r="F213" i="2"/>
  <c r="E213" i="2"/>
  <c r="D213" i="2"/>
  <c r="C213" i="2"/>
  <c r="B213" i="2"/>
  <c r="A213" i="2"/>
  <c r="O212" i="2"/>
  <c r="N212" i="2"/>
  <c r="P212" i="2" s="1"/>
  <c r="M212" i="2"/>
  <c r="L212" i="2"/>
  <c r="Q212" i="2" s="1"/>
  <c r="K212" i="2"/>
  <c r="J212" i="2"/>
  <c r="I212" i="2"/>
  <c r="H212" i="2"/>
  <c r="G212" i="2"/>
  <c r="F212" i="2"/>
  <c r="E212" i="2"/>
  <c r="D212" i="2"/>
  <c r="C212" i="2"/>
  <c r="B212" i="2"/>
  <c r="A212" i="2"/>
  <c r="N211" i="2"/>
  <c r="P211" i="2" s="1"/>
  <c r="M211" i="2"/>
  <c r="L211" i="2"/>
  <c r="Q211" i="2" s="1"/>
  <c r="K211" i="2"/>
  <c r="J211" i="2"/>
  <c r="I211" i="2"/>
  <c r="H211" i="2"/>
  <c r="G211" i="2"/>
  <c r="F211" i="2"/>
  <c r="E211" i="2"/>
  <c r="D211" i="2"/>
  <c r="C211" i="2"/>
  <c r="B211" i="2"/>
  <c r="O211" i="2" s="1"/>
  <c r="A211" i="2"/>
  <c r="N210" i="2"/>
  <c r="M210" i="2"/>
  <c r="L210" i="2"/>
  <c r="Q210" i="2" s="1"/>
  <c r="K210" i="2"/>
  <c r="J210" i="2"/>
  <c r="I210" i="2"/>
  <c r="H210" i="2"/>
  <c r="G210" i="2"/>
  <c r="F210" i="2"/>
  <c r="E210" i="2"/>
  <c r="D210" i="2"/>
  <c r="C210" i="2"/>
  <c r="B210" i="2"/>
  <c r="O210" i="2" s="1"/>
  <c r="A210" i="2"/>
  <c r="N209" i="2"/>
  <c r="M209" i="2"/>
  <c r="L209" i="2"/>
  <c r="Q209" i="2" s="1"/>
  <c r="K209" i="2"/>
  <c r="J209" i="2"/>
  <c r="I209" i="2"/>
  <c r="H209" i="2"/>
  <c r="G209" i="2"/>
  <c r="F209" i="2"/>
  <c r="E209" i="2"/>
  <c r="D209" i="2"/>
  <c r="C209" i="2"/>
  <c r="B209" i="2"/>
  <c r="O209" i="2" s="1"/>
  <c r="A209" i="2"/>
  <c r="O208" i="2"/>
  <c r="N208" i="2"/>
  <c r="P208" i="2" s="1"/>
  <c r="M208" i="2"/>
  <c r="L208" i="2"/>
  <c r="Q208" i="2" s="1"/>
  <c r="K208" i="2"/>
  <c r="J208" i="2"/>
  <c r="I208" i="2"/>
  <c r="H208" i="2"/>
  <c r="G208" i="2"/>
  <c r="F208" i="2"/>
  <c r="E208" i="2"/>
  <c r="D208" i="2"/>
  <c r="C208" i="2"/>
  <c r="B208" i="2"/>
  <c r="A208" i="2"/>
  <c r="N207" i="2"/>
  <c r="M207" i="2"/>
  <c r="L207" i="2"/>
  <c r="Q207" i="2" s="1"/>
  <c r="K207" i="2"/>
  <c r="J207" i="2"/>
  <c r="I207" i="2"/>
  <c r="H207" i="2"/>
  <c r="G207" i="2"/>
  <c r="F207" i="2"/>
  <c r="E207" i="2"/>
  <c r="D207" i="2"/>
  <c r="C207" i="2"/>
  <c r="B207" i="2"/>
  <c r="O207" i="2" s="1"/>
  <c r="A207" i="2"/>
  <c r="N206" i="2"/>
  <c r="M206" i="2"/>
  <c r="L206" i="2"/>
  <c r="Q206" i="2" s="1"/>
  <c r="K206" i="2"/>
  <c r="J206" i="2"/>
  <c r="I206" i="2"/>
  <c r="H206" i="2"/>
  <c r="G206" i="2"/>
  <c r="F206" i="2"/>
  <c r="E206" i="2"/>
  <c r="D206" i="2"/>
  <c r="C206" i="2"/>
  <c r="B206" i="2"/>
  <c r="O206" i="2" s="1"/>
  <c r="A206" i="2"/>
  <c r="N205" i="2"/>
  <c r="P205" i="2" s="1"/>
  <c r="M205" i="2"/>
  <c r="L205" i="2"/>
  <c r="Q205" i="2" s="1"/>
  <c r="K205" i="2"/>
  <c r="J205" i="2"/>
  <c r="I205" i="2"/>
  <c r="H205" i="2"/>
  <c r="G205" i="2"/>
  <c r="F205" i="2"/>
  <c r="E205" i="2"/>
  <c r="D205" i="2"/>
  <c r="C205" i="2"/>
  <c r="B205" i="2"/>
  <c r="O205" i="2" s="1"/>
  <c r="A205" i="2"/>
  <c r="N204" i="2"/>
  <c r="M204" i="2"/>
  <c r="L204" i="2"/>
  <c r="Q204" i="2" s="1"/>
  <c r="K204" i="2"/>
  <c r="J204" i="2"/>
  <c r="I204" i="2"/>
  <c r="H204" i="2"/>
  <c r="G204" i="2"/>
  <c r="F204" i="2"/>
  <c r="E204" i="2"/>
  <c r="D204" i="2"/>
  <c r="C204" i="2"/>
  <c r="B204" i="2"/>
  <c r="O204" i="2" s="1"/>
  <c r="A204" i="2"/>
  <c r="Q203" i="2"/>
  <c r="N203" i="2"/>
  <c r="P203" i="2" s="1"/>
  <c r="M203" i="2"/>
  <c r="L203" i="2"/>
  <c r="K203" i="2"/>
  <c r="J203" i="2"/>
  <c r="I203" i="2"/>
  <c r="H203" i="2"/>
  <c r="G203" i="2"/>
  <c r="F203" i="2"/>
  <c r="E203" i="2"/>
  <c r="D203" i="2"/>
  <c r="C203" i="2"/>
  <c r="B203" i="2"/>
  <c r="O203" i="2" s="1"/>
  <c r="A203" i="2"/>
  <c r="Q202" i="2"/>
  <c r="N202" i="2"/>
  <c r="P202" i="2" s="1"/>
  <c r="M202" i="2"/>
  <c r="L202" i="2"/>
  <c r="K202" i="2"/>
  <c r="J202" i="2"/>
  <c r="I202" i="2"/>
  <c r="H202" i="2"/>
  <c r="G202" i="2"/>
  <c r="F202" i="2"/>
  <c r="E202" i="2"/>
  <c r="D202" i="2"/>
  <c r="C202" i="2"/>
  <c r="B202" i="2"/>
  <c r="O202" i="2" s="1"/>
  <c r="A202" i="2"/>
  <c r="O201" i="2"/>
  <c r="N201" i="2"/>
  <c r="P201" i="2" s="1"/>
  <c r="M201" i="2"/>
  <c r="L201" i="2"/>
  <c r="Q201" i="2" s="1"/>
  <c r="K201" i="2"/>
  <c r="J201" i="2"/>
  <c r="I201" i="2"/>
  <c r="H201" i="2"/>
  <c r="G201" i="2"/>
  <c r="F201" i="2"/>
  <c r="E201" i="2"/>
  <c r="D201" i="2"/>
  <c r="C201" i="2"/>
  <c r="B201" i="2"/>
  <c r="A201" i="2"/>
  <c r="O200" i="2"/>
  <c r="N200" i="2"/>
  <c r="P200" i="2" s="1"/>
  <c r="M200" i="2"/>
  <c r="L200" i="2"/>
  <c r="Q200" i="2" s="1"/>
  <c r="K200" i="2"/>
  <c r="J200" i="2"/>
  <c r="I200" i="2"/>
  <c r="H200" i="2"/>
  <c r="G200" i="2"/>
  <c r="F200" i="2"/>
  <c r="E200" i="2"/>
  <c r="D200" i="2"/>
  <c r="C200" i="2"/>
  <c r="B200" i="2"/>
  <c r="A200" i="2"/>
  <c r="Q199" i="2"/>
  <c r="P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O199" i="2" s="1"/>
  <c r="A199" i="2"/>
  <c r="Q198" i="2"/>
  <c r="N198" i="2"/>
  <c r="P198" i="2" s="1"/>
  <c r="M198" i="2"/>
  <c r="L198" i="2"/>
  <c r="K198" i="2"/>
  <c r="J198" i="2"/>
  <c r="I198" i="2"/>
  <c r="H198" i="2"/>
  <c r="G198" i="2"/>
  <c r="F198" i="2"/>
  <c r="E198" i="2"/>
  <c r="D198" i="2"/>
  <c r="C198" i="2"/>
  <c r="B198" i="2"/>
  <c r="O198" i="2" s="1"/>
  <c r="A198" i="2"/>
  <c r="N197" i="2"/>
  <c r="M197" i="2"/>
  <c r="L197" i="2"/>
  <c r="Q197" i="2" s="1"/>
  <c r="K197" i="2"/>
  <c r="J197" i="2"/>
  <c r="I197" i="2"/>
  <c r="H197" i="2"/>
  <c r="G197" i="2"/>
  <c r="F197" i="2"/>
  <c r="E197" i="2"/>
  <c r="D197" i="2"/>
  <c r="C197" i="2"/>
  <c r="B197" i="2"/>
  <c r="O197" i="2" s="1"/>
  <c r="A197" i="2"/>
  <c r="N196" i="2"/>
  <c r="P196" i="2" s="1"/>
  <c r="M196" i="2"/>
  <c r="L196" i="2"/>
  <c r="Q196" i="2" s="1"/>
  <c r="K196" i="2"/>
  <c r="J196" i="2"/>
  <c r="I196" i="2"/>
  <c r="H196" i="2"/>
  <c r="G196" i="2"/>
  <c r="F196" i="2"/>
  <c r="E196" i="2"/>
  <c r="D196" i="2"/>
  <c r="C196" i="2"/>
  <c r="B196" i="2"/>
  <c r="O196" i="2" s="1"/>
  <c r="A196" i="2"/>
  <c r="N195" i="2"/>
  <c r="P195" i="2" s="1"/>
  <c r="M195" i="2"/>
  <c r="L195" i="2"/>
  <c r="Q195" i="2" s="1"/>
  <c r="K195" i="2"/>
  <c r="J195" i="2"/>
  <c r="I195" i="2"/>
  <c r="H195" i="2"/>
  <c r="G195" i="2"/>
  <c r="F195" i="2"/>
  <c r="E195" i="2"/>
  <c r="D195" i="2"/>
  <c r="C195" i="2"/>
  <c r="B195" i="2"/>
  <c r="O195" i="2" s="1"/>
  <c r="A195" i="2"/>
  <c r="N194" i="2"/>
  <c r="M194" i="2"/>
  <c r="L194" i="2"/>
  <c r="Q194" i="2" s="1"/>
  <c r="K194" i="2"/>
  <c r="J194" i="2"/>
  <c r="I194" i="2"/>
  <c r="H194" i="2"/>
  <c r="G194" i="2"/>
  <c r="F194" i="2"/>
  <c r="E194" i="2"/>
  <c r="D194" i="2"/>
  <c r="C194" i="2"/>
  <c r="B194" i="2"/>
  <c r="O194" i="2" s="1"/>
  <c r="A194" i="2"/>
  <c r="N193" i="2"/>
  <c r="M193" i="2"/>
  <c r="L193" i="2"/>
  <c r="Q193" i="2" s="1"/>
  <c r="K193" i="2"/>
  <c r="J193" i="2"/>
  <c r="I193" i="2"/>
  <c r="H193" i="2"/>
  <c r="G193" i="2"/>
  <c r="F193" i="2"/>
  <c r="E193" i="2"/>
  <c r="D193" i="2"/>
  <c r="C193" i="2"/>
  <c r="B193" i="2"/>
  <c r="O193" i="2" s="1"/>
  <c r="A193" i="2"/>
  <c r="N192" i="2"/>
  <c r="M192" i="2"/>
  <c r="L192" i="2"/>
  <c r="Q192" i="2" s="1"/>
  <c r="K192" i="2"/>
  <c r="J192" i="2"/>
  <c r="I192" i="2"/>
  <c r="H192" i="2"/>
  <c r="G192" i="2"/>
  <c r="F192" i="2"/>
  <c r="E192" i="2"/>
  <c r="D192" i="2"/>
  <c r="C192" i="2"/>
  <c r="B192" i="2"/>
  <c r="O192" i="2" s="1"/>
  <c r="A192" i="2"/>
  <c r="N191" i="2"/>
  <c r="P191" i="2" s="1"/>
  <c r="M191" i="2"/>
  <c r="L191" i="2"/>
  <c r="Q191" i="2" s="1"/>
  <c r="K191" i="2"/>
  <c r="J191" i="2"/>
  <c r="I191" i="2"/>
  <c r="H191" i="2"/>
  <c r="G191" i="2"/>
  <c r="F191" i="2"/>
  <c r="E191" i="2"/>
  <c r="D191" i="2"/>
  <c r="C191" i="2"/>
  <c r="B191" i="2"/>
  <c r="O191" i="2" s="1"/>
  <c r="A191" i="2"/>
  <c r="Q190" i="2"/>
  <c r="N190" i="2"/>
  <c r="P190" i="2" s="1"/>
  <c r="M190" i="2"/>
  <c r="L190" i="2"/>
  <c r="K190" i="2"/>
  <c r="J190" i="2"/>
  <c r="I190" i="2"/>
  <c r="H190" i="2"/>
  <c r="G190" i="2"/>
  <c r="F190" i="2"/>
  <c r="E190" i="2"/>
  <c r="D190" i="2"/>
  <c r="C190" i="2"/>
  <c r="B190" i="2"/>
  <c r="O190" i="2" s="1"/>
  <c r="A190" i="2"/>
  <c r="Q189" i="2"/>
  <c r="N189" i="2"/>
  <c r="P189" i="2" s="1"/>
  <c r="M189" i="2"/>
  <c r="L189" i="2"/>
  <c r="K189" i="2"/>
  <c r="J189" i="2"/>
  <c r="I189" i="2"/>
  <c r="H189" i="2"/>
  <c r="G189" i="2"/>
  <c r="F189" i="2"/>
  <c r="E189" i="2"/>
  <c r="D189" i="2"/>
  <c r="C189" i="2"/>
  <c r="B189" i="2"/>
  <c r="O189" i="2" s="1"/>
  <c r="A189" i="2"/>
  <c r="P188" i="2"/>
  <c r="N188" i="2"/>
  <c r="M188" i="2"/>
  <c r="L188" i="2"/>
  <c r="Q188" i="2" s="1"/>
  <c r="K188" i="2"/>
  <c r="J188" i="2"/>
  <c r="I188" i="2"/>
  <c r="H188" i="2"/>
  <c r="G188" i="2"/>
  <c r="F188" i="2"/>
  <c r="E188" i="2"/>
  <c r="D188" i="2"/>
  <c r="C188" i="2"/>
  <c r="B188" i="2"/>
  <c r="O188" i="2" s="1"/>
  <c r="A188" i="2"/>
  <c r="Q187" i="2"/>
  <c r="P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O187" i="2" s="1"/>
  <c r="A187" i="2"/>
  <c r="Q186" i="2"/>
  <c r="N186" i="2"/>
  <c r="P186" i="2" s="1"/>
  <c r="M186" i="2"/>
  <c r="L186" i="2"/>
  <c r="K186" i="2"/>
  <c r="J186" i="2"/>
  <c r="I186" i="2"/>
  <c r="H186" i="2"/>
  <c r="G186" i="2"/>
  <c r="F186" i="2"/>
  <c r="E186" i="2"/>
  <c r="D186" i="2"/>
  <c r="C186" i="2"/>
  <c r="B186" i="2"/>
  <c r="O186" i="2" s="1"/>
  <c r="A186" i="2"/>
  <c r="O185" i="2"/>
  <c r="N185" i="2"/>
  <c r="P185" i="2" s="1"/>
  <c r="M185" i="2"/>
  <c r="L185" i="2"/>
  <c r="Q185" i="2" s="1"/>
  <c r="K185" i="2"/>
  <c r="J185" i="2"/>
  <c r="I185" i="2"/>
  <c r="H185" i="2"/>
  <c r="G185" i="2"/>
  <c r="F185" i="2"/>
  <c r="E185" i="2"/>
  <c r="D185" i="2"/>
  <c r="C185" i="2"/>
  <c r="B185" i="2"/>
  <c r="A185" i="2"/>
  <c r="O184" i="2"/>
  <c r="N184" i="2"/>
  <c r="M184" i="2"/>
  <c r="L184" i="2"/>
  <c r="Q184" i="2" s="1"/>
  <c r="K184" i="2"/>
  <c r="J184" i="2"/>
  <c r="I184" i="2"/>
  <c r="H184" i="2"/>
  <c r="G184" i="2"/>
  <c r="F184" i="2"/>
  <c r="E184" i="2"/>
  <c r="D184" i="2"/>
  <c r="C184" i="2"/>
  <c r="B184" i="2"/>
  <c r="A184" i="2"/>
  <c r="Q183" i="2"/>
  <c r="P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O183" i="2" s="1"/>
  <c r="A183" i="2"/>
  <c r="Q182" i="2"/>
  <c r="N182" i="2"/>
  <c r="P182" i="2" s="1"/>
  <c r="M182" i="2"/>
  <c r="L182" i="2"/>
  <c r="K182" i="2"/>
  <c r="J182" i="2"/>
  <c r="I182" i="2"/>
  <c r="H182" i="2"/>
  <c r="G182" i="2"/>
  <c r="F182" i="2"/>
  <c r="E182" i="2"/>
  <c r="D182" i="2"/>
  <c r="C182" i="2"/>
  <c r="B182" i="2"/>
  <c r="O182" i="2" s="1"/>
  <c r="A182" i="2"/>
  <c r="N181" i="2"/>
  <c r="M181" i="2"/>
  <c r="L181" i="2"/>
  <c r="Q181" i="2" s="1"/>
  <c r="K181" i="2"/>
  <c r="J181" i="2"/>
  <c r="I181" i="2"/>
  <c r="H181" i="2"/>
  <c r="G181" i="2"/>
  <c r="F181" i="2"/>
  <c r="E181" i="2"/>
  <c r="D181" i="2"/>
  <c r="C181" i="2"/>
  <c r="B181" i="2"/>
  <c r="O181" i="2" s="1"/>
  <c r="A181" i="2"/>
  <c r="N180" i="2"/>
  <c r="P180" i="2" s="1"/>
  <c r="M180" i="2"/>
  <c r="L180" i="2"/>
  <c r="Q180" i="2" s="1"/>
  <c r="K180" i="2"/>
  <c r="J180" i="2"/>
  <c r="I180" i="2"/>
  <c r="H180" i="2"/>
  <c r="G180" i="2"/>
  <c r="F180" i="2"/>
  <c r="E180" i="2"/>
  <c r="D180" i="2"/>
  <c r="C180" i="2"/>
  <c r="B180" i="2"/>
  <c r="O180" i="2" s="1"/>
  <c r="A180" i="2"/>
  <c r="N179" i="2"/>
  <c r="P179" i="2" s="1"/>
  <c r="M179" i="2"/>
  <c r="L179" i="2"/>
  <c r="Q179" i="2" s="1"/>
  <c r="K179" i="2"/>
  <c r="J179" i="2"/>
  <c r="I179" i="2"/>
  <c r="H179" i="2"/>
  <c r="G179" i="2"/>
  <c r="F179" i="2"/>
  <c r="E179" i="2"/>
  <c r="D179" i="2"/>
  <c r="C179" i="2"/>
  <c r="B179" i="2"/>
  <c r="O179" i="2" s="1"/>
  <c r="A179" i="2"/>
  <c r="N178" i="2"/>
  <c r="M178" i="2"/>
  <c r="L178" i="2"/>
  <c r="Q178" i="2" s="1"/>
  <c r="K178" i="2"/>
  <c r="J178" i="2"/>
  <c r="I178" i="2"/>
  <c r="H178" i="2"/>
  <c r="G178" i="2"/>
  <c r="F178" i="2"/>
  <c r="E178" i="2"/>
  <c r="D178" i="2"/>
  <c r="C178" i="2"/>
  <c r="B178" i="2"/>
  <c r="O178" i="2" s="1"/>
  <c r="A178" i="2"/>
  <c r="N177" i="2"/>
  <c r="M177" i="2"/>
  <c r="L177" i="2"/>
  <c r="Q177" i="2" s="1"/>
  <c r="K177" i="2"/>
  <c r="J177" i="2"/>
  <c r="I177" i="2"/>
  <c r="H177" i="2"/>
  <c r="G177" i="2"/>
  <c r="F177" i="2"/>
  <c r="E177" i="2"/>
  <c r="D177" i="2"/>
  <c r="C177" i="2"/>
  <c r="B177" i="2"/>
  <c r="O177" i="2" s="1"/>
  <c r="A177" i="2"/>
  <c r="N176" i="2"/>
  <c r="P176" i="2" s="1"/>
  <c r="M176" i="2"/>
  <c r="L176" i="2"/>
  <c r="Q176" i="2" s="1"/>
  <c r="K176" i="2"/>
  <c r="J176" i="2"/>
  <c r="I176" i="2"/>
  <c r="H176" i="2"/>
  <c r="G176" i="2"/>
  <c r="F176" i="2"/>
  <c r="E176" i="2"/>
  <c r="D176" i="2"/>
  <c r="C176" i="2"/>
  <c r="B176" i="2"/>
  <c r="O176" i="2" s="1"/>
  <c r="A176" i="2"/>
  <c r="Q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O175" i="2" s="1"/>
  <c r="A175" i="2"/>
  <c r="Q174" i="2"/>
  <c r="N174" i="2"/>
  <c r="P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O174" i="2" s="1"/>
  <c r="A174" i="2"/>
  <c r="O173" i="2"/>
  <c r="N173" i="2"/>
  <c r="P173" i="2" s="1"/>
  <c r="M173" i="2"/>
  <c r="L173" i="2"/>
  <c r="Q173" i="2" s="1"/>
  <c r="K173" i="2"/>
  <c r="J173" i="2"/>
  <c r="I173" i="2"/>
  <c r="H173" i="2"/>
  <c r="G173" i="2"/>
  <c r="F173" i="2"/>
  <c r="E173" i="2"/>
  <c r="D173" i="2"/>
  <c r="C173" i="2"/>
  <c r="B173" i="2"/>
  <c r="A173" i="2"/>
  <c r="O172" i="2"/>
  <c r="N172" i="2"/>
  <c r="M172" i="2"/>
  <c r="L172" i="2"/>
  <c r="Q172" i="2" s="1"/>
  <c r="K172" i="2"/>
  <c r="J172" i="2"/>
  <c r="I172" i="2"/>
  <c r="H172" i="2"/>
  <c r="G172" i="2"/>
  <c r="F172" i="2"/>
  <c r="E172" i="2"/>
  <c r="D172" i="2"/>
  <c r="C172" i="2"/>
  <c r="B172" i="2"/>
  <c r="A172" i="2"/>
  <c r="Q171" i="2"/>
  <c r="P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O171" i="2" s="1"/>
  <c r="A171" i="2"/>
  <c r="Q170" i="2"/>
  <c r="N170" i="2"/>
  <c r="P170" i="2" s="1"/>
  <c r="M170" i="2"/>
  <c r="L170" i="2"/>
  <c r="K170" i="2"/>
  <c r="J170" i="2"/>
  <c r="I170" i="2"/>
  <c r="H170" i="2"/>
  <c r="G170" i="2"/>
  <c r="F170" i="2"/>
  <c r="E170" i="2"/>
  <c r="D170" i="2"/>
  <c r="C170" i="2"/>
  <c r="B170" i="2"/>
  <c r="O170" i="2" s="1"/>
  <c r="A170" i="2"/>
  <c r="N169" i="2"/>
  <c r="M169" i="2"/>
  <c r="L169" i="2"/>
  <c r="Q169" i="2" s="1"/>
  <c r="K169" i="2"/>
  <c r="J169" i="2"/>
  <c r="I169" i="2"/>
  <c r="H169" i="2"/>
  <c r="G169" i="2"/>
  <c r="F169" i="2"/>
  <c r="E169" i="2"/>
  <c r="D169" i="2"/>
  <c r="C169" i="2"/>
  <c r="B169" i="2"/>
  <c r="O169" i="2" s="1"/>
  <c r="A169" i="2"/>
  <c r="N168" i="2"/>
  <c r="P168" i="2" s="1"/>
  <c r="M168" i="2"/>
  <c r="L168" i="2"/>
  <c r="Q168" i="2" s="1"/>
  <c r="K168" i="2"/>
  <c r="J168" i="2"/>
  <c r="I168" i="2"/>
  <c r="H168" i="2"/>
  <c r="G168" i="2"/>
  <c r="F168" i="2"/>
  <c r="E168" i="2"/>
  <c r="D168" i="2"/>
  <c r="C168" i="2"/>
  <c r="B168" i="2"/>
  <c r="O168" i="2" s="1"/>
  <c r="A168" i="2"/>
  <c r="N167" i="2"/>
  <c r="P167" i="2" s="1"/>
  <c r="M167" i="2"/>
  <c r="L167" i="2"/>
  <c r="Q167" i="2" s="1"/>
  <c r="K167" i="2"/>
  <c r="J167" i="2"/>
  <c r="I167" i="2"/>
  <c r="H167" i="2"/>
  <c r="G167" i="2"/>
  <c r="F167" i="2"/>
  <c r="E167" i="2"/>
  <c r="D167" i="2"/>
  <c r="C167" i="2"/>
  <c r="B167" i="2"/>
  <c r="O167" i="2" s="1"/>
  <c r="A167" i="2"/>
  <c r="N166" i="2"/>
  <c r="M166" i="2"/>
  <c r="L166" i="2"/>
  <c r="Q166" i="2" s="1"/>
  <c r="K166" i="2"/>
  <c r="J166" i="2"/>
  <c r="I166" i="2"/>
  <c r="H166" i="2"/>
  <c r="G166" i="2"/>
  <c r="F166" i="2"/>
  <c r="E166" i="2"/>
  <c r="D166" i="2"/>
  <c r="C166" i="2"/>
  <c r="B166" i="2"/>
  <c r="O166" i="2" s="1"/>
  <c r="A166" i="2"/>
  <c r="N165" i="2"/>
  <c r="M165" i="2"/>
  <c r="L165" i="2"/>
  <c r="Q165" i="2" s="1"/>
  <c r="K165" i="2"/>
  <c r="J165" i="2"/>
  <c r="I165" i="2"/>
  <c r="H165" i="2"/>
  <c r="G165" i="2"/>
  <c r="F165" i="2"/>
  <c r="E165" i="2"/>
  <c r="D165" i="2"/>
  <c r="C165" i="2"/>
  <c r="B165" i="2"/>
  <c r="O165" i="2" s="1"/>
  <c r="A165" i="2"/>
  <c r="N164" i="2"/>
  <c r="P164" i="2" s="1"/>
  <c r="M164" i="2"/>
  <c r="L164" i="2"/>
  <c r="Q164" i="2" s="1"/>
  <c r="K164" i="2"/>
  <c r="J164" i="2"/>
  <c r="I164" i="2"/>
  <c r="H164" i="2"/>
  <c r="G164" i="2"/>
  <c r="F164" i="2"/>
  <c r="E164" i="2"/>
  <c r="D164" i="2"/>
  <c r="C164" i="2"/>
  <c r="B164" i="2"/>
  <c r="O164" i="2" s="1"/>
  <c r="A164" i="2"/>
  <c r="N163" i="2"/>
  <c r="P163" i="2" s="1"/>
  <c r="M163" i="2"/>
  <c r="L163" i="2"/>
  <c r="Q163" i="2" s="1"/>
  <c r="K163" i="2"/>
  <c r="J163" i="2"/>
  <c r="I163" i="2"/>
  <c r="H163" i="2"/>
  <c r="G163" i="2"/>
  <c r="F163" i="2"/>
  <c r="E163" i="2"/>
  <c r="D163" i="2"/>
  <c r="C163" i="2"/>
  <c r="B163" i="2"/>
  <c r="O163" i="2" s="1"/>
  <c r="A163" i="2"/>
  <c r="Q162" i="2"/>
  <c r="N162" i="2"/>
  <c r="P162" i="2" s="1"/>
  <c r="M162" i="2"/>
  <c r="L162" i="2"/>
  <c r="K162" i="2"/>
  <c r="J162" i="2"/>
  <c r="I162" i="2"/>
  <c r="H162" i="2"/>
  <c r="G162" i="2"/>
  <c r="F162" i="2"/>
  <c r="E162" i="2"/>
  <c r="D162" i="2"/>
  <c r="C162" i="2"/>
  <c r="B162" i="2"/>
  <c r="O162" i="2" s="1"/>
  <c r="A162" i="2"/>
  <c r="N161" i="2"/>
  <c r="M161" i="2"/>
  <c r="L161" i="2"/>
  <c r="Q161" i="2" s="1"/>
  <c r="K161" i="2"/>
  <c r="J161" i="2"/>
  <c r="I161" i="2"/>
  <c r="H161" i="2"/>
  <c r="G161" i="2"/>
  <c r="F161" i="2"/>
  <c r="E161" i="2"/>
  <c r="D161" i="2"/>
  <c r="C161" i="2"/>
  <c r="B161" i="2"/>
  <c r="O161" i="2" s="1"/>
  <c r="A161" i="2"/>
  <c r="O160" i="2"/>
  <c r="N160" i="2"/>
  <c r="M160" i="2"/>
  <c r="L160" i="2"/>
  <c r="Q160" i="2" s="1"/>
  <c r="K160" i="2"/>
  <c r="J160" i="2"/>
  <c r="I160" i="2"/>
  <c r="H160" i="2"/>
  <c r="G160" i="2"/>
  <c r="F160" i="2"/>
  <c r="E160" i="2"/>
  <c r="D160" i="2"/>
  <c r="C160" i="2"/>
  <c r="B160" i="2"/>
  <c r="A160" i="2"/>
  <c r="Q159" i="2"/>
  <c r="P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O159" i="2" s="1"/>
  <c r="A159" i="2"/>
  <c r="Q158" i="2"/>
  <c r="N158" i="2"/>
  <c r="P158" i="2" s="1"/>
  <c r="M158" i="2"/>
  <c r="L158" i="2"/>
  <c r="K158" i="2"/>
  <c r="J158" i="2"/>
  <c r="I158" i="2"/>
  <c r="H158" i="2"/>
  <c r="G158" i="2"/>
  <c r="F158" i="2"/>
  <c r="E158" i="2"/>
  <c r="D158" i="2"/>
  <c r="C158" i="2"/>
  <c r="B158" i="2"/>
  <c r="O158" i="2" s="1"/>
  <c r="A158" i="2"/>
  <c r="O157" i="2"/>
  <c r="N157" i="2"/>
  <c r="P157" i="2" s="1"/>
  <c r="M157" i="2"/>
  <c r="L157" i="2"/>
  <c r="Q157" i="2" s="1"/>
  <c r="K157" i="2"/>
  <c r="J157" i="2"/>
  <c r="I157" i="2"/>
  <c r="H157" i="2"/>
  <c r="G157" i="2"/>
  <c r="F157" i="2"/>
  <c r="E157" i="2"/>
  <c r="D157" i="2"/>
  <c r="C157" i="2"/>
  <c r="B157" i="2"/>
  <c r="A157" i="2"/>
  <c r="N156" i="2"/>
  <c r="M156" i="2"/>
  <c r="L156" i="2"/>
  <c r="Q156" i="2" s="1"/>
  <c r="K156" i="2"/>
  <c r="J156" i="2"/>
  <c r="I156" i="2"/>
  <c r="H156" i="2"/>
  <c r="G156" i="2"/>
  <c r="F156" i="2"/>
  <c r="E156" i="2"/>
  <c r="D156" i="2"/>
  <c r="C156" i="2"/>
  <c r="B156" i="2"/>
  <c r="O156" i="2" s="1"/>
  <c r="A156" i="2"/>
  <c r="N155" i="2"/>
  <c r="M155" i="2"/>
  <c r="L155" i="2"/>
  <c r="Q155" i="2" s="1"/>
  <c r="K155" i="2"/>
  <c r="J155" i="2"/>
  <c r="I155" i="2"/>
  <c r="H155" i="2"/>
  <c r="G155" i="2"/>
  <c r="F155" i="2"/>
  <c r="E155" i="2"/>
  <c r="D155" i="2"/>
  <c r="C155" i="2"/>
  <c r="B155" i="2"/>
  <c r="O155" i="2" s="1"/>
  <c r="A155" i="2"/>
  <c r="Q154" i="2"/>
  <c r="N154" i="2"/>
  <c r="P154" i="2" s="1"/>
  <c r="M154" i="2"/>
  <c r="L154" i="2"/>
  <c r="K154" i="2"/>
  <c r="J154" i="2"/>
  <c r="I154" i="2"/>
  <c r="H154" i="2"/>
  <c r="G154" i="2"/>
  <c r="F154" i="2"/>
  <c r="E154" i="2"/>
  <c r="D154" i="2"/>
  <c r="C154" i="2"/>
  <c r="B154" i="2"/>
  <c r="O154" i="2" s="1"/>
  <c r="A154" i="2"/>
  <c r="N153" i="2"/>
  <c r="P153" i="2" s="1"/>
  <c r="M153" i="2"/>
  <c r="L153" i="2"/>
  <c r="Q153" i="2" s="1"/>
  <c r="K153" i="2"/>
  <c r="J153" i="2"/>
  <c r="I153" i="2"/>
  <c r="H153" i="2"/>
  <c r="G153" i="2"/>
  <c r="F153" i="2"/>
  <c r="E153" i="2"/>
  <c r="D153" i="2"/>
  <c r="C153" i="2"/>
  <c r="B153" i="2"/>
  <c r="O153" i="2" s="1"/>
  <c r="A153" i="2"/>
  <c r="P152" i="2"/>
  <c r="O152" i="2"/>
  <c r="N152" i="2"/>
  <c r="M152" i="2"/>
  <c r="L152" i="2"/>
  <c r="Q152" i="2" s="1"/>
  <c r="K152" i="2"/>
  <c r="J152" i="2"/>
  <c r="I152" i="2"/>
  <c r="H152" i="2"/>
  <c r="G152" i="2"/>
  <c r="F152" i="2"/>
  <c r="E152" i="2"/>
  <c r="D152" i="2"/>
  <c r="C152" i="2"/>
  <c r="B152" i="2"/>
  <c r="A152" i="2"/>
  <c r="Q151" i="2"/>
  <c r="P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O151" i="2" s="1"/>
  <c r="A151" i="2"/>
  <c r="Q150" i="2"/>
  <c r="N150" i="2"/>
  <c r="P150" i="2" s="1"/>
  <c r="M150" i="2"/>
  <c r="L150" i="2"/>
  <c r="K150" i="2"/>
  <c r="J150" i="2"/>
  <c r="I150" i="2"/>
  <c r="H150" i="2"/>
  <c r="G150" i="2"/>
  <c r="F150" i="2"/>
  <c r="E150" i="2"/>
  <c r="D150" i="2"/>
  <c r="C150" i="2"/>
  <c r="B150" i="2"/>
  <c r="O150" i="2" s="1"/>
  <c r="A150" i="2"/>
  <c r="O149" i="2"/>
  <c r="N149" i="2"/>
  <c r="P149" i="2" s="1"/>
  <c r="M149" i="2"/>
  <c r="L149" i="2"/>
  <c r="Q149" i="2" s="1"/>
  <c r="K149" i="2"/>
  <c r="J149" i="2"/>
  <c r="I149" i="2"/>
  <c r="H149" i="2"/>
  <c r="G149" i="2"/>
  <c r="F149" i="2"/>
  <c r="E149" i="2"/>
  <c r="D149" i="2"/>
  <c r="C149" i="2"/>
  <c r="B149" i="2"/>
  <c r="A149" i="2"/>
  <c r="O148" i="2"/>
  <c r="N148" i="2"/>
  <c r="P148" i="2" s="1"/>
  <c r="M148" i="2"/>
  <c r="L148" i="2"/>
  <c r="Q148" i="2" s="1"/>
  <c r="K148" i="2"/>
  <c r="J148" i="2"/>
  <c r="I148" i="2"/>
  <c r="H148" i="2"/>
  <c r="G148" i="2"/>
  <c r="F148" i="2"/>
  <c r="E148" i="2"/>
  <c r="D148" i="2"/>
  <c r="C148" i="2"/>
  <c r="B148" i="2"/>
  <c r="A148" i="2"/>
  <c r="N147" i="2"/>
  <c r="M147" i="2"/>
  <c r="L147" i="2"/>
  <c r="P147" i="2" s="1"/>
  <c r="K147" i="2"/>
  <c r="J147" i="2"/>
  <c r="I147" i="2"/>
  <c r="H147" i="2"/>
  <c r="G147" i="2"/>
  <c r="F147" i="2"/>
  <c r="E147" i="2"/>
  <c r="D147" i="2"/>
  <c r="C147" i="2"/>
  <c r="B147" i="2"/>
  <c r="O147" i="2" s="1"/>
  <c r="A147" i="2"/>
  <c r="N146" i="2"/>
  <c r="M146" i="2"/>
  <c r="L146" i="2"/>
  <c r="Q146" i="2" s="1"/>
  <c r="K146" i="2"/>
  <c r="J146" i="2"/>
  <c r="I146" i="2"/>
  <c r="H146" i="2"/>
  <c r="G146" i="2"/>
  <c r="F146" i="2"/>
  <c r="E146" i="2"/>
  <c r="D146" i="2"/>
  <c r="C146" i="2"/>
  <c r="B146" i="2"/>
  <c r="O146" i="2" s="1"/>
  <c r="A146" i="2"/>
  <c r="N145" i="2"/>
  <c r="M145" i="2"/>
  <c r="L145" i="2"/>
  <c r="Q145" i="2" s="1"/>
  <c r="K145" i="2"/>
  <c r="J145" i="2"/>
  <c r="I145" i="2"/>
  <c r="H145" i="2"/>
  <c r="G145" i="2"/>
  <c r="F145" i="2"/>
  <c r="E145" i="2"/>
  <c r="D145" i="2"/>
  <c r="C145" i="2"/>
  <c r="B145" i="2"/>
  <c r="O145" i="2" s="1"/>
  <c r="A145" i="2"/>
  <c r="N144" i="2"/>
  <c r="M144" i="2"/>
  <c r="L144" i="2"/>
  <c r="Q144" i="2" s="1"/>
  <c r="K144" i="2"/>
  <c r="J144" i="2"/>
  <c r="I144" i="2"/>
  <c r="H144" i="2"/>
  <c r="G144" i="2"/>
  <c r="F144" i="2"/>
  <c r="E144" i="2"/>
  <c r="D144" i="2"/>
  <c r="C144" i="2"/>
  <c r="B144" i="2"/>
  <c r="O144" i="2" s="1"/>
  <c r="A144" i="2"/>
  <c r="N143" i="2"/>
  <c r="M143" i="2"/>
  <c r="L143" i="2"/>
  <c r="Q143" i="2" s="1"/>
  <c r="K143" i="2"/>
  <c r="J143" i="2"/>
  <c r="I143" i="2"/>
  <c r="H143" i="2"/>
  <c r="G143" i="2"/>
  <c r="F143" i="2"/>
  <c r="E143" i="2"/>
  <c r="D143" i="2"/>
  <c r="C143" i="2"/>
  <c r="B143" i="2"/>
  <c r="O143" i="2" s="1"/>
  <c r="A143" i="2"/>
  <c r="N142" i="2"/>
  <c r="M142" i="2"/>
  <c r="L142" i="2"/>
  <c r="Q142" i="2" s="1"/>
  <c r="K142" i="2"/>
  <c r="J142" i="2"/>
  <c r="I142" i="2"/>
  <c r="H142" i="2"/>
  <c r="G142" i="2"/>
  <c r="F142" i="2"/>
  <c r="E142" i="2"/>
  <c r="D142" i="2"/>
  <c r="C142" i="2"/>
  <c r="B142" i="2"/>
  <c r="O142" i="2" s="1"/>
  <c r="A142" i="2"/>
  <c r="O141" i="2"/>
  <c r="N141" i="2"/>
  <c r="P141" i="2" s="1"/>
  <c r="M141" i="2"/>
  <c r="L141" i="2"/>
  <c r="Q141" i="2" s="1"/>
  <c r="K141" i="2"/>
  <c r="J141" i="2"/>
  <c r="I141" i="2"/>
  <c r="H141" i="2"/>
  <c r="G141" i="2"/>
  <c r="F141" i="2"/>
  <c r="E141" i="2"/>
  <c r="D141" i="2"/>
  <c r="C141" i="2"/>
  <c r="B141" i="2"/>
  <c r="A141" i="2"/>
  <c r="O140" i="2"/>
  <c r="N140" i="2"/>
  <c r="M140" i="2"/>
  <c r="L140" i="2"/>
  <c r="Q140" i="2" s="1"/>
  <c r="K140" i="2"/>
  <c r="J140" i="2"/>
  <c r="I140" i="2"/>
  <c r="H140" i="2"/>
  <c r="G140" i="2"/>
  <c r="F140" i="2"/>
  <c r="E140" i="2"/>
  <c r="D140" i="2"/>
  <c r="C140" i="2"/>
  <c r="B140" i="2"/>
  <c r="A140" i="2"/>
  <c r="Q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Q138" i="2"/>
  <c r="P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O138" i="2" s="1"/>
  <c r="A138" i="2"/>
  <c r="Q137" i="2"/>
  <c r="N137" i="2"/>
  <c r="P137" i="2" s="1"/>
  <c r="M137" i="2"/>
  <c r="L137" i="2"/>
  <c r="K137" i="2"/>
  <c r="J137" i="2"/>
  <c r="I137" i="2"/>
  <c r="H137" i="2"/>
  <c r="G137" i="2"/>
  <c r="F137" i="2"/>
  <c r="E137" i="2"/>
  <c r="D137" i="2"/>
  <c r="C137" i="2"/>
  <c r="B137" i="2"/>
  <c r="O137" i="2" s="1"/>
  <c r="A137" i="2"/>
  <c r="O136" i="2"/>
  <c r="N136" i="2"/>
  <c r="M136" i="2"/>
  <c r="L136" i="2"/>
  <c r="Q136" i="2" s="1"/>
  <c r="K136" i="2"/>
  <c r="J136" i="2"/>
  <c r="I136" i="2"/>
  <c r="H136" i="2"/>
  <c r="G136" i="2"/>
  <c r="F136" i="2"/>
  <c r="E136" i="2"/>
  <c r="D136" i="2"/>
  <c r="C136" i="2"/>
  <c r="B136" i="2"/>
  <c r="A136" i="2"/>
  <c r="O135" i="2"/>
  <c r="N135" i="2"/>
  <c r="P135" i="2" s="1"/>
  <c r="M135" i="2"/>
  <c r="L135" i="2"/>
  <c r="Q135" i="2" s="1"/>
  <c r="K135" i="2"/>
  <c r="J135" i="2"/>
  <c r="I135" i="2"/>
  <c r="H135" i="2"/>
  <c r="G135" i="2"/>
  <c r="F135" i="2"/>
  <c r="E135" i="2"/>
  <c r="D135" i="2"/>
  <c r="C135" i="2"/>
  <c r="B135" i="2"/>
  <c r="A135" i="2"/>
  <c r="N134" i="2"/>
  <c r="P134" i="2" s="1"/>
  <c r="M134" i="2"/>
  <c r="L134" i="2"/>
  <c r="Q134" i="2" s="1"/>
  <c r="K134" i="2"/>
  <c r="J134" i="2"/>
  <c r="I134" i="2"/>
  <c r="H134" i="2"/>
  <c r="G134" i="2"/>
  <c r="F134" i="2"/>
  <c r="E134" i="2"/>
  <c r="D134" i="2"/>
  <c r="C134" i="2"/>
  <c r="B134" i="2"/>
  <c r="O134" i="2" s="1"/>
  <c r="A134" i="2"/>
  <c r="N133" i="2"/>
  <c r="M133" i="2"/>
  <c r="L133" i="2"/>
  <c r="Q133" i="2" s="1"/>
  <c r="K133" i="2"/>
  <c r="J133" i="2"/>
  <c r="I133" i="2"/>
  <c r="H133" i="2"/>
  <c r="G133" i="2"/>
  <c r="F133" i="2"/>
  <c r="E133" i="2"/>
  <c r="D133" i="2"/>
  <c r="C133" i="2"/>
  <c r="B133" i="2"/>
  <c r="O133" i="2" s="1"/>
  <c r="A133" i="2"/>
  <c r="N132" i="2"/>
  <c r="M132" i="2"/>
  <c r="L132" i="2"/>
  <c r="Q132" i="2" s="1"/>
  <c r="K132" i="2"/>
  <c r="J132" i="2"/>
  <c r="I132" i="2"/>
  <c r="H132" i="2"/>
  <c r="G132" i="2"/>
  <c r="F132" i="2"/>
  <c r="E132" i="2"/>
  <c r="D132" i="2"/>
  <c r="C132" i="2"/>
  <c r="B132" i="2"/>
  <c r="O132" i="2" s="1"/>
  <c r="A132" i="2"/>
  <c r="N131" i="2"/>
  <c r="M131" i="2"/>
  <c r="L131" i="2"/>
  <c r="Q131" i="2" s="1"/>
  <c r="K131" i="2"/>
  <c r="J131" i="2"/>
  <c r="I131" i="2"/>
  <c r="H131" i="2"/>
  <c r="G131" i="2"/>
  <c r="F131" i="2"/>
  <c r="E131" i="2"/>
  <c r="D131" i="2"/>
  <c r="C131" i="2"/>
  <c r="B131" i="2"/>
  <c r="O131" i="2" s="1"/>
  <c r="A131" i="2"/>
  <c r="Q130" i="2"/>
  <c r="N130" i="2"/>
  <c r="M130" i="2"/>
  <c r="L130" i="2"/>
  <c r="P130" i="2" s="1"/>
  <c r="K130" i="2"/>
  <c r="J130" i="2"/>
  <c r="I130" i="2"/>
  <c r="H130" i="2"/>
  <c r="G130" i="2"/>
  <c r="F130" i="2"/>
  <c r="E130" i="2"/>
  <c r="D130" i="2"/>
  <c r="C130" i="2"/>
  <c r="B130" i="2"/>
  <c r="O130" i="2" s="1"/>
  <c r="A130" i="2"/>
  <c r="Q129" i="2"/>
  <c r="N129" i="2"/>
  <c r="P129" i="2" s="1"/>
  <c r="M129" i="2"/>
  <c r="L129" i="2"/>
  <c r="K129" i="2"/>
  <c r="J129" i="2"/>
  <c r="I129" i="2"/>
  <c r="H129" i="2"/>
  <c r="G129" i="2"/>
  <c r="F129" i="2"/>
  <c r="E129" i="2"/>
  <c r="D129" i="2"/>
  <c r="C129" i="2"/>
  <c r="B129" i="2"/>
  <c r="O129" i="2" s="1"/>
  <c r="A129" i="2"/>
  <c r="O128" i="2"/>
  <c r="N128" i="2"/>
  <c r="P128" i="2" s="1"/>
  <c r="M128" i="2"/>
  <c r="L128" i="2"/>
  <c r="Q128" i="2" s="1"/>
  <c r="K128" i="2"/>
  <c r="J128" i="2"/>
  <c r="I128" i="2"/>
  <c r="H128" i="2"/>
  <c r="G128" i="2"/>
  <c r="F128" i="2"/>
  <c r="E128" i="2"/>
  <c r="D128" i="2"/>
  <c r="C128" i="2"/>
  <c r="B128" i="2"/>
  <c r="A128" i="2"/>
  <c r="O127" i="2"/>
  <c r="N127" i="2"/>
  <c r="P127" i="2" s="1"/>
  <c r="M127" i="2"/>
  <c r="L127" i="2"/>
  <c r="Q127" i="2" s="1"/>
  <c r="K127" i="2"/>
  <c r="J127" i="2"/>
  <c r="I127" i="2"/>
  <c r="H127" i="2"/>
  <c r="G127" i="2"/>
  <c r="F127" i="2"/>
  <c r="E127" i="2"/>
  <c r="D127" i="2"/>
  <c r="C127" i="2"/>
  <c r="B127" i="2"/>
  <c r="A127" i="2"/>
  <c r="Q126" i="2"/>
  <c r="P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O126" i="2" s="1"/>
  <c r="A126" i="2"/>
  <c r="Q125" i="2"/>
  <c r="N125" i="2"/>
  <c r="P125" i="2" s="1"/>
  <c r="M125" i="2"/>
  <c r="L125" i="2"/>
  <c r="K125" i="2"/>
  <c r="J125" i="2"/>
  <c r="I125" i="2"/>
  <c r="H125" i="2"/>
  <c r="G125" i="2"/>
  <c r="F125" i="2"/>
  <c r="E125" i="2"/>
  <c r="D125" i="2"/>
  <c r="C125" i="2"/>
  <c r="B125" i="2"/>
  <c r="O125" i="2" s="1"/>
  <c r="A125" i="2"/>
  <c r="O124" i="2"/>
  <c r="N124" i="2"/>
  <c r="M124" i="2"/>
  <c r="L124" i="2"/>
  <c r="Q124" i="2" s="1"/>
  <c r="K124" i="2"/>
  <c r="J124" i="2"/>
  <c r="I124" i="2"/>
  <c r="H124" i="2"/>
  <c r="G124" i="2"/>
  <c r="F124" i="2"/>
  <c r="E124" i="2"/>
  <c r="D124" i="2"/>
  <c r="C124" i="2"/>
  <c r="B124" i="2"/>
  <c r="A124" i="2"/>
  <c r="O123" i="2"/>
  <c r="N123" i="2"/>
  <c r="M123" i="2"/>
  <c r="L123" i="2"/>
  <c r="Q123" i="2" s="1"/>
  <c r="K123" i="2"/>
  <c r="J123" i="2"/>
  <c r="I123" i="2"/>
  <c r="H123" i="2"/>
  <c r="G123" i="2"/>
  <c r="F123" i="2"/>
  <c r="E123" i="2"/>
  <c r="D123" i="2"/>
  <c r="C123" i="2"/>
  <c r="B123" i="2"/>
  <c r="A123" i="2"/>
  <c r="N122" i="2"/>
  <c r="M122" i="2"/>
  <c r="L122" i="2"/>
  <c r="P122" i="2" s="1"/>
  <c r="K122" i="2"/>
  <c r="J122" i="2"/>
  <c r="I122" i="2"/>
  <c r="H122" i="2"/>
  <c r="G122" i="2"/>
  <c r="F122" i="2"/>
  <c r="E122" i="2"/>
  <c r="D122" i="2"/>
  <c r="C122" i="2"/>
  <c r="B122" i="2"/>
  <c r="O122" i="2" s="1"/>
  <c r="A122" i="2"/>
  <c r="N121" i="2"/>
  <c r="M121" i="2"/>
  <c r="L121" i="2"/>
  <c r="Q121" i="2" s="1"/>
  <c r="K121" i="2"/>
  <c r="J121" i="2"/>
  <c r="I121" i="2"/>
  <c r="H121" i="2"/>
  <c r="G121" i="2"/>
  <c r="F121" i="2"/>
  <c r="E121" i="2"/>
  <c r="D121" i="2"/>
  <c r="C121" i="2"/>
  <c r="B121" i="2"/>
  <c r="O121" i="2" s="1"/>
  <c r="A121" i="2"/>
  <c r="N120" i="2"/>
  <c r="M120" i="2"/>
  <c r="L120" i="2"/>
  <c r="Q120" i="2" s="1"/>
  <c r="K120" i="2"/>
  <c r="J120" i="2"/>
  <c r="I120" i="2"/>
  <c r="H120" i="2"/>
  <c r="G120" i="2"/>
  <c r="F120" i="2"/>
  <c r="E120" i="2"/>
  <c r="D120" i="2"/>
  <c r="C120" i="2"/>
  <c r="B120" i="2"/>
  <c r="O120" i="2" s="1"/>
  <c r="A120" i="2"/>
  <c r="P119" i="2"/>
  <c r="N119" i="2"/>
  <c r="M119" i="2"/>
  <c r="L119" i="2"/>
  <c r="Q119" i="2" s="1"/>
  <c r="K119" i="2"/>
  <c r="J119" i="2"/>
  <c r="I119" i="2"/>
  <c r="H119" i="2"/>
  <c r="G119" i="2"/>
  <c r="F119" i="2"/>
  <c r="E119" i="2"/>
  <c r="D119" i="2"/>
  <c r="C119" i="2"/>
  <c r="B119" i="2"/>
  <c r="O119" i="2" s="1"/>
  <c r="A119" i="2"/>
  <c r="Q118" i="2"/>
  <c r="N118" i="2"/>
  <c r="P118" i="2" s="1"/>
  <c r="M118" i="2"/>
  <c r="L118" i="2"/>
  <c r="K118" i="2"/>
  <c r="J118" i="2"/>
  <c r="I118" i="2"/>
  <c r="H118" i="2"/>
  <c r="G118" i="2"/>
  <c r="F118" i="2"/>
  <c r="E118" i="2"/>
  <c r="D118" i="2"/>
  <c r="C118" i="2"/>
  <c r="B118" i="2"/>
  <c r="O118" i="2" s="1"/>
  <c r="A118" i="2"/>
  <c r="Q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O117" i="2" s="1"/>
  <c r="A117" i="2"/>
  <c r="O116" i="2"/>
  <c r="N116" i="2"/>
  <c r="P116" i="2" s="1"/>
  <c r="M116" i="2"/>
  <c r="L116" i="2"/>
  <c r="Q116" i="2" s="1"/>
  <c r="K116" i="2"/>
  <c r="J116" i="2"/>
  <c r="I116" i="2"/>
  <c r="H116" i="2"/>
  <c r="G116" i="2"/>
  <c r="F116" i="2"/>
  <c r="E116" i="2"/>
  <c r="D116" i="2"/>
  <c r="C116" i="2"/>
  <c r="B116" i="2"/>
  <c r="A116" i="2"/>
  <c r="O115" i="2"/>
  <c r="N115" i="2"/>
  <c r="M115" i="2"/>
  <c r="L115" i="2"/>
  <c r="Q115" i="2" s="1"/>
  <c r="K115" i="2"/>
  <c r="J115" i="2"/>
  <c r="I115" i="2"/>
  <c r="H115" i="2"/>
  <c r="G115" i="2"/>
  <c r="F115" i="2"/>
  <c r="E115" i="2"/>
  <c r="D115" i="2"/>
  <c r="C115" i="2"/>
  <c r="B115" i="2"/>
  <c r="A115" i="2"/>
  <c r="N114" i="2"/>
  <c r="M114" i="2"/>
  <c r="L114" i="2"/>
  <c r="P114" i="2" s="1"/>
  <c r="K114" i="2"/>
  <c r="J114" i="2"/>
  <c r="I114" i="2"/>
  <c r="H114" i="2"/>
  <c r="G114" i="2"/>
  <c r="F114" i="2"/>
  <c r="E114" i="2"/>
  <c r="D114" i="2"/>
  <c r="C114" i="2"/>
  <c r="B114" i="2"/>
  <c r="O114" i="2" s="1"/>
  <c r="A114" i="2"/>
  <c r="N113" i="2"/>
  <c r="M113" i="2"/>
  <c r="L113" i="2"/>
  <c r="Q113" i="2" s="1"/>
  <c r="K113" i="2"/>
  <c r="J113" i="2"/>
  <c r="I113" i="2"/>
  <c r="H113" i="2"/>
  <c r="G113" i="2"/>
  <c r="F113" i="2"/>
  <c r="E113" i="2"/>
  <c r="D113" i="2"/>
  <c r="C113" i="2"/>
  <c r="B113" i="2"/>
  <c r="O113" i="2" s="1"/>
  <c r="A113" i="2"/>
  <c r="N112" i="2"/>
  <c r="M112" i="2"/>
  <c r="L112" i="2"/>
  <c r="Q112" i="2" s="1"/>
  <c r="K112" i="2"/>
  <c r="J112" i="2"/>
  <c r="I112" i="2"/>
  <c r="H112" i="2"/>
  <c r="G112" i="2"/>
  <c r="F112" i="2"/>
  <c r="E112" i="2"/>
  <c r="D112" i="2"/>
  <c r="C112" i="2"/>
  <c r="B112" i="2"/>
  <c r="O112" i="2" s="1"/>
  <c r="A112" i="2"/>
  <c r="N111" i="2"/>
  <c r="P111" i="2" s="1"/>
  <c r="M111" i="2"/>
  <c r="L111" i="2"/>
  <c r="Q111" i="2" s="1"/>
  <c r="K111" i="2"/>
  <c r="J111" i="2"/>
  <c r="I111" i="2"/>
  <c r="H111" i="2"/>
  <c r="G111" i="2"/>
  <c r="F111" i="2"/>
  <c r="E111" i="2"/>
  <c r="D111" i="2"/>
  <c r="C111" i="2"/>
  <c r="B111" i="2"/>
  <c r="O111" i="2" s="1"/>
  <c r="A111" i="2"/>
  <c r="N110" i="2"/>
  <c r="P110" i="2" s="1"/>
  <c r="M110" i="2"/>
  <c r="L110" i="2"/>
  <c r="Q110" i="2" s="1"/>
  <c r="K110" i="2"/>
  <c r="J110" i="2"/>
  <c r="I110" i="2"/>
  <c r="H110" i="2"/>
  <c r="G110" i="2"/>
  <c r="F110" i="2"/>
  <c r="E110" i="2"/>
  <c r="D110" i="2"/>
  <c r="C110" i="2"/>
  <c r="B110" i="2"/>
  <c r="O110" i="2" s="1"/>
  <c r="A110" i="2"/>
  <c r="N109" i="2"/>
  <c r="M109" i="2"/>
  <c r="L109" i="2"/>
  <c r="Q109" i="2" s="1"/>
  <c r="K109" i="2"/>
  <c r="J109" i="2"/>
  <c r="I109" i="2"/>
  <c r="H109" i="2"/>
  <c r="G109" i="2"/>
  <c r="F109" i="2"/>
  <c r="E109" i="2"/>
  <c r="D109" i="2"/>
  <c r="C109" i="2"/>
  <c r="B109" i="2"/>
  <c r="O109" i="2" s="1"/>
  <c r="A109" i="2"/>
  <c r="N108" i="2"/>
  <c r="P108" i="2" s="1"/>
  <c r="M108" i="2"/>
  <c r="L108" i="2"/>
  <c r="Q108" i="2" s="1"/>
  <c r="K108" i="2"/>
  <c r="J108" i="2"/>
  <c r="I108" i="2"/>
  <c r="H108" i="2"/>
  <c r="G108" i="2"/>
  <c r="F108" i="2"/>
  <c r="E108" i="2"/>
  <c r="D108" i="2"/>
  <c r="C108" i="2"/>
  <c r="B108" i="2"/>
  <c r="O108" i="2" s="1"/>
  <c r="A108" i="2"/>
  <c r="O107" i="2"/>
  <c r="N107" i="2"/>
  <c r="M107" i="2"/>
  <c r="L107" i="2"/>
  <c r="Q107" i="2" s="1"/>
  <c r="K107" i="2"/>
  <c r="J107" i="2"/>
  <c r="I107" i="2"/>
  <c r="H107" i="2"/>
  <c r="G107" i="2"/>
  <c r="F107" i="2"/>
  <c r="E107" i="2"/>
  <c r="D107" i="2"/>
  <c r="C107" i="2"/>
  <c r="B107" i="2"/>
  <c r="A107" i="2"/>
  <c r="Q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O106" i="2" s="1"/>
  <c r="A106" i="2"/>
  <c r="Q105" i="2"/>
  <c r="N105" i="2"/>
  <c r="P105" i="2" s="1"/>
  <c r="M105" i="2"/>
  <c r="L105" i="2"/>
  <c r="K105" i="2"/>
  <c r="J105" i="2"/>
  <c r="I105" i="2"/>
  <c r="H105" i="2"/>
  <c r="G105" i="2"/>
  <c r="F105" i="2"/>
  <c r="E105" i="2"/>
  <c r="D105" i="2"/>
  <c r="C105" i="2"/>
  <c r="B105" i="2"/>
  <c r="O105" i="2" s="1"/>
  <c r="A105" i="2"/>
  <c r="O104" i="2"/>
  <c r="N104" i="2"/>
  <c r="M104" i="2"/>
  <c r="L104" i="2"/>
  <c r="Q104" i="2" s="1"/>
  <c r="K104" i="2"/>
  <c r="J104" i="2"/>
  <c r="I104" i="2"/>
  <c r="H104" i="2"/>
  <c r="G104" i="2"/>
  <c r="F104" i="2"/>
  <c r="E104" i="2"/>
  <c r="D104" i="2"/>
  <c r="C104" i="2"/>
  <c r="B104" i="2"/>
  <c r="A104" i="2"/>
  <c r="O103" i="2"/>
  <c r="N103" i="2"/>
  <c r="P103" i="2" s="1"/>
  <c r="M103" i="2"/>
  <c r="L103" i="2"/>
  <c r="Q103" i="2" s="1"/>
  <c r="K103" i="2"/>
  <c r="J103" i="2"/>
  <c r="I103" i="2"/>
  <c r="H103" i="2"/>
  <c r="G103" i="2"/>
  <c r="F103" i="2"/>
  <c r="E103" i="2"/>
  <c r="D103" i="2"/>
  <c r="C103" i="2"/>
  <c r="B103" i="2"/>
  <c r="A103" i="2"/>
  <c r="N102" i="2"/>
  <c r="M102" i="2"/>
  <c r="L102" i="2"/>
  <c r="Q102" i="2" s="1"/>
  <c r="K102" i="2"/>
  <c r="J102" i="2"/>
  <c r="I102" i="2"/>
  <c r="H102" i="2"/>
  <c r="G102" i="2"/>
  <c r="F102" i="2"/>
  <c r="E102" i="2"/>
  <c r="D102" i="2"/>
  <c r="C102" i="2"/>
  <c r="B102" i="2"/>
  <c r="O102" i="2" s="1"/>
  <c r="A102" i="2"/>
  <c r="N101" i="2"/>
  <c r="M101" i="2"/>
  <c r="L101" i="2"/>
  <c r="Q101" i="2" s="1"/>
  <c r="K101" i="2"/>
  <c r="J101" i="2"/>
  <c r="I101" i="2"/>
  <c r="H101" i="2"/>
  <c r="G101" i="2"/>
  <c r="F101" i="2"/>
  <c r="E101" i="2"/>
  <c r="D101" i="2"/>
  <c r="C101" i="2"/>
  <c r="B101" i="2"/>
  <c r="O101" i="2" s="1"/>
  <c r="A101" i="2"/>
  <c r="N100" i="2"/>
  <c r="M100" i="2"/>
  <c r="L100" i="2"/>
  <c r="Q100" i="2" s="1"/>
  <c r="K100" i="2"/>
  <c r="J100" i="2"/>
  <c r="I100" i="2"/>
  <c r="H100" i="2"/>
  <c r="G100" i="2"/>
  <c r="F100" i="2"/>
  <c r="E100" i="2"/>
  <c r="D100" i="2"/>
  <c r="C100" i="2"/>
  <c r="B100" i="2"/>
  <c r="O100" i="2" s="1"/>
  <c r="A100" i="2"/>
  <c r="N99" i="2"/>
  <c r="M99" i="2"/>
  <c r="L99" i="2"/>
  <c r="Q99" i="2" s="1"/>
  <c r="K99" i="2"/>
  <c r="J99" i="2"/>
  <c r="I99" i="2"/>
  <c r="H99" i="2"/>
  <c r="G99" i="2"/>
  <c r="F99" i="2"/>
  <c r="E99" i="2"/>
  <c r="D99" i="2"/>
  <c r="C99" i="2"/>
  <c r="B99" i="2"/>
  <c r="O99" i="2" s="1"/>
  <c r="A99" i="2"/>
  <c r="N98" i="2"/>
  <c r="M98" i="2"/>
  <c r="L98" i="2"/>
  <c r="P98" i="2" s="1"/>
  <c r="K98" i="2"/>
  <c r="J98" i="2"/>
  <c r="I98" i="2"/>
  <c r="H98" i="2"/>
  <c r="G98" i="2"/>
  <c r="F98" i="2"/>
  <c r="E98" i="2"/>
  <c r="D98" i="2"/>
  <c r="C98" i="2"/>
  <c r="B98" i="2"/>
  <c r="O98" i="2" s="1"/>
  <c r="A98" i="2"/>
  <c r="Q97" i="2"/>
  <c r="N97" i="2"/>
  <c r="P97" i="2" s="1"/>
  <c r="M97" i="2"/>
  <c r="L97" i="2"/>
  <c r="K97" i="2"/>
  <c r="J97" i="2"/>
  <c r="I97" i="2"/>
  <c r="H97" i="2"/>
  <c r="G97" i="2"/>
  <c r="F97" i="2"/>
  <c r="E97" i="2"/>
  <c r="D97" i="2"/>
  <c r="C97" i="2"/>
  <c r="B97" i="2"/>
  <c r="O97" i="2" s="1"/>
  <c r="A97" i="2"/>
  <c r="O96" i="2"/>
  <c r="N96" i="2"/>
  <c r="P96" i="2" s="1"/>
  <c r="M96" i="2"/>
  <c r="L96" i="2"/>
  <c r="Q96" i="2" s="1"/>
  <c r="K96" i="2"/>
  <c r="J96" i="2"/>
  <c r="I96" i="2"/>
  <c r="H96" i="2"/>
  <c r="G96" i="2"/>
  <c r="F96" i="2"/>
  <c r="E96" i="2"/>
  <c r="D96" i="2"/>
  <c r="C96" i="2"/>
  <c r="B96" i="2"/>
  <c r="A96" i="2"/>
  <c r="P95" i="2"/>
  <c r="O95" i="2"/>
  <c r="N95" i="2"/>
  <c r="M95" i="2"/>
  <c r="L95" i="2"/>
  <c r="Q95" i="2" s="1"/>
  <c r="K95" i="2"/>
  <c r="J95" i="2"/>
  <c r="I95" i="2"/>
  <c r="H95" i="2"/>
  <c r="G95" i="2"/>
  <c r="F95" i="2"/>
  <c r="E95" i="2"/>
  <c r="D95" i="2"/>
  <c r="C95" i="2"/>
  <c r="B95" i="2"/>
  <c r="A95" i="2"/>
  <c r="Q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O94" i="2" s="1"/>
  <c r="A94" i="2"/>
  <c r="N93" i="2"/>
  <c r="P93" i="2" s="1"/>
  <c r="M93" i="2"/>
  <c r="L93" i="2"/>
  <c r="Q93" i="2" s="1"/>
  <c r="K93" i="2"/>
  <c r="J93" i="2"/>
  <c r="I93" i="2"/>
  <c r="H93" i="2"/>
  <c r="G93" i="2"/>
  <c r="F93" i="2"/>
  <c r="E93" i="2"/>
  <c r="D93" i="2"/>
  <c r="C93" i="2"/>
  <c r="B93" i="2"/>
  <c r="O93" i="2" s="1"/>
  <c r="A93" i="2"/>
  <c r="O92" i="2"/>
  <c r="N92" i="2"/>
  <c r="M92" i="2"/>
  <c r="L92" i="2"/>
  <c r="Q92" i="2" s="1"/>
  <c r="K92" i="2"/>
  <c r="J92" i="2"/>
  <c r="I92" i="2"/>
  <c r="H92" i="2"/>
  <c r="G92" i="2"/>
  <c r="F92" i="2"/>
  <c r="E92" i="2"/>
  <c r="D92" i="2"/>
  <c r="C92" i="2"/>
  <c r="B92" i="2"/>
  <c r="A92" i="2"/>
  <c r="N91" i="2"/>
  <c r="M91" i="2"/>
  <c r="L91" i="2"/>
  <c r="Q91" i="2" s="1"/>
  <c r="K91" i="2"/>
  <c r="J91" i="2"/>
  <c r="I91" i="2"/>
  <c r="H91" i="2"/>
  <c r="G91" i="2"/>
  <c r="F91" i="2"/>
  <c r="E91" i="2"/>
  <c r="D91" i="2"/>
  <c r="C91" i="2"/>
  <c r="B91" i="2"/>
  <c r="O91" i="2" s="1"/>
  <c r="A91" i="2"/>
  <c r="N90" i="2"/>
  <c r="P90" i="2" s="1"/>
  <c r="M90" i="2"/>
  <c r="L90" i="2"/>
  <c r="Q90" i="2" s="1"/>
  <c r="K90" i="2"/>
  <c r="J90" i="2"/>
  <c r="I90" i="2"/>
  <c r="H90" i="2"/>
  <c r="G90" i="2"/>
  <c r="F90" i="2"/>
  <c r="E90" i="2"/>
  <c r="D90" i="2"/>
  <c r="C90" i="2"/>
  <c r="B90" i="2"/>
  <c r="O90" i="2" s="1"/>
  <c r="A90" i="2"/>
  <c r="N89" i="2"/>
  <c r="M89" i="2"/>
  <c r="L89" i="2"/>
  <c r="Q89" i="2" s="1"/>
  <c r="K89" i="2"/>
  <c r="J89" i="2"/>
  <c r="I89" i="2"/>
  <c r="H89" i="2"/>
  <c r="G89" i="2"/>
  <c r="F89" i="2"/>
  <c r="E89" i="2"/>
  <c r="D89" i="2"/>
  <c r="C89" i="2"/>
  <c r="B89" i="2"/>
  <c r="O89" i="2" s="1"/>
  <c r="A89" i="2"/>
  <c r="N88" i="2"/>
  <c r="M88" i="2"/>
  <c r="L88" i="2"/>
  <c r="Q88" i="2" s="1"/>
  <c r="K88" i="2"/>
  <c r="J88" i="2"/>
  <c r="I88" i="2"/>
  <c r="H88" i="2"/>
  <c r="G88" i="2"/>
  <c r="F88" i="2"/>
  <c r="E88" i="2"/>
  <c r="D88" i="2"/>
  <c r="C88" i="2"/>
  <c r="B88" i="2"/>
  <c r="O88" i="2" s="1"/>
  <c r="A88" i="2"/>
  <c r="P87" i="2"/>
  <c r="N87" i="2"/>
  <c r="M87" i="2"/>
  <c r="L87" i="2"/>
  <c r="Q87" i="2" s="1"/>
  <c r="K87" i="2"/>
  <c r="J87" i="2"/>
  <c r="I87" i="2"/>
  <c r="H87" i="2"/>
  <c r="G87" i="2"/>
  <c r="F87" i="2"/>
  <c r="E87" i="2"/>
  <c r="D87" i="2"/>
  <c r="C87" i="2"/>
  <c r="B87" i="2"/>
  <c r="O87" i="2" s="1"/>
  <c r="A87" i="2"/>
  <c r="Q86" i="2"/>
  <c r="N86" i="2"/>
  <c r="M86" i="2"/>
  <c r="L86" i="2"/>
  <c r="P86" i="2" s="1"/>
  <c r="K86" i="2"/>
  <c r="J86" i="2"/>
  <c r="I86" i="2"/>
  <c r="H86" i="2"/>
  <c r="G86" i="2"/>
  <c r="F86" i="2"/>
  <c r="E86" i="2"/>
  <c r="D86" i="2"/>
  <c r="C86" i="2"/>
  <c r="B86" i="2"/>
  <c r="O86" i="2" s="1"/>
  <c r="A86" i="2"/>
  <c r="N85" i="2"/>
  <c r="M85" i="2"/>
  <c r="L85" i="2"/>
  <c r="Q85" i="2" s="1"/>
  <c r="K85" i="2"/>
  <c r="J85" i="2"/>
  <c r="I85" i="2"/>
  <c r="H85" i="2"/>
  <c r="G85" i="2"/>
  <c r="F85" i="2"/>
  <c r="E85" i="2"/>
  <c r="D85" i="2"/>
  <c r="C85" i="2"/>
  <c r="B85" i="2"/>
  <c r="O85" i="2" s="1"/>
  <c r="A85" i="2"/>
  <c r="N84" i="2"/>
  <c r="P84" i="2" s="1"/>
  <c r="M84" i="2"/>
  <c r="L84" i="2"/>
  <c r="Q84" i="2" s="1"/>
  <c r="K84" i="2"/>
  <c r="J84" i="2"/>
  <c r="I84" i="2"/>
  <c r="H84" i="2"/>
  <c r="G84" i="2"/>
  <c r="F84" i="2"/>
  <c r="E84" i="2"/>
  <c r="D84" i="2"/>
  <c r="C84" i="2"/>
  <c r="B84" i="2"/>
  <c r="O84" i="2" s="1"/>
  <c r="A84" i="2"/>
  <c r="N83" i="2"/>
  <c r="M83" i="2"/>
  <c r="L83" i="2"/>
  <c r="Q83" i="2" s="1"/>
  <c r="K83" i="2"/>
  <c r="J83" i="2"/>
  <c r="I83" i="2"/>
  <c r="H83" i="2"/>
  <c r="G83" i="2"/>
  <c r="F83" i="2"/>
  <c r="E83" i="2"/>
  <c r="D83" i="2"/>
  <c r="C83" i="2"/>
  <c r="B83" i="2"/>
  <c r="O83" i="2" s="1"/>
  <c r="A83" i="2"/>
  <c r="Q82" i="2"/>
  <c r="N82" i="2"/>
  <c r="P82" i="2" s="1"/>
  <c r="M82" i="2"/>
  <c r="L82" i="2"/>
  <c r="K82" i="2"/>
  <c r="J82" i="2"/>
  <c r="I82" i="2"/>
  <c r="H82" i="2"/>
  <c r="G82" i="2"/>
  <c r="F82" i="2"/>
  <c r="E82" i="2"/>
  <c r="D82" i="2"/>
  <c r="C82" i="2"/>
  <c r="B82" i="2"/>
  <c r="O82" i="2" s="1"/>
  <c r="A82" i="2"/>
  <c r="Q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O81" i="2" s="1"/>
  <c r="A81" i="2"/>
  <c r="Q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O80" i="2" s="1"/>
  <c r="A80" i="2"/>
  <c r="N79" i="2"/>
  <c r="M79" i="2"/>
  <c r="L79" i="2"/>
  <c r="Q79" i="2" s="1"/>
  <c r="K79" i="2"/>
  <c r="J79" i="2"/>
  <c r="I79" i="2"/>
  <c r="H79" i="2"/>
  <c r="G79" i="2"/>
  <c r="F79" i="2"/>
  <c r="E79" i="2"/>
  <c r="D79" i="2"/>
  <c r="C79" i="2"/>
  <c r="B79" i="2"/>
  <c r="O79" i="2" s="1"/>
  <c r="A79" i="2"/>
  <c r="Q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O78" i="2" s="1"/>
  <c r="A78" i="2"/>
  <c r="N77" i="2"/>
  <c r="P77" i="2" s="1"/>
  <c r="M77" i="2"/>
  <c r="L77" i="2"/>
  <c r="Q77" i="2" s="1"/>
  <c r="K77" i="2"/>
  <c r="J77" i="2"/>
  <c r="I77" i="2"/>
  <c r="H77" i="2"/>
  <c r="G77" i="2"/>
  <c r="F77" i="2"/>
  <c r="E77" i="2"/>
  <c r="D77" i="2"/>
  <c r="C77" i="2"/>
  <c r="B77" i="2"/>
  <c r="O77" i="2" s="1"/>
  <c r="A77" i="2"/>
  <c r="O76" i="2"/>
  <c r="N76" i="2"/>
  <c r="P76" i="2" s="1"/>
  <c r="M76" i="2"/>
  <c r="L76" i="2"/>
  <c r="Q76" i="2" s="1"/>
  <c r="K76" i="2"/>
  <c r="J76" i="2"/>
  <c r="I76" i="2"/>
  <c r="H76" i="2"/>
  <c r="G76" i="2"/>
  <c r="F76" i="2"/>
  <c r="E76" i="2"/>
  <c r="D76" i="2"/>
  <c r="C76" i="2"/>
  <c r="B76" i="2"/>
  <c r="A76" i="2"/>
  <c r="O75" i="2"/>
  <c r="N75" i="2"/>
  <c r="M75" i="2"/>
  <c r="L75" i="2"/>
  <c r="Q75" i="2" s="1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N73" i="2"/>
  <c r="M73" i="2"/>
  <c r="L73" i="2"/>
  <c r="Q73" i="2" s="1"/>
  <c r="K73" i="2"/>
  <c r="J73" i="2"/>
  <c r="I73" i="2"/>
  <c r="H73" i="2"/>
  <c r="G73" i="2"/>
  <c r="F73" i="2"/>
  <c r="E73" i="2"/>
  <c r="D73" i="2"/>
  <c r="C73" i="2"/>
  <c r="B73" i="2"/>
  <c r="O73" i="2" s="1"/>
  <c r="A73" i="2"/>
  <c r="O72" i="2"/>
  <c r="N72" i="2"/>
  <c r="M72" i="2"/>
  <c r="L72" i="2"/>
  <c r="Q72" i="2" s="1"/>
  <c r="K72" i="2"/>
  <c r="J72" i="2"/>
  <c r="I72" i="2"/>
  <c r="H72" i="2"/>
  <c r="G72" i="2"/>
  <c r="F72" i="2"/>
  <c r="E72" i="2"/>
  <c r="D72" i="2"/>
  <c r="C72" i="2"/>
  <c r="B72" i="2"/>
  <c r="A72" i="2"/>
  <c r="N71" i="2"/>
  <c r="P71" i="2" s="1"/>
  <c r="M71" i="2"/>
  <c r="L71" i="2"/>
  <c r="Q71" i="2" s="1"/>
  <c r="K71" i="2"/>
  <c r="J71" i="2"/>
  <c r="I71" i="2"/>
  <c r="H71" i="2"/>
  <c r="G71" i="2"/>
  <c r="F71" i="2"/>
  <c r="E71" i="2"/>
  <c r="D71" i="2"/>
  <c r="C71" i="2"/>
  <c r="B71" i="2"/>
  <c r="O71" i="2" s="1"/>
  <c r="A71" i="2"/>
  <c r="N70" i="2"/>
  <c r="M70" i="2"/>
  <c r="L70" i="2"/>
  <c r="P70" i="2" s="1"/>
  <c r="K70" i="2"/>
  <c r="J70" i="2"/>
  <c r="I70" i="2"/>
  <c r="H70" i="2"/>
  <c r="G70" i="2"/>
  <c r="F70" i="2"/>
  <c r="E70" i="2"/>
  <c r="D70" i="2"/>
  <c r="C70" i="2"/>
  <c r="B70" i="2"/>
  <c r="O70" i="2" s="1"/>
  <c r="A70" i="2"/>
  <c r="N69" i="2"/>
  <c r="P69" i="2" s="1"/>
  <c r="M69" i="2"/>
  <c r="L69" i="2"/>
  <c r="Q69" i="2" s="1"/>
  <c r="K69" i="2"/>
  <c r="J69" i="2"/>
  <c r="I69" i="2"/>
  <c r="H69" i="2"/>
  <c r="G69" i="2"/>
  <c r="F69" i="2"/>
  <c r="E69" i="2"/>
  <c r="D69" i="2"/>
  <c r="C69" i="2"/>
  <c r="B69" i="2"/>
  <c r="O69" i="2" s="1"/>
  <c r="A69" i="2"/>
  <c r="O68" i="2"/>
  <c r="N68" i="2"/>
  <c r="P68" i="2" s="1"/>
  <c r="M68" i="2"/>
  <c r="L68" i="2"/>
  <c r="Q68" i="2" s="1"/>
  <c r="K68" i="2"/>
  <c r="J68" i="2"/>
  <c r="I68" i="2"/>
  <c r="H68" i="2"/>
  <c r="G68" i="2"/>
  <c r="F68" i="2"/>
  <c r="E68" i="2"/>
  <c r="D68" i="2"/>
  <c r="C68" i="2"/>
  <c r="B68" i="2"/>
  <c r="A68" i="2"/>
  <c r="N67" i="2"/>
  <c r="M67" i="2"/>
  <c r="L67" i="2"/>
  <c r="Q67" i="2" s="1"/>
  <c r="K67" i="2"/>
  <c r="J67" i="2"/>
  <c r="I67" i="2"/>
  <c r="H67" i="2"/>
  <c r="G67" i="2"/>
  <c r="F67" i="2"/>
  <c r="E67" i="2"/>
  <c r="D67" i="2"/>
  <c r="C67" i="2"/>
  <c r="B67" i="2"/>
  <c r="O67" i="2" s="1"/>
  <c r="A67" i="2"/>
  <c r="Q66" i="2"/>
  <c r="O66" i="2"/>
  <c r="N66" i="2"/>
  <c r="P66" i="2" s="1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N65" i="2"/>
  <c r="P65" i="2" s="1"/>
  <c r="M65" i="2"/>
  <c r="L65" i="2"/>
  <c r="Q65" i="2" s="1"/>
  <c r="K65" i="2"/>
  <c r="J65" i="2"/>
  <c r="I65" i="2"/>
  <c r="H65" i="2"/>
  <c r="G65" i="2"/>
  <c r="F65" i="2"/>
  <c r="E65" i="2"/>
  <c r="D65" i="2"/>
  <c r="C65" i="2"/>
  <c r="B65" i="2"/>
  <c r="O65" i="2" s="1"/>
  <c r="A65" i="2"/>
  <c r="Q64" i="2"/>
  <c r="N64" i="2"/>
  <c r="P64" i="2" s="1"/>
  <c r="M64" i="2"/>
  <c r="L64" i="2"/>
  <c r="K64" i="2"/>
  <c r="J64" i="2"/>
  <c r="I64" i="2"/>
  <c r="H64" i="2"/>
  <c r="G64" i="2"/>
  <c r="F64" i="2"/>
  <c r="E64" i="2"/>
  <c r="D64" i="2"/>
  <c r="C64" i="2"/>
  <c r="B64" i="2"/>
  <c r="O64" i="2" s="1"/>
  <c r="A64" i="2"/>
  <c r="P63" i="2"/>
  <c r="N63" i="2"/>
  <c r="M63" i="2"/>
  <c r="L63" i="2"/>
  <c r="Q63" i="2" s="1"/>
  <c r="K63" i="2"/>
  <c r="J63" i="2"/>
  <c r="I63" i="2"/>
  <c r="H63" i="2"/>
  <c r="G63" i="2"/>
  <c r="F63" i="2"/>
  <c r="E63" i="2"/>
  <c r="D63" i="2"/>
  <c r="C63" i="2"/>
  <c r="B63" i="2"/>
  <c r="O63" i="2" s="1"/>
  <c r="A63" i="2"/>
  <c r="N62" i="2"/>
  <c r="M62" i="2"/>
  <c r="L62" i="2"/>
  <c r="Q62" i="2" s="1"/>
  <c r="K62" i="2"/>
  <c r="J62" i="2"/>
  <c r="I62" i="2"/>
  <c r="H62" i="2"/>
  <c r="G62" i="2"/>
  <c r="F62" i="2"/>
  <c r="E62" i="2"/>
  <c r="D62" i="2"/>
  <c r="C62" i="2"/>
  <c r="B62" i="2"/>
  <c r="O62" i="2" s="1"/>
  <c r="A62" i="2"/>
  <c r="N61" i="2"/>
  <c r="M61" i="2"/>
  <c r="L61" i="2"/>
  <c r="Q61" i="2" s="1"/>
  <c r="K61" i="2"/>
  <c r="J61" i="2"/>
  <c r="I61" i="2"/>
  <c r="H61" i="2"/>
  <c r="G61" i="2"/>
  <c r="F61" i="2"/>
  <c r="E61" i="2"/>
  <c r="D61" i="2"/>
  <c r="C61" i="2"/>
  <c r="B61" i="2"/>
  <c r="O61" i="2" s="1"/>
  <c r="A61" i="2"/>
  <c r="O60" i="2"/>
  <c r="N60" i="2"/>
  <c r="M60" i="2"/>
  <c r="L60" i="2"/>
  <c r="Q60" i="2" s="1"/>
  <c r="K60" i="2"/>
  <c r="J60" i="2"/>
  <c r="I60" i="2"/>
  <c r="H60" i="2"/>
  <c r="G60" i="2"/>
  <c r="F60" i="2"/>
  <c r="E60" i="2"/>
  <c r="D60" i="2"/>
  <c r="C60" i="2"/>
  <c r="B60" i="2"/>
  <c r="A60" i="2"/>
  <c r="N59" i="2"/>
  <c r="M59" i="2"/>
  <c r="L59" i="2"/>
  <c r="Q59" i="2" s="1"/>
  <c r="K59" i="2"/>
  <c r="J59" i="2"/>
  <c r="I59" i="2"/>
  <c r="H59" i="2"/>
  <c r="G59" i="2"/>
  <c r="F59" i="2"/>
  <c r="E59" i="2"/>
  <c r="D59" i="2"/>
  <c r="C59" i="2"/>
  <c r="B59" i="2"/>
  <c r="O59" i="2" s="1"/>
  <c r="A59" i="2"/>
  <c r="Q58" i="2"/>
  <c r="N58" i="2"/>
  <c r="P58" i="2" s="1"/>
  <c r="M58" i="2"/>
  <c r="L58" i="2"/>
  <c r="K58" i="2"/>
  <c r="J58" i="2"/>
  <c r="I58" i="2"/>
  <c r="H58" i="2"/>
  <c r="G58" i="2"/>
  <c r="F58" i="2"/>
  <c r="E58" i="2"/>
  <c r="D58" i="2"/>
  <c r="C58" i="2"/>
  <c r="B58" i="2"/>
  <c r="O58" i="2" s="1"/>
  <c r="A58" i="2"/>
  <c r="Q57" i="2"/>
  <c r="N57" i="2"/>
  <c r="P57" i="2" s="1"/>
  <c r="M57" i="2"/>
  <c r="L57" i="2"/>
  <c r="K57" i="2"/>
  <c r="J57" i="2"/>
  <c r="I57" i="2"/>
  <c r="H57" i="2"/>
  <c r="G57" i="2"/>
  <c r="F57" i="2"/>
  <c r="E57" i="2"/>
  <c r="D57" i="2"/>
  <c r="C57" i="2"/>
  <c r="B57" i="2"/>
  <c r="O57" i="2" s="1"/>
  <c r="A57" i="2"/>
  <c r="P56" i="2"/>
  <c r="N56" i="2"/>
  <c r="M56" i="2"/>
  <c r="L56" i="2"/>
  <c r="Q56" i="2" s="1"/>
  <c r="K56" i="2"/>
  <c r="J56" i="2"/>
  <c r="I56" i="2"/>
  <c r="H56" i="2"/>
  <c r="G56" i="2"/>
  <c r="F56" i="2"/>
  <c r="E56" i="2"/>
  <c r="D56" i="2"/>
  <c r="C56" i="2"/>
  <c r="B56" i="2"/>
  <c r="O56" i="2" s="1"/>
  <c r="A56" i="2"/>
  <c r="P55" i="2"/>
  <c r="N55" i="2"/>
  <c r="M55" i="2"/>
  <c r="L55" i="2"/>
  <c r="Q55" i="2" s="1"/>
  <c r="K55" i="2"/>
  <c r="J55" i="2"/>
  <c r="I55" i="2"/>
  <c r="H55" i="2"/>
  <c r="G55" i="2"/>
  <c r="F55" i="2"/>
  <c r="E55" i="2"/>
  <c r="D55" i="2"/>
  <c r="C55" i="2"/>
  <c r="B55" i="2"/>
  <c r="O55" i="2" s="1"/>
  <c r="A55" i="2"/>
  <c r="N54" i="2"/>
  <c r="P54" i="2" s="1"/>
  <c r="M54" i="2"/>
  <c r="L54" i="2"/>
  <c r="Q54" i="2" s="1"/>
  <c r="K54" i="2"/>
  <c r="J54" i="2"/>
  <c r="I54" i="2"/>
  <c r="H54" i="2"/>
  <c r="G54" i="2"/>
  <c r="F54" i="2"/>
  <c r="E54" i="2"/>
  <c r="D54" i="2"/>
  <c r="C54" i="2"/>
  <c r="B54" i="2"/>
  <c r="O54" i="2" s="1"/>
  <c r="A54" i="2"/>
  <c r="N53" i="2"/>
  <c r="M53" i="2"/>
  <c r="L53" i="2"/>
  <c r="Q53" i="2" s="1"/>
  <c r="K53" i="2"/>
  <c r="J53" i="2"/>
  <c r="I53" i="2"/>
  <c r="H53" i="2"/>
  <c r="G53" i="2"/>
  <c r="F53" i="2"/>
  <c r="E53" i="2"/>
  <c r="D53" i="2"/>
  <c r="C53" i="2"/>
  <c r="B53" i="2"/>
  <c r="O53" i="2" s="1"/>
  <c r="A53" i="2"/>
  <c r="O52" i="2"/>
  <c r="N52" i="2"/>
  <c r="P52" i="2" s="1"/>
  <c r="M52" i="2"/>
  <c r="L52" i="2"/>
  <c r="Q52" i="2" s="1"/>
  <c r="K52" i="2"/>
  <c r="J52" i="2"/>
  <c r="I52" i="2"/>
  <c r="H52" i="2"/>
  <c r="G52" i="2"/>
  <c r="F52" i="2"/>
  <c r="E52" i="2"/>
  <c r="D52" i="2"/>
  <c r="C52" i="2"/>
  <c r="B52" i="2"/>
  <c r="A52" i="2"/>
  <c r="N51" i="2"/>
  <c r="M51" i="2"/>
  <c r="L51" i="2"/>
  <c r="Q51" i="2" s="1"/>
  <c r="K51" i="2"/>
  <c r="J51" i="2"/>
  <c r="I51" i="2"/>
  <c r="H51" i="2"/>
  <c r="G51" i="2"/>
  <c r="F51" i="2"/>
  <c r="E51" i="2"/>
  <c r="D51" i="2"/>
  <c r="C51" i="2"/>
  <c r="B51" i="2"/>
  <c r="O51" i="2" s="1"/>
  <c r="A51" i="2"/>
  <c r="Q50" i="2"/>
  <c r="N50" i="2"/>
  <c r="P50" i="2" s="1"/>
  <c r="M50" i="2"/>
  <c r="L50" i="2"/>
  <c r="K50" i="2"/>
  <c r="J50" i="2"/>
  <c r="I50" i="2"/>
  <c r="H50" i="2"/>
  <c r="G50" i="2"/>
  <c r="F50" i="2"/>
  <c r="E50" i="2"/>
  <c r="D50" i="2"/>
  <c r="C50" i="2"/>
  <c r="B50" i="2"/>
  <c r="O50" i="2" s="1"/>
  <c r="A50" i="2"/>
  <c r="N49" i="2"/>
  <c r="M49" i="2"/>
  <c r="L49" i="2"/>
  <c r="Q49" i="2" s="1"/>
  <c r="K49" i="2"/>
  <c r="J49" i="2"/>
  <c r="I49" i="2"/>
  <c r="H49" i="2"/>
  <c r="G49" i="2"/>
  <c r="F49" i="2"/>
  <c r="E49" i="2"/>
  <c r="D49" i="2"/>
  <c r="C49" i="2"/>
  <c r="B49" i="2"/>
  <c r="O49" i="2" s="1"/>
  <c r="A49" i="2"/>
  <c r="P48" i="2"/>
  <c r="N48" i="2"/>
  <c r="M48" i="2"/>
  <c r="L48" i="2"/>
  <c r="Q48" i="2" s="1"/>
  <c r="K48" i="2"/>
  <c r="J48" i="2"/>
  <c r="I48" i="2"/>
  <c r="H48" i="2"/>
  <c r="G48" i="2"/>
  <c r="F48" i="2"/>
  <c r="E48" i="2"/>
  <c r="D48" i="2"/>
  <c r="C48" i="2"/>
  <c r="B48" i="2"/>
  <c r="O48" i="2" s="1"/>
  <c r="A48" i="2"/>
  <c r="N47" i="2"/>
  <c r="M47" i="2"/>
  <c r="L47" i="2"/>
  <c r="Q47" i="2" s="1"/>
  <c r="K47" i="2"/>
  <c r="J47" i="2"/>
  <c r="I47" i="2"/>
  <c r="H47" i="2"/>
  <c r="G47" i="2"/>
  <c r="F47" i="2"/>
  <c r="E47" i="2"/>
  <c r="D47" i="2"/>
  <c r="C47" i="2"/>
  <c r="B47" i="2"/>
  <c r="O47" i="2" s="1"/>
  <c r="A47" i="2"/>
  <c r="N46" i="2"/>
  <c r="P46" i="2" s="1"/>
  <c r="M46" i="2"/>
  <c r="L46" i="2"/>
  <c r="Q46" i="2" s="1"/>
  <c r="K46" i="2"/>
  <c r="J46" i="2"/>
  <c r="I46" i="2"/>
  <c r="H46" i="2"/>
  <c r="G46" i="2"/>
  <c r="F46" i="2"/>
  <c r="E46" i="2"/>
  <c r="D46" i="2"/>
  <c r="C46" i="2"/>
  <c r="B46" i="2"/>
  <c r="O46" i="2" s="1"/>
  <c r="A46" i="2"/>
  <c r="N45" i="2"/>
  <c r="P45" i="2" s="1"/>
  <c r="M45" i="2"/>
  <c r="L45" i="2"/>
  <c r="Q45" i="2" s="1"/>
  <c r="K45" i="2"/>
  <c r="J45" i="2"/>
  <c r="I45" i="2"/>
  <c r="H45" i="2"/>
  <c r="G45" i="2"/>
  <c r="F45" i="2"/>
  <c r="E45" i="2"/>
  <c r="D45" i="2"/>
  <c r="C45" i="2"/>
  <c r="B45" i="2"/>
  <c r="O45" i="2" s="1"/>
  <c r="A45" i="2"/>
  <c r="O44" i="2"/>
  <c r="N44" i="2"/>
  <c r="P44" i="2" s="1"/>
  <c r="M44" i="2"/>
  <c r="L44" i="2"/>
  <c r="Q44" i="2" s="1"/>
  <c r="K44" i="2"/>
  <c r="J44" i="2"/>
  <c r="I44" i="2"/>
  <c r="H44" i="2"/>
  <c r="G44" i="2"/>
  <c r="F44" i="2"/>
  <c r="E44" i="2"/>
  <c r="D44" i="2"/>
  <c r="C44" i="2"/>
  <c r="B44" i="2"/>
  <c r="A44" i="2"/>
  <c r="O43" i="2"/>
  <c r="N43" i="2"/>
  <c r="M43" i="2"/>
  <c r="L43" i="2"/>
  <c r="Q43" i="2" s="1"/>
  <c r="K43" i="2"/>
  <c r="J43" i="2"/>
  <c r="I43" i="2"/>
  <c r="H43" i="2"/>
  <c r="G43" i="2"/>
  <c r="F43" i="2"/>
  <c r="E43" i="2"/>
  <c r="D43" i="2"/>
  <c r="C43" i="2"/>
  <c r="B43" i="2"/>
  <c r="A43" i="2"/>
  <c r="O42" i="2"/>
  <c r="N42" i="2"/>
  <c r="M42" i="2"/>
  <c r="L42" i="2"/>
  <c r="Q42" i="2" s="1"/>
  <c r="K42" i="2"/>
  <c r="J42" i="2"/>
  <c r="I42" i="2"/>
  <c r="H42" i="2"/>
  <c r="G42" i="2"/>
  <c r="F42" i="2"/>
  <c r="E42" i="2"/>
  <c r="D42" i="2"/>
  <c r="C42" i="2"/>
  <c r="B42" i="2"/>
  <c r="A42" i="2"/>
  <c r="N41" i="2"/>
  <c r="P41" i="2" s="1"/>
  <c r="M41" i="2"/>
  <c r="L41" i="2"/>
  <c r="Q41" i="2" s="1"/>
  <c r="K41" i="2"/>
  <c r="J41" i="2"/>
  <c r="I41" i="2"/>
  <c r="H41" i="2"/>
  <c r="G41" i="2"/>
  <c r="F41" i="2"/>
  <c r="E41" i="2"/>
  <c r="D41" i="2"/>
  <c r="C41" i="2"/>
  <c r="B41" i="2"/>
  <c r="O41" i="2" s="1"/>
  <c r="A41" i="2"/>
  <c r="O40" i="2"/>
  <c r="N40" i="2"/>
  <c r="M40" i="2"/>
  <c r="L40" i="2"/>
  <c r="Q40" i="2" s="1"/>
  <c r="K40" i="2"/>
  <c r="J40" i="2"/>
  <c r="I40" i="2"/>
  <c r="H40" i="2"/>
  <c r="G40" i="2"/>
  <c r="F40" i="2"/>
  <c r="E40" i="2"/>
  <c r="D40" i="2"/>
  <c r="C40" i="2"/>
  <c r="B40" i="2"/>
  <c r="A40" i="2"/>
  <c r="N39" i="2"/>
  <c r="P39" i="2" s="1"/>
  <c r="M39" i="2"/>
  <c r="L39" i="2"/>
  <c r="Q39" i="2" s="1"/>
  <c r="K39" i="2"/>
  <c r="J39" i="2"/>
  <c r="I39" i="2"/>
  <c r="H39" i="2"/>
  <c r="G39" i="2"/>
  <c r="F39" i="2"/>
  <c r="E39" i="2"/>
  <c r="D39" i="2"/>
  <c r="C39" i="2"/>
  <c r="B39" i="2"/>
  <c r="O39" i="2" s="1"/>
  <c r="A39" i="2"/>
  <c r="N38" i="2"/>
  <c r="P38" i="2" s="1"/>
  <c r="M38" i="2"/>
  <c r="L38" i="2"/>
  <c r="Q38" i="2" s="1"/>
  <c r="K38" i="2"/>
  <c r="J38" i="2"/>
  <c r="I38" i="2"/>
  <c r="H38" i="2"/>
  <c r="G38" i="2"/>
  <c r="F38" i="2"/>
  <c r="E38" i="2"/>
  <c r="D38" i="2"/>
  <c r="C38" i="2"/>
  <c r="B38" i="2"/>
  <c r="O38" i="2" s="1"/>
  <c r="A38" i="2"/>
  <c r="N37" i="2"/>
  <c r="M37" i="2"/>
  <c r="L37" i="2"/>
  <c r="Q37" i="2" s="1"/>
  <c r="K37" i="2"/>
  <c r="J37" i="2"/>
  <c r="I37" i="2"/>
  <c r="H37" i="2"/>
  <c r="G37" i="2"/>
  <c r="F37" i="2"/>
  <c r="E37" i="2"/>
  <c r="D37" i="2"/>
  <c r="C37" i="2"/>
  <c r="B37" i="2"/>
  <c r="O37" i="2" s="1"/>
  <c r="A37" i="2"/>
  <c r="O36" i="2"/>
  <c r="N36" i="2"/>
  <c r="P36" i="2" s="1"/>
  <c r="M36" i="2"/>
  <c r="L36" i="2"/>
  <c r="Q36" i="2" s="1"/>
  <c r="K36" i="2"/>
  <c r="J36" i="2"/>
  <c r="I36" i="2"/>
  <c r="H36" i="2"/>
  <c r="G36" i="2"/>
  <c r="F36" i="2"/>
  <c r="E36" i="2"/>
  <c r="D36" i="2"/>
  <c r="C36" i="2"/>
  <c r="B36" i="2"/>
  <c r="A36" i="2"/>
  <c r="O35" i="2"/>
  <c r="N35" i="2"/>
  <c r="M35" i="2"/>
  <c r="L35" i="2"/>
  <c r="Q35" i="2" s="1"/>
  <c r="K35" i="2"/>
  <c r="J35" i="2"/>
  <c r="I35" i="2"/>
  <c r="H35" i="2"/>
  <c r="G35" i="2"/>
  <c r="F35" i="2"/>
  <c r="E35" i="2"/>
  <c r="D35" i="2"/>
  <c r="C35" i="2"/>
  <c r="B35" i="2"/>
  <c r="A35" i="2"/>
  <c r="O34" i="2"/>
  <c r="N34" i="2"/>
  <c r="P34" i="2" s="1"/>
  <c r="M34" i="2"/>
  <c r="L34" i="2"/>
  <c r="Q34" i="2" s="1"/>
  <c r="K34" i="2"/>
  <c r="J34" i="2"/>
  <c r="I34" i="2"/>
  <c r="H34" i="2"/>
  <c r="G34" i="2"/>
  <c r="F34" i="2"/>
  <c r="E34" i="2"/>
  <c r="D34" i="2"/>
  <c r="C34" i="2"/>
  <c r="B34" i="2"/>
  <c r="A34" i="2"/>
  <c r="N33" i="2"/>
  <c r="P33" i="2" s="1"/>
  <c r="M33" i="2"/>
  <c r="L33" i="2"/>
  <c r="Q33" i="2" s="1"/>
  <c r="K33" i="2"/>
  <c r="J33" i="2"/>
  <c r="I33" i="2"/>
  <c r="H33" i="2"/>
  <c r="G33" i="2"/>
  <c r="F33" i="2"/>
  <c r="E33" i="2"/>
  <c r="D33" i="2"/>
  <c r="C33" i="2"/>
  <c r="B33" i="2"/>
  <c r="O33" i="2" s="1"/>
  <c r="A33" i="2"/>
  <c r="Q32" i="2"/>
  <c r="O32" i="2"/>
  <c r="N32" i="2"/>
  <c r="P32" i="2" s="1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N31" i="2"/>
  <c r="P31" i="2" s="1"/>
  <c r="M31" i="2"/>
  <c r="L31" i="2"/>
  <c r="Q31" i="2" s="1"/>
  <c r="K31" i="2"/>
  <c r="J31" i="2"/>
  <c r="I31" i="2"/>
  <c r="H31" i="2"/>
  <c r="G31" i="2"/>
  <c r="F31" i="2"/>
  <c r="E31" i="2"/>
  <c r="D31" i="2"/>
  <c r="C31" i="2"/>
  <c r="B31" i="2"/>
  <c r="O31" i="2" s="1"/>
  <c r="A31" i="2"/>
  <c r="N30" i="2"/>
  <c r="M30" i="2"/>
  <c r="L30" i="2"/>
  <c r="Q30" i="2" s="1"/>
  <c r="K30" i="2"/>
  <c r="J30" i="2"/>
  <c r="I30" i="2"/>
  <c r="H30" i="2"/>
  <c r="G30" i="2"/>
  <c r="F30" i="2"/>
  <c r="E30" i="2"/>
  <c r="D30" i="2"/>
  <c r="C30" i="2"/>
  <c r="B30" i="2"/>
  <c r="O30" i="2" s="1"/>
  <c r="A30" i="2"/>
  <c r="N29" i="2"/>
  <c r="P29" i="2" s="1"/>
  <c r="M29" i="2"/>
  <c r="L29" i="2"/>
  <c r="Q29" i="2" s="1"/>
  <c r="K29" i="2"/>
  <c r="J29" i="2"/>
  <c r="I29" i="2"/>
  <c r="H29" i="2"/>
  <c r="G29" i="2"/>
  <c r="F29" i="2"/>
  <c r="E29" i="2"/>
  <c r="D29" i="2"/>
  <c r="C29" i="2"/>
  <c r="B29" i="2"/>
  <c r="O29" i="2" s="1"/>
  <c r="A29" i="2"/>
  <c r="N28" i="2"/>
  <c r="M28" i="2"/>
  <c r="L28" i="2"/>
  <c r="Q28" i="2" s="1"/>
  <c r="K28" i="2"/>
  <c r="J28" i="2"/>
  <c r="I28" i="2"/>
  <c r="H28" i="2"/>
  <c r="G28" i="2"/>
  <c r="F28" i="2"/>
  <c r="E28" i="2"/>
  <c r="D28" i="2"/>
  <c r="C28" i="2"/>
  <c r="B28" i="2"/>
  <c r="O28" i="2" s="1"/>
  <c r="A28" i="2"/>
  <c r="N27" i="2"/>
  <c r="M27" i="2"/>
  <c r="L27" i="2"/>
  <c r="Q27" i="2" s="1"/>
  <c r="K27" i="2"/>
  <c r="J27" i="2"/>
  <c r="I27" i="2"/>
  <c r="H27" i="2"/>
  <c r="G27" i="2"/>
  <c r="F27" i="2"/>
  <c r="E27" i="2"/>
  <c r="D27" i="2"/>
  <c r="C27" i="2"/>
  <c r="B27" i="2"/>
  <c r="O27" i="2" s="1"/>
  <c r="A27" i="2"/>
  <c r="Q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N25" i="2"/>
  <c r="P25" i="2" s="1"/>
  <c r="M25" i="2"/>
  <c r="L25" i="2"/>
  <c r="Q25" i="2" s="1"/>
  <c r="K25" i="2"/>
  <c r="J25" i="2"/>
  <c r="I25" i="2"/>
  <c r="H25" i="2"/>
  <c r="G25" i="2"/>
  <c r="F25" i="2"/>
  <c r="E25" i="2"/>
  <c r="D25" i="2"/>
  <c r="C25" i="2"/>
  <c r="B25" i="2"/>
  <c r="O25" i="2" s="1"/>
  <c r="A25" i="2"/>
  <c r="Q24" i="2"/>
  <c r="O24" i="2"/>
  <c r="N24" i="2"/>
  <c r="P24" i="2" s="1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N23" i="2"/>
  <c r="P23" i="2" s="1"/>
  <c r="M23" i="2"/>
  <c r="L23" i="2"/>
  <c r="Q23" i="2" s="1"/>
  <c r="K23" i="2"/>
  <c r="J23" i="2"/>
  <c r="I23" i="2"/>
  <c r="H23" i="2"/>
  <c r="G23" i="2"/>
  <c r="F23" i="2"/>
  <c r="E23" i="2"/>
  <c r="D23" i="2"/>
  <c r="C23" i="2"/>
  <c r="B23" i="2"/>
  <c r="O23" i="2" s="1"/>
  <c r="A23" i="2"/>
  <c r="Q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O22" i="2" s="1"/>
  <c r="A22" i="2"/>
  <c r="N21" i="2"/>
  <c r="P21" i="2" s="1"/>
  <c r="M21" i="2"/>
  <c r="L21" i="2"/>
  <c r="Q21" i="2" s="1"/>
  <c r="K21" i="2"/>
  <c r="J21" i="2"/>
  <c r="I21" i="2"/>
  <c r="H21" i="2"/>
  <c r="G21" i="2"/>
  <c r="F21" i="2"/>
  <c r="E21" i="2"/>
  <c r="D21" i="2"/>
  <c r="C21" i="2"/>
  <c r="B21" i="2"/>
  <c r="O21" i="2" s="1"/>
  <c r="A21" i="2"/>
  <c r="N20" i="2"/>
  <c r="P20" i="2" s="1"/>
  <c r="M20" i="2"/>
  <c r="L20" i="2"/>
  <c r="Q20" i="2" s="1"/>
  <c r="K20" i="2"/>
  <c r="J20" i="2"/>
  <c r="I20" i="2"/>
  <c r="H20" i="2"/>
  <c r="G20" i="2"/>
  <c r="F20" i="2"/>
  <c r="E20" i="2"/>
  <c r="D20" i="2"/>
  <c r="C20" i="2"/>
  <c r="B20" i="2"/>
  <c r="O20" i="2" s="1"/>
  <c r="A20" i="2"/>
  <c r="N19" i="2"/>
  <c r="M19" i="2"/>
  <c r="L19" i="2"/>
  <c r="Q19" i="2" s="1"/>
  <c r="K19" i="2"/>
  <c r="J19" i="2"/>
  <c r="I19" i="2"/>
  <c r="H19" i="2"/>
  <c r="G19" i="2"/>
  <c r="F19" i="2"/>
  <c r="E19" i="2"/>
  <c r="D19" i="2"/>
  <c r="C19" i="2"/>
  <c r="B19" i="2"/>
  <c r="O19" i="2" s="1"/>
  <c r="A19" i="2"/>
  <c r="N18" i="2"/>
  <c r="M18" i="2"/>
  <c r="L18" i="2"/>
  <c r="Q18" i="2" s="1"/>
  <c r="K18" i="2"/>
  <c r="J18" i="2"/>
  <c r="I18" i="2"/>
  <c r="H18" i="2"/>
  <c r="G18" i="2"/>
  <c r="F18" i="2"/>
  <c r="E18" i="2"/>
  <c r="D18" i="2"/>
  <c r="C18" i="2"/>
  <c r="B18" i="2"/>
  <c r="O18" i="2" s="1"/>
  <c r="A18" i="2"/>
  <c r="N17" i="2"/>
  <c r="P17" i="2" s="1"/>
  <c r="M17" i="2"/>
  <c r="L17" i="2"/>
  <c r="Q17" i="2" s="1"/>
  <c r="K17" i="2"/>
  <c r="J17" i="2"/>
  <c r="I17" i="2"/>
  <c r="H17" i="2"/>
  <c r="G17" i="2"/>
  <c r="F17" i="2"/>
  <c r="E17" i="2"/>
  <c r="D17" i="2"/>
  <c r="C17" i="2"/>
  <c r="B17" i="2"/>
  <c r="O17" i="2" s="1"/>
  <c r="A17" i="2"/>
  <c r="O16" i="2"/>
  <c r="N16" i="2"/>
  <c r="M16" i="2"/>
  <c r="L16" i="2"/>
  <c r="Q16" i="2" s="1"/>
  <c r="K16" i="2"/>
  <c r="J16" i="2"/>
  <c r="I16" i="2"/>
  <c r="H16" i="2"/>
  <c r="G16" i="2"/>
  <c r="F16" i="2"/>
  <c r="E16" i="2"/>
  <c r="D16" i="2"/>
  <c r="C16" i="2"/>
  <c r="B16" i="2"/>
  <c r="A16" i="2"/>
  <c r="N15" i="2"/>
  <c r="P15" i="2" s="1"/>
  <c r="M15" i="2"/>
  <c r="L15" i="2"/>
  <c r="Q15" i="2" s="1"/>
  <c r="K15" i="2"/>
  <c r="J15" i="2"/>
  <c r="I15" i="2"/>
  <c r="H15" i="2"/>
  <c r="G15" i="2"/>
  <c r="F15" i="2"/>
  <c r="E15" i="2"/>
  <c r="D15" i="2"/>
  <c r="C15" i="2"/>
  <c r="B15" i="2"/>
  <c r="O15" i="2" s="1"/>
  <c r="A15" i="2"/>
  <c r="Q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O14" i="2" s="1"/>
  <c r="A14" i="2"/>
  <c r="N13" i="2"/>
  <c r="P13" i="2" s="1"/>
  <c r="M13" i="2"/>
  <c r="L13" i="2"/>
  <c r="Q13" i="2" s="1"/>
  <c r="K13" i="2"/>
  <c r="J13" i="2"/>
  <c r="I13" i="2"/>
  <c r="H13" i="2"/>
  <c r="G13" i="2"/>
  <c r="F13" i="2"/>
  <c r="E13" i="2"/>
  <c r="D13" i="2"/>
  <c r="C13" i="2"/>
  <c r="B13" i="2"/>
  <c r="O13" i="2" s="1"/>
  <c r="A13" i="2"/>
  <c r="O12" i="2"/>
  <c r="N12" i="2"/>
  <c r="M12" i="2"/>
  <c r="L12" i="2"/>
  <c r="Q12" i="2" s="1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Q11" i="2" s="1"/>
  <c r="K11" i="2"/>
  <c r="J11" i="2"/>
  <c r="I11" i="2"/>
  <c r="H11" i="2"/>
  <c r="G11" i="2"/>
  <c r="F11" i="2"/>
  <c r="E11" i="2"/>
  <c r="D11" i="2"/>
  <c r="C11" i="2"/>
  <c r="B11" i="2"/>
  <c r="O11" i="2" s="1"/>
  <c r="A11" i="2"/>
  <c r="N10" i="2"/>
  <c r="M10" i="2"/>
  <c r="L10" i="2"/>
  <c r="Q10" i="2" s="1"/>
  <c r="K10" i="2"/>
  <c r="J10" i="2"/>
  <c r="I10" i="2"/>
  <c r="H10" i="2"/>
  <c r="G10" i="2"/>
  <c r="F10" i="2"/>
  <c r="E10" i="2"/>
  <c r="D10" i="2"/>
  <c r="C10" i="2"/>
  <c r="B10" i="2"/>
  <c r="O10" i="2" s="1"/>
  <c r="A10" i="2"/>
  <c r="N9" i="2"/>
  <c r="P9" i="2" s="1"/>
  <c r="M9" i="2"/>
  <c r="L9" i="2"/>
  <c r="Q9" i="2" s="1"/>
  <c r="K9" i="2"/>
  <c r="J9" i="2"/>
  <c r="I9" i="2"/>
  <c r="H9" i="2"/>
  <c r="G9" i="2"/>
  <c r="F9" i="2"/>
  <c r="E9" i="2"/>
  <c r="D9" i="2"/>
  <c r="C9" i="2"/>
  <c r="B9" i="2"/>
  <c r="O9" i="2" s="1"/>
  <c r="A9" i="2"/>
  <c r="O8" i="2"/>
  <c r="N8" i="2"/>
  <c r="M8" i="2"/>
  <c r="L8" i="2"/>
  <c r="Q8" i="2" s="1"/>
  <c r="K8" i="2"/>
  <c r="J8" i="2"/>
  <c r="I8" i="2"/>
  <c r="H8" i="2"/>
  <c r="G8" i="2"/>
  <c r="F8" i="2"/>
  <c r="E8" i="2"/>
  <c r="D8" i="2"/>
  <c r="C8" i="2"/>
  <c r="B8" i="2"/>
  <c r="A8" i="2"/>
  <c r="N7" i="2"/>
  <c r="P7" i="2" s="1"/>
  <c r="M7" i="2"/>
  <c r="L7" i="2"/>
  <c r="Q7" i="2" s="1"/>
  <c r="K7" i="2"/>
  <c r="J7" i="2"/>
  <c r="I7" i="2"/>
  <c r="H7" i="2"/>
  <c r="G7" i="2"/>
  <c r="F7" i="2"/>
  <c r="E7" i="2"/>
  <c r="D7" i="2"/>
  <c r="C7" i="2"/>
  <c r="B7" i="2"/>
  <c r="O7" i="2" s="1"/>
  <c r="A7" i="2"/>
  <c r="Q6" i="2"/>
  <c r="N6" i="2"/>
  <c r="M6" i="2"/>
  <c r="L6" i="2"/>
  <c r="K6" i="2"/>
  <c r="J6" i="2"/>
  <c r="I6" i="2"/>
  <c r="H6" i="2"/>
  <c r="G6" i="2"/>
  <c r="F6" i="2"/>
  <c r="E6" i="2"/>
  <c r="D6" i="2"/>
  <c r="C6" i="2"/>
  <c r="B6" i="2"/>
  <c r="O6" i="2" s="1"/>
  <c r="A6" i="2"/>
  <c r="N5" i="2"/>
  <c r="P5" i="2" s="1"/>
  <c r="M5" i="2"/>
  <c r="L5" i="2"/>
  <c r="Q5" i="2" s="1"/>
  <c r="K5" i="2"/>
  <c r="J5" i="2"/>
  <c r="I5" i="2"/>
  <c r="H5" i="2"/>
  <c r="G5" i="2"/>
  <c r="F5" i="2"/>
  <c r="E5" i="2"/>
  <c r="D5" i="2"/>
  <c r="C5" i="2"/>
  <c r="B5" i="2"/>
  <c r="O5" i="2" s="1"/>
  <c r="A5" i="2"/>
  <c r="O4" i="2"/>
  <c r="N4" i="2"/>
  <c r="P4" i="2" s="1"/>
  <c r="M4" i="2"/>
  <c r="L4" i="2"/>
  <c r="Q4" i="2" s="1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P3" i="2" s="1"/>
  <c r="K3" i="2"/>
  <c r="J3" i="2"/>
  <c r="I3" i="2"/>
  <c r="H3" i="2"/>
  <c r="G3" i="2"/>
  <c r="F3" i="2"/>
  <c r="E3" i="2"/>
  <c r="D3" i="2"/>
  <c r="C3" i="2"/>
  <c r="B3" i="2"/>
  <c r="O3" i="2" s="1"/>
  <c r="A3" i="2"/>
  <c r="N2" i="2"/>
  <c r="M2" i="2"/>
  <c r="L2" i="2"/>
  <c r="Q2" i="2" s="1"/>
  <c r="K2" i="2"/>
  <c r="J2" i="2"/>
  <c r="I2" i="2"/>
  <c r="H2" i="2"/>
  <c r="G2" i="2"/>
  <c r="F2" i="2"/>
  <c r="E2" i="2"/>
  <c r="D2" i="2"/>
  <c r="C2" i="2"/>
  <c r="B2" i="2"/>
  <c r="O2" i="2" s="1"/>
  <c r="A2" i="2"/>
  <c r="P22" i="2" l="1"/>
  <c r="P30" i="2"/>
  <c r="P42" i="2"/>
  <c r="P53" i="2"/>
  <c r="P62" i="2"/>
  <c r="P72" i="2"/>
  <c r="P73" i="2"/>
  <c r="P85" i="2"/>
  <c r="P319" i="2"/>
  <c r="Q319" i="2"/>
  <c r="P343" i="2"/>
  <c r="Q343" i="2"/>
  <c r="Q467" i="2"/>
  <c r="P467" i="2"/>
  <c r="P471" i="2"/>
  <c r="Q471" i="2"/>
  <c r="Q693" i="2"/>
  <c r="P693" i="2"/>
  <c r="P12" i="2"/>
  <c r="P40" i="2"/>
  <c r="P61" i="2"/>
  <c r="P78" i="2"/>
  <c r="P80" i="2"/>
  <c r="P81" i="2"/>
  <c r="P104" i="2"/>
  <c r="P124" i="2"/>
  <c r="P136" i="2"/>
  <c r="P169" i="2"/>
  <c r="P181" i="2"/>
  <c r="P197" i="2"/>
  <c r="P210" i="2"/>
  <c r="P245" i="2"/>
  <c r="P257" i="2"/>
  <c r="P277" i="2"/>
  <c r="P306" i="2"/>
  <c r="P312" i="2"/>
  <c r="P335" i="2"/>
  <c r="Q335" i="2"/>
  <c r="Q466" i="2"/>
  <c r="P466" i="2"/>
  <c r="P648" i="2"/>
  <c r="P10" i="2"/>
  <c r="P18" i="2"/>
  <c r="P28" i="2"/>
  <c r="P49" i="2"/>
  <c r="P60" i="2"/>
  <c r="Q70" i="2"/>
  <c r="P92" i="2"/>
  <c r="P101" i="2"/>
  <c r="P102" i="2"/>
  <c r="P113" i="2"/>
  <c r="Q114" i="2"/>
  <c r="P133" i="2"/>
  <c r="P146" i="2"/>
  <c r="Q147" i="2"/>
  <c r="P166" i="2"/>
  <c r="P175" i="2"/>
  <c r="P178" i="2"/>
  <c r="P194" i="2"/>
  <c r="P209" i="2"/>
  <c r="P222" i="2"/>
  <c r="P234" i="2"/>
  <c r="Q235" i="2"/>
  <c r="P254" i="2"/>
  <c r="P266" i="2"/>
  <c r="Q267" i="2"/>
  <c r="Q287" i="2"/>
  <c r="P323" i="2"/>
  <c r="P355" i="2"/>
  <c r="Q371" i="2"/>
  <c r="Q516" i="2"/>
  <c r="P516" i="2"/>
  <c r="Q733" i="2"/>
  <c r="P733" i="2"/>
  <c r="P37" i="2"/>
  <c r="P47" i="2"/>
  <c r="P79" i="2"/>
  <c r="P100" i="2"/>
  <c r="P112" i="2"/>
  <c r="P132" i="2"/>
  <c r="P165" i="2"/>
  <c r="P177" i="2"/>
  <c r="P193" i="2"/>
  <c r="P206" i="2"/>
  <c r="P207" i="2"/>
  <c r="P221" i="2"/>
  <c r="P233" i="2"/>
  <c r="P251" i="2"/>
  <c r="P253" i="2"/>
  <c r="P265" i="2"/>
  <c r="P286" i="2"/>
  <c r="Q295" i="2"/>
  <c r="P301" i="2"/>
  <c r="P311" i="2"/>
  <c r="P317" i="2"/>
  <c r="Q403" i="2"/>
  <c r="P403" i="2"/>
  <c r="P607" i="2"/>
  <c r="P26" i="2"/>
  <c r="P89" i="2"/>
  <c r="P109" i="2"/>
  <c r="P121" i="2"/>
  <c r="Q122" i="2"/>
  <c r="P145" i="2"/>
  <c r="P227" i="2"/>
  <c r="P230" i="2"/>
  <c r="P231" i="2"/>
  <c r="Q243" i="2"/>
  <c r="P263" i="2"/>
  <c r="Q275" i="2"/>
  <c r="P407" i="2"/>
  <c r="Q407" i="2"/>
  <c r="P88" i="2"/>
  <c r="P106" i="2"/>
  <c r="P120" i="2"/>
  <c r="P139" i="2"/>
  <c r="P142" i="2"/>
  <c r="P143" i="2"/>
  <c r="P161" i="2"/>
  <c r="P192" i="2"/>
  <c r="P232" i="2"/>
  <c r="P259" i="2"/>
  <c r="P264" i="2"/>
  <c r="P351" i="2"/>
  <c r="Q351" i="2"/>
  <c r="P672" i="2"/>
  <c r="P6" i="2"/>
  <c r="P14" i="2"/>
  <c r="P94" i="2"/>
  <c r="Q98" i="2"/>
  <c r="P117" i="2"/>
  <c r="P144" i="2"/>
  <c r="Q388" i="2"/>
  <c r="P388" i="2"/>
  <c r="Q548" i="2"/>
  <c r="P548" i="2"/>
  <c r="P367" i="2"/>
  <c r="Q423" i="2"/>
  <c r="Q487" i="2"/>
  <c r="P495" i="2"/>
  <c r="P601" i="2"/>
  <c r="P633" i="2"/>
  <c r="P660" i="2"/>
  <c r="P665" i="2"/>
  <c r="P696" i="2"/>
  <c r="P705" i="2"/>
  <c r="P711" i="2"/>
  <c r="Q791" i="2"/>
  <c r="P791" i="2"/>
  <c r="P879" i="2"/>
  <c r="P402" i="2"/>
  <c r="P463" i="2"/>
  <c r="P314" i="2"/>
  <c r="P334" i="2"/>
  <c r="P346" i="2"/>
  <c r="P376" i="2"/>
  <c r="P386" i="2"/>
  <c r="P389" i="2"/>
  <c r="P399" i="2"/>
  <c r="P415" i="2"/>
  <c r="P428" i="2"/>
  <c r="P436" i="2"/>
  <c r="P442" i="2"/>
  <c r="P453" i="2"/>
  <c r="P454" i="2"/>
  <c r="P465" i="2"/>
  <c r="P472" i="2"/>
  <c r="P479" i="2"/>
  <c r="P514" i="2"/>
  <c r="P517" i="2"/>
  <c r="P518" i="2"/>
  <c r="P546" i="2"/>
  <c r="P549" i="2"/>
  <c r="P550" i="2"/>
  <c r="P609" i="2"/>
  <c r="P636" i="2"/>
  <c r="P649" i="2"/>
  <c r="P674" i="2"/>
  <c r="P618" i="2"/>
  <c r="P658" i="2"/>
  <c r="P668" i="2"/>
  <c r="P673" i="2"/>
  <c r="P285" i="2"/>
  <c r="P309" i="2"/>
  <c r="P322" i="2"/>
  <c r="P342" i="2"/>
  <c r="P354" i="2"/>
  <c r="P365" i="2"/>
  <c r="Q402" i="2"/>
  <c r="P431" i="2"/>
  <c r="P617" i="2"/>
  <c r="P657" i="2"/>
  <c r="P682" i="2"/>
  <c r="Q809" i="2"/>
  <c r="P809" i="2"/>
  <c r="P327" i="2"/>
  <c r="P331" i="2"/>
  <c r="P341" i="2"/>
  <c r="P359" i="2"/>
  <c r="P373" i="2"/>
  <c r="P381" i="2"/>
  <c r="P424" i="2"/>
  <c r="P432" i="2"/>
  <c r="P447" i="2"/>
  <c r="P449" i="2"/>
  <c r="P450" i="2"/>
  <c r="P457" i="2"/>
  <c r="P461" i="2"/>
  <c r="P462" i="2"/>
  <c r="Q463" i="2"/>
  <c r="P521" i="2"/>
  <c r="P553" i="2"/>
  <c r="P566" i="2"/>
  <c r="P567" i="2"/>
  <c r="P574" i="2"/>
  <c r="P593" i="2"/>
  <c r="P615" i="2"/>
  <c r="P655" i="2"/>
  <c r="P679" i="2"/>
  <c r="P789" i="2"/>
  <c r="P318" i="2"/>
  <c r="P413" i="2"/>
  <c r="P455" i="2"/>
  <c r="P477" i="2"/>
  <c r="P478" i="2"/>
  <c r="P530" i="2"/>
  <c r="P533" i="2"/>
  <c r="P534" i="2"/>
  <c r="P562" i="2"/>
  <c r="P616" i="2"/>
  <c r="P656" i="2"/>
  <c r="P794" i="2"/>
  <c r="P835" i="2"/>
  <c r="P859" i="2"/>
  <c r="Q862" i="2"/>
  <c r="P876" i="2"/>
  <c r="P915" i="2"/>
  <c r="P924" i="2"/>
  <c r="P938" i="2"/>
  <c r="P952" i="2"/>
  <c r="P953" i="2"/>
  <c r="P963" i="2"/>
  <c r="P972" i="2"/>
  <c r="Q949" i="2"/>
  <c r="P975" i="2"/>
  <c r="P761" i="2"/>
  <c r="P856" i="2"/>
  <c r="P857" i="2"/>
  <c r="P892" i="2"/>
  <c r="P936" i="2"/>
  <c r="P937" i="2"/>
  <c r="P980" i="2"/>
  <c r="P896" i="2"/>
  <c r="P897" i="2"/>
  <c r="P908" i="2"/>
  <c r="Q909" i="2"/>
  <c r="P912" i="2"/>
  <c r="P913" i="2"/>
  <c r="Q933" i="2"/>
  <c r="P941" i="2"/>
  <c r="P960" i="2"/>
  <c r="P961" i="2"/>
  <c r="P965" i="2"/>
  <c r="P992" i="2"/>
  <c r="P993" i="2"/>
  <c r="P729" i="2"/>
  <c r="P901" i="2"/>
  <c r="P958" i="2"/>
  <c r="P979" i="2"/>
  <c r="P988" i="2"/>
  <c r="Q989" i="2"/>
  <c r="P724" i="2"/>
  <c r="P738" i="2"/>
  <c r="P754" i="2"/>
  <c r="P770" i="2"/>
  <c r="P786" i="2"/>
  <c r="P823" i="2"/>
  <c r="P848" i="2"/>
  <c r="P849" i="2"/>
  <c r="P884" i="2"/>
  <c r="P920" i="2"/>
  <c r="P921" i="2"/>
  <c r="P991" i="2"/>
  <c r="P681" i="2"/>
  <c r="P692" i="2"/>
  <c r="P697" i="2"/>
  <c r="P708" i="2"/>
  <c r="P713" i="2"/>
  <c r="P732" i="2"/>
  <c r="P799" i="2"/>
  <c r="P807" i="2"/>
  <c r="P811" i="2"/>
  <c r="P820" i="2"/>
  <c r="P883" i="2"/>
  <c r="Q901" i="2"/>
  <c r="P929" i="2"/>
  <c r="P939" i="2"/>
  <c r="P981" i="2"/>
  <c r="C29" i="3"/>
  <c r="D26" i="3"/>
  <c r="B24" i="3"/>
  <c r="C22" i="3"/>
  <c r="D31" i="3"/>
  <c r="B29" i="3"/>
  <c r="C26" i="3"/>
  <c r="D23" i="3"/>
  <c r="B22" i="3"/>
  <c r="C31" i="3"/>
  <c r="D28" i="3"/>
  <c r="B26" i="3"/>
  <c r="C23" i="3"/>
  <c r="B31" i="3"/>
  <c r="C28" i="3"/>
  <c r="D25" i="3"/>
  <c r="B23" i="3"/>
  <c r="D20" i="3"/>
  <c r="D30" i="3"/>
  <c r="B28" i="3"/>
  <c r="C25" i="3"/>
  <c r="C20" i="3"/>
  <c r="C30" i="3"/>
  <c r="D27" i="3"/>
  <c r="B25" i="3"/>
  <c r="D21" i="3"/>
  <c r="B20" i="3"/>
  <c r="B30" i="3"/>
  <c r="C27" i="3"/>
  <c r="D24" i="3"/>
  <c r="C21" i="3"/>
  <c r="D29" i="3"/>
  <c r="B27" i="3"/>
  <c r="C24" i="3"/>
  <c r="D22" i="3"/>
  <c r="B21" i="3"/>
  <c r="Q244" i="2"/>
  <c r="P244" i="2"/>
  <c r="Q276" i="2"/>
  <c r="P276" i="2"/>
  <c r="Q300" i="2"/>
  <c r="P300" i="2"/>
  <c r="Q324" i="2"/>
  <c r="P324" i="2"/>
  <c r="Q356" i="2"/>
  <c r="P356" i="2"/>
  <c r="Q444" i="2"/>
  <c r="P444" i="2"/>
  <c r="Q527" i="2"/>
  <c r="P527" i="2"/>
  <c r="Q559" i="2"/>
  <c r="P559" i="2"/>
  <c r="Q570" i="2"/>
  <c r="P570" i="2"/>
  <c r="D4" i="3"/>
  <c r="P8" i="2"/>
  <c r="P16" i="2"/>
  <c r="Q375" i="2"/>
  <c r="P375" i="2"/>
  <c r="Q434" i="2"/>
  <c r="P434" i="2"/>
  <c r="P160" i="2"/>
  <c r="P224" i="2"/>
  <c r="Q252" i="2"/>
  <c r="P252" i="2"/>
  <c r="Q332" i="2"/>
  <c r="P332" i="2"/>
  <c r="I20" i="3"/>
  <c r="H20" i="3"/>
  <c r="I21" i="3"/>
  <c r="G20" i="3"/>
  <c r="H21" i="3"/>
  <c r="I22" i="3"/>
  <c r="G21" i="3"/>
  <c r="H22" i="3"/>
  <c r="G22" i="3"/>
  <c r="D37" i="3"/>
  <c r="B35" i="3"/>
  <c r="C37" i="3"/>
  <c r="B37" i="3"/>
  <c r="D36" i="3"/>
  <c r="C36" i="3"/>
  <c r="B36" i="3"/>
  <c r="D35" i="3"/>
  <c r="C35" i="3"/>
  <c r="P2" i="2"/>
  <c r="P155" i="2"/>
  <c r="Q284" i="2"/>
  <c r="P284" i="2"/>
  <c r="Q308" i="2"/>
  <c r="P308" i="2"/>
  <c r="Q374" i="2"/>
  <c r="P374" i="2"/>
  <c r="Q440" i="2"/>
  <c r="P440" i="2"/>
  <c r="C13" i="3"/>
  <c r="D14" i="3"/>
  <c r="B13" i="3"/>
  <c r="C14" i="3"/>
  <c r="B14" i="3"/>
  <c r="D11" i="3"/>
  <c r="C11" i="3"/>
  <c r="D12" i="3"/>
  <c r="B11" i="3"/>
  <c r="C12" i="3"/>
  <c r="D13" i="3"/>
  <c r="B12" i="3"/>
  <c r="B6" i="3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40" i="2"/>
  <c r="P156" i="2"/>
  <c r="P172" i="2"/>
  <c r="P204" i="2"/>
  <c r="P220" i="2"/>
  <c r="Q260" i="2"/>
  <c r="P260" i="2"/>
  <c r="Q340" i="2"/>
  <c r="P340" i="2"/>
  <c r="Q372" i="2"/>
  <c r="P372" i="2"/>
  <c r="P439" i="2"/>
  <c r="Q439" i="2"/>
  <c r="F4" i="3"/>
  <c r="Q3" i="2"/>
  <c r="P184" i="2"/>
  <c r="Q292" i="2"/>
  <c r="P292" i="2"/>
  <c r="G14" i="3"/>
  <c r="I11" i="3"/>
  <c r="H11" i="3"/>
  <c r="I12" i="3"/>
  <c r="G11" i="3"/>
  <c r="H12" i="3"/>
  <c r="I13" i="3"/>
  <c r="G12" i="3"/>
  <c r="H13" i="3"/>
  <c r="I14" i="3"/>
  <c r="G13" i="3"/>
  <c r="H14" i="3"/>
  <c r="Q236" i="2"/>
  <c r="P236" i="2"/>
  <c r="Q268" i="2"/>
  <c r="P268" i="2"/>
  <c r="Q316" i="2"/>
  <c r="P316" i="2"/>
  <c r="Q348" i="2"/>
  <c r="P348" i="2"/>
  <c r="B4" i="3"/>
  <c r="D6" i="3"/>
  <c r="Q446" i="2"/>
  <c r="P446" i="2"/>
  <c r="Q898" i="2"/>
  <c r="P898" i="2"/>
  <c r="Q504" i="2"/>
  <c r="P504" i="2"/>
  <c r="Q455" i="2"/>
  <c r="Q503" i="2"/>
  <c r="P503" i="2"/>
  <c r="Q535" i="2"/>
  <c r="P535" i="2"/>
  <c r="Q568" i="2"/>
  <c r="P568" i="2"/>
  <c r="Q512" i="2"/>
  <c r="P512" i="2"/>
  <c r="Q511" i="2"/>
  <c r="P511" i="2"/>
  <c r="Q543" i="2"/>
  <c r="P543" i="2"/>
  <c r="P379" i="2"/>
  <c r="Q431" i="2"/>
  <c r="P492" i="2"/>
  <c r="Q519" i="2"/>
  <c r="P519" i="2"/>
  <c r="Q551" i="2"/>
  <c r="P551" i="2"/>
  <c r="Q571" i="2"/>
  <c r="P571" i="2"/>
  <c r="P408" i="2"/>
  <c r="P414" i="2"/>
  <c r="Q415" i="2"/>
  <c r="Q479" i="2"/>
  <c r="Q496" i="2"/>
  <c r="P496" i="2"/>
  <c r="P576" i="2"/>
  <c r="P579" i="2"/>
  <c r="Q635" i="2"/>
  <c r="P635" i="2"/>
  <c r="Q797" i="2"/>
  <c r="P797" i="2"/>
  <c r="P569" i="2"/>
  <c r="Q739" i="2"/>
  <c r="P739" i="2"/>
  <c r="Q755" i="2"/>
  <c r="P755" i="2"/>
  <c r="Q771" i="2"/>
  <c r="P771" i="2"/>
  <c r="Q787" i="2"/>
  <c r="P787" i="2"/>
  <c r="Q595" i="2"/>
  <c r="P595" i="2"/>
  <c r="P596" i="2"/>
  <c r="P602" i="2"/>
  <c r="Q611" i="2"/>
  <c r="P611" i="2"/>
  <c r="P612" i="2"/>
  <c r="P626" i="2"/>
  <c r="Q643" i="2"/>
  <c r="P643" i="2"/>
  <c r="P644" i="2"/>
  <c r="Q667" i="2"/>
  <c r="P667" i="2"/>
  <c r="Q683" i="2"/>
  <c r="P683" i="2"/>
  <c r="Q699" i="2"/>
  <c r="P699" i="2"/>
  <c r="Q715" i="2"/>
  <c r="P715" i="2"/>
  <c r="P520" i="2"/>
  <c r="P528" i="2"/>
  <c r="P536" i="2"/>
  <c r="P544" i="2"/>
  <c r="P552" i="2"/>
  <c r="P560" i="2"/>
  <c r="Q619" i="2"/>
  <c r="P619" i="2"/>
  <c r="Q651" i="2"/>
  <c r="P651" i="2"/>
  <c r="Q723" i="2"/>
  <c r="P723" i="2"/>
  <c r="Q795" i="2"/>
  <c r="P795" i="2"/>
  <c r="P588" i="2"/>
  <c r="Q747" i="2"/>
  <c r="P747" i="2"/>
  <c r="Q763" i="2"/>
  <c r="P763" i="2"/>
  <c r="Q779" i="2"/>
  <c r="P779" i="2"/>
  <c r="P577" i="2"/>
  <c r="P580" i="2"/>
  <c r="P594" i="2"/>
  <c r="Q603" i="2"/>
  <c r="P603" i="2"/>
  <c r="P604" i="2"/>
  <c r="P610" i="2"/>
  <c r="Q627" i="2"/>
  <c r="P627" i="2"/>
  <c r="P628" i="2"/>
  <c r="P642" i="2"/>
  <c r="Q659" i="2"/>
  <c r="P659" i="2"/>
  <c r="Q675" i="2"/>
  <c r="P675" i="2"/>
  <c r="Q691" i="2"/>
  <c r="P691" i="2"/>
  <c r="Q707" i="2"/>
  <c r="P707" i="2"/>
  <c r="Q731" i="2"/>
  <c r="P731" i="2"/>
  <c r="Q798" i="2"/>
  <c r="P798" i="2"/>
  <c r="Q805" i="2"/>
  <c r="P805" i="2"/>
  <c r="Q874" i="2"/>
  <c r="P874" i="2"/>
  <c r="P796" i="2"/>
  <c r="P812" i="2"/>
  <c r="P813" i="2"/>
  <c r="P827" i="2"/>
  <c r="P875" i="2"/>
  <c r="P923" i="2"/>
  <c r="P947" i="2"/>
  <c r="P971" i="2"/>
  <c r="P804" i="2"/>
  <c r="P819" i="2"/>
  <c r="P826" i="2"/>
  <c r="P851" i="2"/>
  <c r="Q890" i="2"/>
  <c r="P890" i="2"/>
  <c r="P922" i="2"/>
  <c r="P946" i="2"/>
  <c r="P970" i="2"/>
  <c r="Q906" i="2"/>
  <c r="P906" i="2"/>
  <c r="P802" i="2"/>
  <c r="P803" i="2"/>
  <c r="P810" i="2"/>
  <c r="P867" i="2"/>
  <c r="P907" i="2"/>
  <c r="P930" i="2"/>
  <c r="P955" i="2"/>
  <c r="P978" i="2"/>
  <c r="Q986" i="2"/>
  <c r="P986" i="2"/>
  <c r="Q882" i="2"/>
  <c r="P882" i="2"/>
  <c r="P987" i="2"/>
  <c r="Q995" i="2"/>
  <c r="P995" i="2"/>
  <c r="Q914" i="2"/>
  <c r="P914" i="2"/>
  <c r="P994" i="2"/>
  <c r="F6" i="3" l="1"/>
</calcChain>
</file>

<file path=xl/sharedStrings.xml><?xml version="1.0" encoding="utf-8"?>
<sst xmlns="http://schemas.openxmlformats.org/spreadsheetml/2006/main" count="7090" uniqueCount="1088">
  <si>
    <t>Order_ID</t>
  </si>
  <si>
    <t>Order_Date</t>
  </si>
  <si>
    <t>Region</t>
  </si>
  <si>
    <t>City</t>
  </si>
  <si>
    <t>Category</t>
  </si>
  <si>
    <t>Product</t>
  </si>
  <si>
    <t>Customer_Segment</t>
  </si>
  <si>
    <t>Sales_Channel</t>
  </si>
  <si>
    <t>Quantity</t>
  </si>
  <si>
    <t>Unit_Price</t>
  </si>
  <si>
    <t>Discount_Rate</t>
  </si>
  <si>
    <t>Sales_Revenue</t>
  </si>
  <si>
    <t>Cost</t>
  </si>
  <si>
    <t>Profit</t>
  </si>
  <si>
    <t>ORD-0782</t>
  </si>
  <si>
    <t>West</t>
  </si>
  <si>
    <t>Pune</t>
  </si>
  <si>
    <t>Home &amp; Kitchen</t>
  </si>
  <si>
    <t>Coffee Maker</t>
  </si>
  <si>
    <t>Small Business</t>
  </si>
  <si>
    <t>Marketplace</t>
  </si>
  <si>
    <t>ORD-0024</t>
  </si>
  <si>
    <t>Consumer</t>
  </si>
  <si>
    <t>Online</t>
  </si>
  <si>
    <t>ORD-0537</t>
  </si>
  <si>
    <t>North</t>
  </si>
  <si>
    <t>Delhi</t>
  </si>
  <si>
    <t>Furniture</t>
  </si>
  <si>
    <t>Office Chair</t>
  </si>
  <si>
    <t>Corporate</t>
  </si>
  <si>
    <t>In-Store</t>
  </si>
  <si>
    <t>ORD-0075</t>
  </si>
  <si>
    <t>East</t>
  </si>
  <si>
    <t>Guwahati</t>
  </si>
  <si>
    <t>Lunch Box</t>
  </si>
  <si>
    <t>ORD-0769</t>
  </si>
  <si>
    <t>Bhubaneswar</t>
  </si>
  <si>
    <t>Technology</t>
  </si>
  <si>
    <t>Headphones</t>
  </si>
  <si>
    <t>ORD-0295</t>
  </si>
  <si>
    <t>South</t>
  </si>
  <si>
    <t>Hyderabad</t>
  </si>
  <si>
    <t>Wireless Mouse</t>
  </si>
  <si>
    <t>ORD-0331</t>
  </si>
  <si>
    <t>Water Bottle</t>
  </si>
  <si>
    <t>ORD-0735</t>
  </si>
  <si>
    <t>Ahmedabad</t>
  </si>
  <si>
    <t>ORD-0241</t>
  </si>
  <si>
    <t>Standing Desk</t>
  </si>
  <si>
    <t>ORD-0666</t>
  </si>
  <si>
    <t>Bengaluru</t>
  </si>
  <si>
    <t>Keyboard</t>
  </si>
  <si>
    <t>ORD-0259</t>
  </si>
  <si>
    <t>Office Supplies</t>
  </si>
  <si>
    <t>Pen Set</t>
  </si>
  <si>
    <t>ORD-0361</t>
  </si>
  <si>
    <t>ORD-0443</t>
  </si>
  <si>
    <t>Kolkata</t>
  </si>
  <si>
    <t>ORD-0624</t>
  </si>
  <si>
    <t>Mumbai</t>
  </si>
  <si>
    <t>ORD-0611</t>
  </si>
  <si>
    <t>ORD-0407</t>
  </si>
  <si>
    <t>ORD-0203</t>
  </si>
  <si>
    <t>ORD-0920</t>
  </si>
  <si>
    <t>ORD-0128</t>
  </si>
  <si>
    <t>ORD-0926</t>
  </si>
  <si>
    <t>Desk Organizer</t>
  </si>
  <si>
    <t>ORD-0475</t>
  </si>
  <si>
    <t>Desk Lamp</t>
  </si>
  <si>
    <t>ORD-0810</t>
  </si>
  <si>
    <t>ORD-0650</t>
  </si>
  <si>
    <t>Chennai</t>
  </si>
  <si>
    <t>ORD-0828</t>
  </si>
  <si>
    <t>ORD-0517</t>
  </si>
  <si>
    <t>Chandigarh</t>
  </si>
  <si>
    <t>USB Hub</t>
  </si>
  <si>
    <t>ORD-0547</t>
  </si>
  <si>
    <t>ORD-0801</t>
  </si>
  <si>
    <t>ORD-0204</t>
  </si>
  <si>
    <t>Bookshelf</t>
  </si>
  <si>
    <t>ORD-0253</t>
  </si>
  <si>
    <t>ORD-0844</t>
  </si>
  <si>
    <t>ORD-0458</t>
  </si>
  <si>
    <t>Printer Paper</t>
  </si>
  <si>
    <t>ORD-0071</t>
  </si>
  <si>
    <t>ORD-0372</t>
  </si>
  <si>
    <t>ORD-0971</t>
  </si>
  <si>
    <t>Storage Box</t>
  </si>
  <si>
    <t>ORD-0485</t>
  </si>
  <si>
    <t>ORD-0153</t>
  </si>
  <si>
    <t>ORD-0432</t>
  </si>
  <si>
    <t>ORD-0015</t>
  </si>
  <si>
    <t>ORD-0516</t>
  </si>
  <si>
    <t>ORD-0488</t>
  </si>
  <si>
    <t>ORD-0468</t>
  </si>
  <si>
    <t>ORD-0994</t>
  </si>
  <si>
    <t>ORD-0300</t>
  </si>
  <si>
    <t>Jaipur</t>
  </si>
  <si>
    <t>ORD-0959</t>
  </si>
  <si>
    <t>ORD-0797</t>
  </si>
  <si>
    <t>ORD-0395</t>
  </si>
  <si>
    <t>ORD-0627</t>
  </si>
  <si>
    <t>ORD-0526</t>
  </si>
  <si>
    <t>ORD-0681</t>
  </si>
  <si>
    <t>ORD-0675</t>
  </si>
  <si>
    <t>ORD-0777</t>
  </si>
  <si>
    <t>ORD-0451</t>
  </si>
  <si>
    <t>ORD-0867</t>
  </si>
  <si>
    <t>ORD-0768</t>
  </si>
  <si>
    <t>ORD-0315</t>
  </si>
  <si>
    <t>ORD-0521</t>
  </si>
  <si>
    <t>ORD-0311</t>
  </si>
  <si>
    <t>ORD-0677</t>
  </si>
  <si>
    <t>ORD-0585</t>
  </si>
  <si>
    <t>ORD-0164</t>
  </si>
  <si>
    <t>Notebook Pack</t>
  </si>
  <si>
    <t>ORD-0384</t>
  </si>
  <si>
    <t>ORD-0683</t>
  </si>
  <si>
    <t>ORD-0138</t>
  </si>
  <si>
    <t>ORD-0080</t>
  </si>
  <si>
    <t>ORD-0928</t>
  </si>
  <si>
    <t>ORD-0531</t>
  </si>
  <si>
    <t>ORD-0431</t>
  </si>
  <si>
    <t>ORD-0222</t>
  </si>
  <si>
    <t>ORD-0836</t>
  </si>
  <si>
    <t>ORD-0640</t>
  </si>
  <si>
    <t>ORD-0129</t>
  </si>
  <si>
    <t>ORD-0507</t>
  </si>
  <si>
    <t>ORD-0961</t>
  </si>
  <si>
    <t>ORD-0513</t>
  </si>
  <si>
    <t>ORD-0907</t>
  </si>
  <si>
    <t>ORD-0733</t>
  </si>
  <si>
    <t>ORD-0979</t>
  </si>
  <si>
    <t>ORD-0509</t>
  </si>
  <si>
    <t>ORD-0125</t>
  </si>
  <si>
    <t>ORD-0023</t>
  </si>
  <si>
    <t>ORD-0740</t>
  </si>
  <si>
    <t>ORD-0704</t>
  </si>
  <si>
    <t>ORD-0778</t>
  </si>
  <si>
    <t>ORD-0937</t>
  </si>
  <si>
    <t>ORD-0409</t>
  </si>
  <si>
    <t>ORD-0381</t>
  </si>
  <si>
    <t>ORD-0969</t>
  </si>
  <si>
    <t>ORD-0800</t>
  </si>
  <si>
    <t>ORD-0550</t>
  </si>
  <si>
    <t>ORD-0725</t>
  </si>
  <si>
    <t>ORD-0346</t>
  </si>
  <si>
    <t>ORD-0377</t>
  </si>
  <si>
    <t>ORD-0074</t>
  </si>
  <si>
    <t>ORD-0854</t>
  </si>
  <si>
    <t>ORD-0875</t>
  </si>
  <si>
    <t>ORD-0847</t>
  </si>
  <si>
    <t>ORD-0830</t>
  </si>
  <si>
    <t>ORD-0012</t>
  </si>
  <si>
    <t>ORD-0018</t>
  </si>
  <si>
    <t>ORD-0564</t>
  </si>
  <si>
    <t>ORD-0345</t>
  </si>
  <si>
    <t>ORD-0792</t>
  </si>
  <si>
    <t>ORD-0542</t>
  </si>
  <si>
    <t>ORD-0493</t>
  </si>
  <si>
    <t>ORD-0287</t>
  </si>
  <si>
    <t>ORD-0784</t>
  </si>
  <si>
    <t>ORD-0569</t>
  </si>
  <si>
    <t>ORD-0006</t>
  </si>
  <si>
    <t>ORD-0670</t>
  </si>
  <si>
    <t>ORD-0016</t>
  </si>
  <si>
    <t>ORD-0093</t>
  </si>
  <si>
    <t>ORD-0600</t>
  </si>
  <si>
    <t>ORD-0495</t>
  </si>
  <si>
    <t>ORD-0481</t>
  </si>
  <si>
    <t>ORD-0183</t>
  </si>
  <si>
    <t>ORD-0798</t>
  </si>
  <si>
    <t>ORD-0163</t>
  </si>
  <si>
    <t>ORD-0977</t>
  </si>
  <si>
    <t>ORD-0245</t>
  </si>
  <si>
    <t>ORD-0918</t>
  </si>
  <si>
    <t>ORD-0324</t>
  </si>
  <si>
    <t>ORD-0221</t>
  </si>
  <si>
    <t>ORD-0455</t>
  </si>
  <si>
    <t>ORD-0289</t>
  </si>
  <si>
    <t>ORD-0730</t>
  </si>
  <si>
    <t>ORD-0175</t>
  </si>
  <si>
    <t>ORD-0723</t>
  </si>
  <si>
    <t>ORD-0207</t>
  </si>
  <si>
    <t>ORD-0154</t>
  </si>
  <si>
    <t>ORD-0649</t>
  </si>
  <si>
    <t>ORD-0269</t>
  </si>
  <si>
    <t>ORD-0002</t>
  </si>
  <si>
    <t>ORD-0473</t>
  </si>
  <si>
    <t>ORD-0772</t>
  </si>
  <si>
    <t>ORD-0357</t>
  </si>
  <si>
    <t>ORD-0771</t>
  </si>
  <si>
    <t>ORD-0307</t>
  </si>
  <si>
    <t>ORD-0333</t>
  </si>
  <si>
    <t>ORD-0119</t>
  </si>
  <si>
    <t>ORD-0562</t>
  </si>
  <si>
    <t>ORD-0302</t>
  </si>
  <si>
    <t>ORD-0118</t>
  </si>
  <si>
    <t>ORD-0235</t>
  </si>
  <si>
    <t>ORD-0871</t>
  </si>
  <si>
    <t>ORD-0497</t>
  </si>
  <si>
    <t>ORD-0589</t>
  </si>
  <si>
    <t>ORD-0225</t>
  </si>
  <si>
    <t>ORD-0703</t>
  </si>
  <si>
    <t>ORD-0955</t>
  </si>
  <si>
    <t>ORD-0036</t>
  </si>
  <si>
    <t>ORD-0970</t>
  </si>
  <si>
    <t>ORD-0014</t>
  </si>
  <si>
    <t>ORD-0750</t>
  </si>
  <si>
    <t>ORD-0368</t>
  </si>
  <si>
    <t>ORD-0991</t>
  </si>
  <si>
    <t>ORD-0663</t>
  </si>
  <si>
    <t>ORD-0927</t>
  </si>
  <si>
    <t>ORD-0115</t>
  </si>
  <si>
    <t>ORD-0705</t>
  </si>
  <si>
    <t>ORD-0833</t>
  </si>
  <si>
    <t>ORD-0320</t>
  </si>
  <si>
    <t>ORD-0936</t>
  </si>
  <si>
    <t>ORD-0615</t>
  </si>
  <si>
    <t>ORD-0584</t>
  </si>
  <si>
    <t>ORD-0126</t>
  </si>
  <si>
    <t>ORD-0058</t>
  </si>
  <si>
    <t>ORD-0660</t>
  </si>
  <si>
    <t>ORD-0886</t>
  </si>
  <si>
    <t>ORD-0929</t>
  </si>
  <si>
    <t>ORD-0709</t>
  </si>
  <si>
    <t>ORD-0614</t>
  </si>
  <si>
    <t>ORD-0823</t>
  </si>
  <si>
    <t>ORD-0280</t>
  </si>
  <si>
    <t>ORD-0359</t>
  </si>
  <si>
    <t>ORD-0674</t>
  </si>
  <si>
    <t>ORD-0794</t>
  </si>
  <si>
    <t>ORD-0367</t>
  </si>
  <si>
    <t>ORD-0664</t>
  </si>
  <si>
    <t>ORD-0113</t>
  </si>
  <si>
    <t>ORD-0662</t>
  </si>
  <si>
    <t>ORD-0612</t>
  </si>
  <si>
    <t>ORD-0908</t>
  </si>
  <si>
    <t>ORD-0572</t>
  </si>
  <si>
    <t>ORD-0310</t>
  </si>
  <si>
    <t>ORD-0804</t>
  </si>
  <si>
    <t>ORD-0178</t>
  </si>
  <si>
    <t>ORD-0638</t>
  </si>
  <si>
    <t>ORD-0144</t>
  </si>
  <si>
    <t>ORD-0272</t>
  </si>
  <si>
    <t>ORD-0434</t>
  </si>
  <si>
    <t>ORD-0156</t>
  </si>
  <si>
    <t>ORD-0706</t>
  </si>
  <si>
    <t>ORD-0303</t>
  </si>
  <si>
    <t>ORD-0575</t>
  </si>
  <si>
    <t>ORD-0462</t>
  </si>
  <si>
    <t>ORD-0820</t>
  </si>
  <si>
    <t>ORD-0055</t>
  </si>
  <si>
    <t>ORD-0107</t>
  </si>
  <si>
    <t>ORD-0502</t>
  </si>
  <si>
    <t>ORD-0957</t>
  </si>
  <si>
    <t>ORD-0906</t>
  </si>
  <si>
    <t>ORD-0987</t>
  </si>
  <si>
    <t>ORD-0354</t>
  </si>
  <si>
    <t>ORD-0644</t>
  </si>
  <si>
    <t>ORD-0244</t>
  </si>
  <si>
    <t>ORD-0968</t>
  </si>
  <si>
    <t>ORD-0250</t>
  </si>
  <si>
    <t>ORD-0283</t>
  </si>
  <si>
    <t>ORD-0835</t>
  </si>
  <si>
    <t>ORD-0776</t>
  </si>
  <si>
    <t>ORD-0433</t>
  </si>
  <si>
    <t>ORD-0765</t>
  </si>
  <si>
    <t>ORD-0597</t>
  </si>
  <si>
    <t>ORD-0396</t>
  </si>
  <si>
    <t>ORD-0133</t>
  </si>
  <si>
    <t>ORD-0570</t>
  </si>
  <si>
    <t>ORD-0763</t>
  </si>
  <si>
    <t>ORD-0647</t>
  </si>
  <si>
    <t>ORD-0047</t>
  </si>
  <si>
    <t>ORD-0641</t>
  </si>
  <si>
    <t>ORD-0232</t>
  </si>
  <si>
    <t>ORD-0558</t>
  </si>
  <si>
    <t>ORD-0963</t>
  </si>
  <si>
    <t>ORD-0051</t>
  </si>
  <si>
    <t>ORD-0862</t>
  </si>
  <si>
    <t>ORD-0652</t>
  </si>
  <si>
    <t>ORD-0206</t>
  </si>
  <si>
    <t>ORD-0143</t>
  </si>
  <si>
    <t>ORD-0305</t>
  </si>
  <si>
    <t>ORD-0321</t>
  </si>
  <si>
    <t>ORD-0429</t>
  </si>
  <si>
    <t>ORD-0097</t>
  </si>
  <si>
    <t>ORD-0524</t>
  </si>
  <si>
    <t>ORD-0424</t>
  </si>
  <si>
    <t>ORD-0973</t>
  </si>
  <si>
    <t>ORD-0843</t>
  </si>
  <si>
    <t>ORD-0665</t>
  </si>
  <si>
    <t>ORD-0904</t>
  </si>
  <si>
    <t>ORD-0490</t>
  </si>
  <si>
    <t>ORD-0865</t>
  </si>
  <si>
    <t>ORD-0726</t>
  </si>
  <si>
    <t>ORD-0208</t>
  </si>
  <si>
    <t>ORD-0054</t>
  </si>
  <si>
    <t>ORD-0257</t>
  </si>
  <si>
    <t>ORD-0337</t>
  </si>
  <si>
    <t>ORD-0294</t>
  </si>
  <si>
    <t>ORD-0896</t>
  </si>
  <si>
    <t>ORD-0922</t>
  </si>
  <si>
    <t>ORD-0914</t>
  </si>
  <si>
    <t>ORD-0609</t>
  </si>
  <si>
    <t>ORD-0661</t>
  </si>
  <si>
    <t>ORD-0746</t>
  </si>
  <si>
    <t>ORD-0849</t>
  </si>
  <si>
    <t>ORD-0574</t>
  </si>
  <si>
    <t>ORD-0350</t>
  </si>
  <si>
    <t>ORD-0043</t>
  </si>
  <si>
    <t>ORD-0449</t>
  </si>
  <si>
    <t>ORD-0112</t>
  </si>
  <si>
    <t>ORD-0322</t>
  </si>
  <si>
    <t>ORD-0318</t>
  </si>
  <si>
    <t>ORD-0390</t>
  </si>
  <si>
    <t>ORD-0472</t>
  </si>
  <si>
    <t>ORD-0602</t>
  </si>
  <si>
    <t>ORD-0561</t>
  </si>
  <si>
    <t>ORD-0596</t>
  </si>
  <si>
    <t>ORD-0634</t>
  </si>
  <si>
    <t>ORD-0775</t>
  </si>
  <si>
    <t>ORD-0667</t>
  </si>
  <si>
    <t>ORD-0953</t>
  </si>
  <si>
    <t>ORD-0903</t>
  </si>
  <si>
    <t>ORD-0707</t>
  </si>
  <si>
    <t>ORD-0873</t>
  </si>
  <si>
    <t>ORD-0157</t>
  </si>
  <si>
    <t>ORD-0258</t>
  </si>
  <si>
    <t>ORD-0026</t>
  </si>
  <si>
    <t>ORD-0734</t>
  </si>
  <si>
    <t>ORD-0577</t>
  </si>
  <si>
    <t>ORD-0925</t>
  </si>
  <si>
    <t>ORD-0827</t>
  </si>
  <si>
    <t>ORD-0355</t>
  </si>
  <si>
    <t>ORD-0492</t>
  </si>
  <si>
    <t>ORD-0737</t>
  </si>
  <si>
    <t>ORD-0773</t>
  </si>
  <si>
    <t>ORD-0265</t>
  </si>
  <si>
    <t>ORD-0620</t>
  </si>
  <si>
    <t>ORD-0510</t>
  </si>
  <si>
    <t>ORD-0319</t>
  </si>
  <si>
    <t>ORD-0084</t>
  </si>
  <si>
    <t>ORD-0270</t>
  </si>
  <si>
    <t>ORD-0945</t>
  </si>
  <si>
    <t>ORD-0523</t>
  </si>
  <si>
    <t>ORD-0369</t>
  </si>
  <si>
    <t>ORD-0215</t>
  </si>
  <si>
    <t>ORD-0948</t>
  </si>
  <si>
    <t>ORD-0032</t>
  </si>
  <si>
    <t>ORD-0325</t>
  </si>
  <si>
    <t>ORD-0826</t>
  </si>
  <si>
    <t>ORD-0430</t>
  </si>
  <si>
    <t>ORD-0223</t>
  </si>
  <si>
    <t>ORD-0759</t>
  </si>
  <si>
    <t>ORD-0349</t>
  </si>
  <si>
    <t>ORD-0279</t>
  </si>
  <si>
    <t>ORD-0388</t>
  </si>
  <si>
    <t>ORD-0648</t>
  </si>
  <si>
    <t>ORD-0463</t>
  </si>
  <si>
    <t>ORD-0268</t>
  </si>
  <si>
    <t>ORD-0275</t>
  </si>
  <si>
    <t>ORD-0839</t>
  </si>
  <si>
    <t>ORD-0025</t>
  </si>
  <si>
    <t>ORD-0538</t>
  </si>
  <si>
    <t>ORD-0011</t>
  </si>
  <si>
    <t>ORD-0857</t>
  </si>
  <si>
    <t>ORD-0789</t>
  </si>
  <si>
    <t>ORD-0121</t>
  </si>
  <si>
    <t>ORD-0885</t>
  </si>
  <si>
    <t>ORD-0077</t>
  </si>
  <si>
    <t>ORD-0891</t>
  </si>
  <si>
    <t>ORD-0335</t>
  </si>
  <si>
    <t>ORD-0809</t>
  </si>
  <si>
    <t>ORD-0019</t>
  </si>
  <si>
    <t>ORD-0856</t>
  </si>
  <si>
    <t>ORD-0518</t>
  </si>
  <si>
    <t>ORD-0096</t>
  </si>
  <si>
    <t>ORD-0744</t>
  </si>
  <si>
    <t>ORD-0822</t>
  </si>
  <si>
    <t>ORD-0832</t>
  </si>
  <si>
    <t>ORD-0853</t>
  </si>
  <si>
    <t>ORD-0454</t>
  </si>
  <si>
    <t>ORD-0573</t>
  </si>
  <si>
    <t>ORD-0461</t>
  </si>
  <si>
    <t>ORD-0682</t>
  </si>
  <si>
    <t>ORD-0459</t>
  </si>
  <si>
    <t>ORD-0947</t>
  </si>
  <si>
    <t>ORD-0290</t>
  </si>
  <si>
    <t>ORD-0316</t>
  </si>
  <si>
    <t>ORD-0610</t>
  </si>
  <si>
    <t>ORD-0774</t>
  </si>
  <si>
    <t>ORD-0989</t>
  </si>
  <si>
    <t>ORD-0932</t>
  </si>
  <si>
    <t>ORD-0240</t>
  </si>
  <si>
    <t>ORD-0214</t>
  </si>
  <si>
    <t>ORD-0284</t>
  </si>
  <si>
    <t>ORD-0147</t>
  </si>
  <si>
    <t>ORD-0616</t>
  </si>
  <si>
    <t>ORD-0594</t>
  </si>
  <si>
    <t>ORD-0869</t>
  </si>
  <si>
    <t>ORD-0732</t>
  </si>
  <si>
    <t>ORD-0909</t>
  </si>
  <si>
    <t>ORD-0210</t>
  </si>
  <si>
    <t>ORD-0501</t>
  </si>
  <si>
    <t>ORD-0504</t>
  </si>
  <si>
    <t>ORD-0884</t>
  </si>
  <si>
    <t>ORD-0373</t>
  </si>
  <si>
    <t>ORD-0292</t>
  </si>
  <si>
    <t>ORD-0915</t>
  </si>
  <si>
    <t>ORD-0226</t>
  </si>
  <si>
    <t>ORD-0353</t>
  </si>
  <si>
    <t>ORD-0334</t>
  </si>
  <si>
    <t>ORD-0708</t>
  </si>
  <si>
    <t>ORD-0182</t>
  </si>
  <si>
    <t>ORD-0949</t>
  </si>
  <si>
    <t>ORD-0686</t>
  </si>
  <si>
    <t>ORD-0104</t>
  </si>
  <si>
    <t>ORD-0876</t>
  </si>
  <si>
    <t>ORD-0599</t>
  </si>
  <si>
    <t>ORD-0728</t>
  </si>
  <si>
    <t>ORD-0690</t>
  </si>
  <si>
    <t>ORD-0479</t>
  </si>
  <si>
    <t>ORD-0956</t>
  </si>
  <si>
    <t>ORD-0068</t>
  </si>
  <si>
    <t>ORD-0528</t>
  </si>
  <si>
    <t>ORD-0239</t>
  </si>
  <si>
    <t>ORD-0673</t>
  </si>
  <si>
    <t>ORD-0656</t>
  </si>
  <si>
    <t>ORD-0293</t>
  </si>
  <si>
    <t>ORD-0148</t>
  </si>
  <si>
    <t>ORD-0912</t>
  </si>
  <si>
    <t>ORD-0890</t>
  </si>
  <si>
    <t>ORD-0166</t>
  </si>
  <si>
    <t>ORD-0623</t>
  </si>
  <si>
    <t>ORD-0964</t>
  </si>
  <si>
    <t>ORD-0791</t>
  </si>
  <si>
    <t>ORD-0699</t>
  </si>
  <si>
    <t>ORD-0004</t>
  </si>
  <si>
    <t>ORD-0343</t>
  </si>
  <si>
    <t>ORD-0065</t>
  </si>
  <si>
    <t>ORD-0551</t>
  </si>
  <si>
    <t>ORD-0950</t>
  </si>
  <si>
    <t>ORD-0030</t>
  </si>
  <si>
    <t>ORD-0592</t>
  </si>
  <si>
    <t>ORD-0474</t>
  </si>
  <si>
    <t>ORD-0583</t>
  </si>
  <si>
    <t>ORD-0050</t>
  </si>
  <si>
    <t>ORD-0264</t>
  </si>
  <si>
    <t>ORD-0514</t>
  </si>
  <si>
    <t>ORD-0082</t>
  </si>
  <si>
    <t>ORD-0416</t>
  </si>
  <si>
    <t>ORD-0199</t>
  </si>
  <si>
    <t>ORD-0130</t>
  </si>
  <si>
    <t>ORD-0179</t>
  </si>
  <si>
    <t>ORD-0176</t>
  </si>
  <si>
    <t>ORD-0271</t>
  </si>
  <si>
    <t>ORD-0651</t>
  </si>
  <si>
    <t>ORD-0393</t>
  </si>
  <si>
    <t>ORD-0086</t>
  </si>
  <si>
    <t>ORD-0532</t>
  </si>
  <si>
    <t>ORD-0923</t>
  </si>
  <si>
    <t>ORD-0358</t>
  </si>
  <si>
    <t>ORD-0626</t>
  </si>
  <si>
    <t>ORD-0901</t>
  </si>
  <si>
    <t>ORD-0088</t>
  </si>
  <si>
    <t>ORD-0484</t>
  </si>
  <si>
    <t>ORD-0540</t>
  </si>
  <si>
    <t>ORD-0761</t>
  </si>
  <si>
    <t>ORD-0996</t>
  </si>
  <si>
    <t>ORD-0571</t>
  </si>
  <si>
    <t>ORD-0186</t>
  </si>
  <si>
    <t>ORD-0281</t>
  </si>
  <si>
    <t>ORD-0336</t>
  </si>
  <si>
    <t>ORD-0094</t>
  </si>
  <si>
    <t>ORD-0098</t>
  </si>
  <si>
    <t>ORD-0882</t>
  </si>
  <si>
    <t>ORD-0152</t>
  </si>
  <si>
    <t>ORD-0962</t>
  </si>
  <si>
    <t>ORD-0688</t>
  </si>
  <si>
    <t>ORD-0582</t>
  </si>
  <si>
    <t>ORD-0246</t>
  </si>
  <si>
    <t>ORD-0913</t>
  </si>
  <si>
    <t>ORD-0418</t>
  </si>
  <si>
    <t>ORD-0604</t>
  </si>
  <si>
    <t>ORD-0552</t>
  </si>
  <si>
    <t>ORD-0301</t>
  </si>
  <si>
    <t>ORD-0978</t>
  </si>
  <si>
    <t>ORD-0042</t>
  </si>
  <si>
    <t>ORD-0985</t>
  </si>
  <si>
    <t>ORD-0470</t>
  </si>
  <si>
    <t>ORD-0480</t>
  </si>
  <si>
    <t>ORD-0364</t>
  </si>
  <si>
    <t>ORD-0028</t>
  </si>
  <si>
    <t>ORD-0976</t>
  </si>
  <si>
    <t>ORD-0591</t>
  </si>
  <si>
    <t>ORD-0887</t>
  </si>
  <si>
    <t>ORD-0189</t>
  </si>
  <si>
    <t>ORD-0009</t>
  </si>
  <si>
    <t>ORD-0304</t>
  </si>
  <si>
    <t>ORD-0158</t>
  </si>
  <si>
    <t>ORD-0779</t>
  </si>
  <si>
    <t>ORD-0286</t>
  </si>
  <si>
    <t>ORD-0317</t>
  </si>
  <si>
    <t>ORD-0998</t>
  </si>
  <si>
    <t>ORD-0217</t>
  </si>
  <si>
    <t>ORD-0044</t>
  </si>
  <si>
    <t>ORD-0224</t>
  </si>
  <si>
    <t>ORD-0534</t>
  </si>
  <si>
    <t>ORD-0426</t>
  </si>
  <si>
    <t>ORD-0595</t>
  </si>
  <si>
    <t>ORD-0173</t>
  </si>
  <si>
    <t>ORD-0618</t>
  </si>
  <si>
    <t>ORD-0829</t>
  </si>
  <si>
    <t>ORD-0298</t>
  </si>
  <si>
    <t>ORD-0816</t>
  </si>
  <si>
    <t>ORD-0808</t>
  </si>
  <si>
    <t>ORD-0375</t>
  </si>
  <si>
    <t>ORD-0401</t>
  </si>
  <si>
    <t>ORD-0196</t>
  </si>
  <si>
    <t>ORD-0382</t>
  </si>
  <si>
    <t>ORD-0132</t>
  </si>
  <si>
    <t>ORD-0185</t>
  </si>
  <si>
    <t>ORD-0037</t>
  </si>
  <si>
    <t>ORD-0548</t>
  </si>
  <si>
    <t>ORD-0938</t>
  </si>
  <si>
    <t>ORD-0150</t>
  </si>
  <si>
    <t>ORD-0748</t>
  </si>
  <si>
    <t>ORD-0972</t>
  </si>
  <si>
    <t>ORD-0608</t>
  </si>
  <si>
    <t>ORD-0892</t>
  </si>
  <si>
    <t>ORD-0560</t>
  </si>
  <si>
    <t>ORD-0672</t>
  </si>
  <si>
    <t>ORD-0139</t>
  </si>
  <si>
    <t>ORD-0385</t>
  </si>
  <si>
    <t>ORD-0729</t>
  </si>
  <si>
    <t>ORD-0659</t>
  </si>
  <si>
    <t>ORD-0124</t>
  </si>
  <si>
    <t>ORD-0328</t>
  </si>
  <si>
    <t>ORD-0191</t>
  </si>
  <si>
    <t>ORD-0348</t>
  </si>
  <si>
    <t>ORD-0172</t>
  </si>
  <si>
    <t>ORD-0870</t>
  </si>
  <si>
    <t>ORD-0464</t>
  </si>
  <si>
    <t>ORD-0825</t>
  </si>
  <si>
    <t>ORD-0520</t>
  </si>
  <si>
    <t>ORD-0255</t>
  </si>
  <si>
    <t>ORD-0162</t>
  </si>
  <si>
    <t>ORD-0447</t>
  </si>
  <si>
    <t>ORD-0181</t>
  </si>
  <si>
    <t>ORD-0632</t>
  </si>
  <si>
    <t>ORD-0100</t>
  </si>
  <si>
    <t>ORD-0120</t>
  </si>
  <si>
    <t>ORD-0487</t>
  </si>
  <si>
    <t>ORD-0471</t>
  </si>
  <si>
    <t>ORD-0371</t>
  </si>
  <si>
    <t>ORD-0378</t>
  </si>
  <si>
    <t>ORD-0402</t>
  </si>
  <si>
    <t>ORD-0939</t>
  </si>
  <si>
    <t>ORD-0967</t>
  </si>
  <si>
    <t>ORD-0460</t>
  </si>
  <si>
    <t>ORD-0563</t>
  </si>
  <si>
    <t>ORD-0007</t>
  </si>
  <si>
    <t>ORD-0986</t>
  </si>
  <si>
    <t>ORD-0102</t>
  </si>
  <si>
    <t>ORD-0578</t>
  </si>
  <si>
    <t>ORD-0630</t>
  </si>
  <si>
    <t>ORD-0109</t>
  </si>
  <si>
    <t>ORD-0146</t>
  </si>
  <si>
    <t>ORD-0764</t>
  </si>
  <si>
    <t>ORD-0425</t>
  </si>
  <si>
    <t>ORD-0916</t>
  </si>
  <si>
    <t>ORD-0500</t>
  </si>
  <si>
    <t>ORD-0818</t>
  </si>
  <si>
    <t>ORD-0815</t>
  </si>
  <si>
    <t>ORD-0363</t>
  </si>
  <si>
    <t>ORD-0846</t>
  </si>
  <si>
    <t>ORD-0184</t>
  </si>
  <si>
    <t>ORD-0788</t>
  </si>
  <si>
    <t>ORD-0874</t>
  </si>
  <si>
    <t>ORD-0212</t>
  </si>
  <si>
    <t>ORD-0234</t>
  </si>
  <si>
    <t>ORD-0684</t>
  </si>
  <si>
    <t>ORD-0770</t>
  </si>
  <si>
    <t>ORD-0491</t>
  </si>
  <si>
    <t>ORD-0405</t>
  </si>
  <si>
    <t>ORD-0713</t>
  </si>
  <si>
    <t>ORD-0669</t>
  </si>
  <si>
    <t>ORD-0482</t>
  </si>
  <si>
    <t>ORD-0155</t>
  </si>
  <si>
    <t>ORD-0701</t>
  </si>
  <si>
    <t>ORD-0984</t>
  </si>
  <si>
    <t>ORD-0697</t>
  </si>
  <si>
    <t>ORD-0476</t>
  </si>
  <si>
    <t>ORD-0930</t>
  </si>
  <si>
    <t>ORD-0980</t>
  </si>
  <si>
    <t>ORD-0141</t>
  </si>
  <si>
    <t>ORD-0261</t>
  </si>
  <si>
    <t>ORD-0213</t>
  </si>
  <si>
    <t>ORD-0838</t>
  </si>
  <si>
    <t>ORD-0010</t>
  </si>
  <si>
    <t>ORD-0149</t>
  </si>
  <si>
    <t>ORD-0864</t>
  </si>
  <si>
    <t>ORD-0944</t>
  </si>
  <si>
    <t>ORD-0092</t>
  </si>
  <si>
    <t>ORD-0347</t>
  </si>
  <si>
    <t>ORD-0841</t>
  </si>
  <si>
    <t>ORD-0376</t>
  </si>
  <si>
    <t>ORD-0566</t>
  </si>
  <si>
    <t>ORD-0216</t>
  </si>
  <si>
    <t>ORD-0755</t>
  </si>
  <si>
    <t>ORD-0934</t>
  </si>
  <si>
    <t>ORD-0309</t>
  </si>
  <si>
    <t>ORD-0878</t>
  </si>
  <si>
    <t>ORD-0601</t>
  </si>
  <si>
    <t>ORD-0072</t>
  </si>
  <si>
    <t>ORD-0403</t>
  </si>
  <si>
    <t>ORD-0366</t>
  </si>
  <si>
    <t>ORD-0758</t>
  </si>
  <si>
    <t>ORD-0410</t>
  </si>
  <si>
    <t>ORD-0202</t>
  </si>
  <si>
    <t>ORD-0935</t>
  </si>
  <si>
    <t>ORD-0438</t>
  </si>
  <si>
    <t>ORD-0330</t>
  </si>
  <si>
    <t>ORD-0106</t>
  </si>
  <si>
    <t>ORD-0754</t>
  </si>
  <si>
    <t>ORD-0095</t>
  </si>
  <si>
    <t>ORD-0145</t>
  </si>
  <si>
    <t>ORD-0525</t>
  </si>
  <si>
    <t>ORD-0787</t>
  </si>
  <si>
    <t>ORD-0229</t>
  </si>
  <si>
    <t>ORD-0243</t>
  </si>
  <si>
    <t>ORD-0753</t>
  </si>
  <si>
    <t>ORD-0576</t>
  </si>
  <si>
    <t>ORD-0496</t>
  </si>
  <si>
    <t>ORD-0837</t>
  </si>
  <si>
    <t>ORD-0745</t>
  </si>
  <si>
    <t>ORD-0506</t>
  </si>
  <si>
    <t>ORD-0187</t>
  </si>
  <si>
    <t>ORD-0219</t>
  </si>
  <si>
    <t>ORD-0942</t>
  </si>
  <si>
    <t>ORD-0326</t>
  </si>
  <si>
    <t>ORD-0313</t>
  </si>
  <si>
    <t>ORD-0711</t>
  </si>
  <si>
    <t>ORD-0466</t>
  </si>
  <si>
    <t>ORD-0056</t>
  </si>
  <si>
    <t>ORD-0796</t>
  </si>
  <si>
    <t>ORD-0760</t>
  </si>
  <si>
    <t>ORD-0033</t>
  </si>
  <si>
    <t>ORD-0954</t>
  </si>
  <si>
    <t>ORD-0821</t>
  </si>
  <si>
    <t>ORD-0859</t>
  </si>
  <si>
    <t>ORD-0917</t>
  </si>
  <si>
    <t>ORD-0277</t>
  </si>
  <si>
    <t>ORD-0035</t>
  </si>
  <si>
    <t>ORD-0717</t>
  </si>
  <si>
    <t>ORD-0511</t>
  </si>
  <si>
    <t>ORD-0834</t>
  </si>
  <si>
    <t>ORD-0040</t>
  </si>
  <si>
    <t>ORD-0952</t>
  </si>
  <si>
    <t>ORD-0691</t>
  </si>
  <si>
    <t>ORD-0693</t>
  </si>
  <si>
    <t>ORD-0131</t>
  </si>
  <si>
    <t>ORD-0041</t>
  </si>
  <si>
    <t>ORD-0752</t>
  </si>
  <si>
    <t>ORD-0445</t>
  </si>
  <si>
    <t>ORD-0603</t>
  </si>
  <si>
    <t>ORD-0586</t>
  </si>
  <si>
    <t>ORD-0177</t>
  </si>
  <si>
    <t>ORD-0282</t>
  </si>
  <si>
    <t>ORD-0194</t>
  </si>
  <si>
    <t>ORD-0899</t>
  </si>
  <si>
    <t>ORD-0855</t>
  </si>
  <si>
    <t>ORD-0168</t>
  </si>
  <si>
    <t>ORD-0167</t>
  </si>
  <si>
    <t>ORD-0860</t>
  </si>
  <si>
    <t>ORD-0049</t>
  </si>
  <si>
    <t>ORD-0840</t>
  </si>
  <si>
    <t>ORD-0165</t>
  </si>
  <si>
    <t>ORD-0478</t>
  </si>
  <si>
    <t>ORD-0625</t>
  </si>
  <si>
    <t>ORD-0819</t>
  </si>
  <si>
    <t>ORD-0386</t>
  </si>
  <si>
    <t>ORD-0076</t>
  </si>
  <si>
    <t>ORD-0802</t>
  </si>
  <si>
    <t>ORD-0091</t>
  </si>
  <si>
    <t>ORD-0639</t>
  </si>
  <si>
    <t>ORD-0260</t>
  </si>
  <si>
    <t>ORD-0360</t>
  </si>
  <si>
    <t>ORD-0720</t>
  </si>
  <si>
    <t>ORD-0642</t>
  </si>
  <si>
    <t>ORD-0233</t>
  </si>
  <si>
    <t>ORD-0351</t>
  </si>
  <si>
    <t>ORD-0005</t>
  </si>
  <si>
    <t>ORD-0038</t>
  </si>
  <si>
    <t>ORD-0306</t>
  </si>
  <si>
    <t>ORD-0254</t>
  </si>
  <si>
    <t>ORD-0924</t>
  </si>
  <si>
    <t>ORD-0134</t>
  </si>
  <si>
    <t>ORD-0842</t>
  </si>
  <si>
    <t>ORD-0220</t>
  </si>
  <si>
    <t>ORD-0587</t>
  </si>
  <si>
    <t>ORD-0048</t>
  </si>
  <si>
    <t>ORD-0299</t>
  </si>
  <si>
    <t>ORD-0546</t>
  </si>
  <si>
    <t>ORD-0621</t>
  </si>
  <si>
    <t>ORD-0063</t>
  </si>
  <si>
    <t>ORD-0021</t>
  </si>
  <si>
    <t>ORD-0103</t>
  </si>
  <si>
    <t>ORD-0081</t>
  </si>
  <si>
    <t>ORD-0581</t>
  </si>
  <si>
    <t>ORD-0633</t>
  </si>
  <si>
    <t>ORD-0863</t>
  </si>
  <si>
    <t>ORD-0527</t>
  </si>
  <si>
    <t>ORD-0817</t>
  </si>
  <si>
    <t>ORD-0211</t>
  </si>
  <si>
    <t>ORD-0606</t>
  </si>
  <si>
    <t>ORD-0619</t>
  </si>
  <si>
    <t>ORD-0105</t>
  </si>
  <si>
    <t>ORD-0469</t>
  </si>
  <si>
    <t>ORD-0483</t>
  </si>
  <si>
    <t>ORD-0766</t>
  </si>
  <si>
    <t>ORD-0643</t>
  </si>
  <si>
    <t>ORD-0933</t>
  </si>
  <si>
    <t>ORD-0992</t>
  </si>
  <si>
    <t>ORD-0453</t>
  </si>
  <si>
    <t>ORD-0435</t>
  </si>
  <si>
    <t>ORD-0404</t>
  </si>
  <si>
    <t>ORD-0046</t>
  </si>
  <si>
    <t>ORD-0197</t>
  </si>
  <si>
    <t>ORD-0549</t>
  </si>
  <si>
    <t>ORD-0965</t>
  </si>
  <si>
    <t>ORD-0069</t>
  </si>
  <si>
    <t>ORD-0329</t>
  </si>
  <si>
    <t>ORD-0554</t>
  </si>
  <si>
    <t>ORD-0406</t>
  </si>
  <si>
    <t>ORD-0736</t>
  </si>
  <si>
    <t>ORD-0274</t>
  </si>
  <si>
    <t>ORD-0420</t>
  </si>
  <si>
    <t>ORD-0529</t>
  </si>
  <si>
    <t>ORD-0108</t>
  </si>
  <si>
    <t>ORD-0718</t>
  </si>
  <si>
    <t>ORD-0960</t>
  </si>
  <si>
    <t>ORD-0456</t>
  </si>
  <si>
    <t>ORD-0679</t>
  </si>
  <si>
    <t>ORD-0790</t>
  </si>
  <si>
    <t>ORD-0676</t>
  </si>
  <si>
    <t>ORD-0267</t>
  </si>
  <si>
    <t>ORD-0710</t>
  </si>
  <si>
    <t>ORD-0545</t>
  </si>
  <si>
    <t>ORD-0160</t>
  </si>
  <si>
    <t>ORD-0722</t>
  </si>
  <si>
    <t>ORD-0889</t>
  </si>
  <si>
    <t>ORD-0781</t>
  </si>
  <si>
    <t>ORD-0238</t>
  </si>
  <si>
    <t>ORD-0137</t>
  </si>
  <si>
    <t>ORD-0457</t>
  </si>
  <si>
    <t>ORD-0297</t>
  </si>
  <si>
    <t>ORD-0943</t>
  </si>
  <si>
    <t>ORD-0861</t>
  </si>
  <si>
    <t>ORD-0508</t>
  </si>
  <si>
    <t>ORD-0785</t>
  </si>
  <si>
    <t>ORD-0142</t>
  </si>
  <si>
    <t>ORD-0087</t>
  </si>
  <si>
    <t>ORD-0565</t>
  </si>
  <si>
    <t>ORD-0919</t>
  </si>
  <si>
    <t>ORD-0721</t>
  </si>
  <si>
    <t>ORD-0803</t>
  </si>
  <si>
    <t>ORD-0423</t>
  </si>
  <si>
    <t>ORD-0535</t>
  </si>
  <si>
    <t>ORD-0352</t>
  </si>
  <si>
    <t>ORD-0503</t>
  </si>
  <si>
    <t>ORD-0209</t>
  </si>
  <si>
    <t>ORD-0646</t>
  </si>
  <si>
    <t>ORD-0400</t>
  </si>
  <si>
    <t>ORD-0045</t>
  </si>
  <si>
    <t>ORD-0657</t>
  </si>
  <si>
    <t>ORD-0617</t>
  </si>
  <si>
    <t>ORD-0180</t>
  </si>
  <si>
    <t>ORD-0452</t>
  </si>
  <si>
    <t>ORD-0999</t>
  </si>
  <si>
    <t>ORD-0339</t>
  </si>
  <si>
    <t>ORD-0365</t>
  </si>
  <si>
    <t>ORD-0668</t>
  </si>
  <si>
    <t>ORD-0436</t>
  </si>
  <si>
    <t>ORD-0380</t>
  </si>
  <si>
    <t>ORD-0543</t>
  </si>
  <si>
    <t>ORD-0553</t>
  </si>
  <si>
    <t>ORD-0188</t>
  </si>
  <si>
    <t>ORD-0946</t>
  </si>
  <si>
    <t>ORD-0696</t>
  </si>
  <si>
    <t>ORD-0579</t>
  </si>
  <si>
    <t>ORD-0171</t>
  </si>
  <si>
    <t>ORD-0757</t>
  </si>
  <si>
    <t>ORD-0742</t>
  </si>
  <si>
    <t>ORD-0588</t>
  </si>
  <si>
    <t>ORD-0902</t>
  </si>
  <si>
    <t>ORD-0795</t>
  </si>
  <si>
    <t>ORD-0966</t>
  </si>
  <si>
    <t>ORD-0477</t>
  </si>
  <si>
    <t>ORD-0911</t>
  </si>
  <si>
    <t>ORD-0070</t>
  </si>
  <si>
    <t>ORD-0198</t>
  </si>
  <si>
    <t>ORD-0008</t>
  </si>
  <si>
    <t>ORD-0022</t>
  </si>
  <si>
    <t>ORD-0231</t>
  </si>
  <si>
    <t>ORD-0414</t>
  </si>
  <si>
    <t>ORD-0515</t>
  </si>
  <si>
    <t>ORD-0631</t>
  </si>
  <si>
    <t>ORD-0083</t>
  </si>
  <si>
    <t>ORD-0314</t>
  </si>
  <si>
    <t>ORD-0236</t>
  </si>
  <si>
    <t>ORD-0200</t>
  </si>
  <si>
    <t>ORD-0053</t>
  </si>
  <si>
    <t>ORD-0228</t>
  </si>
  <si>
    <t>ORD-0161</t>
  </si>
  <si>
    <t>ORD-0533</t>
  </si>
  <si>
    <t>ORD-0499</t>
  </si>
  <si>
    <t>ORD-0559</t>
  </si>
  <si>
    <t>ORD-0034</t>
  </si>
  <si>
    <t>ORD-0085</t>
  </si>
  <si>
    <t>ORD-0422</t>
  </si>
  <si>
    <t>ORD-0731</t>
  </si>
  <si>
    <t>ORD-0741</t>
  </si>
  <si>
    <t>ORD-0170</t>
  </si>
  <si>
    <t>ORD-0812</t>
  </si>
  <si>
    <t>ORD-0308</t>
  </si>
  <si>
    <t>ORD-0441</t>
  </si>
  <si>
    <t>ORD-0242</t>
  </si>
  <si>
    <t>ORD-0073</t>
  </si>
  <si>
    <t>ORD-0749</t>
  </si>
  <si>
    <t>ORD-0498</t>
  </si>
  <si>
    <t>ORD-0747</t>
  </si>
  <si>
    <t>ORD-0448</t>
  </si>
  <si>
    <t>ORD-0806</t>
  </si>
  <si>
    <t>ORD-0715</t>
  </si>
  <si>
    <t>ORD-0397</t>
  </si>
  <si>
    <t>ORD-0394</t>
  </si>
  <si>
    <t>ORD-0519</t>
  </si>
  <si>
    <t>ORD-0237</t>
  </si>
  <si>
    <t>ORD-0029</t>
  </si>
  <si>
    <t>ORD-0440</t>
  </si>
  <si>
    <t>ORD-0123</t>
  </si>
  <si>
    <t>ORD-0266</t>
  </si>
  <si>
    <t>ORD-0323</t>
  </si>
  <si>
    <t>ORD-0340</t>
  </si>
  <si>
    <t>ORD-0993</t>
  </si>
  <si>
    <t>ORD-0851</t>
  </si>
  <si>
    <t>ORD-0767</t>
  </si>
  <si>
    <t>ORD-0598</t>
  </si>
  <si>
    <t>ORD-0020</t>
  </si>
  <si>
    <t>ORD-0383</t>
  </si>
  <si>
    <t>ORD-0900</t>
  </si>
  <si>
    <t>ORD-0450</t>
  </si>
  <si>
    <t>ORD-0655</t>
  </si>
  <si>
    <t>ORD-0622</t>
  </si>
  <si>
    <t>ORD-0059</t>
  </si>
  <si>
    <t>ORD-0101</t>
  </si>
  <si>
    <t>ORD-0654</t>
  </si>
  <si>
    <t>ORD-0251</t>
  </si>
  <si>
    <t>ORD-0052</t>
  </si>
  <si>
    <t>ORD-0811</t>
  </si>
  <si>
    <t>ORD-0590</t>
  </si>
  <si>
    <t>ORD-0195</t>
  </si>
  <si>
    <t>ORD-0427</t>
  </si>
  <si>
    <t>ORD-0981</t>
  </si>
  <si>
    <t>ORD-0111</t>
  </si>
  <si>
    <t>ORD-0698</t>
  </si>
  <si>
    <t>ORD-0389</t>
  </si>
  <si>
    <t>ORD-0135</t>
  </si>
  <si>
    <t>ORD-0218</t>
  </si>
  <si>
    <t>ORD-0897</t>
  </si>
  <si>
    <t>ORD-0687</t>
  </si>
  <si>
    <t>ORD-0338</t>
  </si>
  <si>
    <t>ORD-0263</t>
  </si>
  <si>
    <t>ORD-0613</t>
  </si>
  <si>
    <t>ORD-0127</t>
  </si>
  <si>
    <t>ORD-0786</t>
  </si>
  <si>
    <t>ORD-0805</t>
  </si>
  <si>
    <t>ORD-0140</t>
  </si>
  <si>
    <t>ORD-0940</t>
  </si>
  <si>
    <t>ORD-0079</t>
  </si>
  <si>
    <t>ORD-0428</t>
  </si>
  <si>
    <t>ORD-0544</t>
  </si>
  <si>
    <t>ORD-0344</t>
  </si>
  <si>
    <t>ORD-0983</t>
  </si>
  <si>
    <t>ORD-0391</t>
  </si>
  <si>
    <t>ORD-0444</t>
  </si>
  <si>
    <t>ORD-0607</t>
  </si>
  <si>
    <t>ORD-0064</t>
  </si>
  <si>
    <t>ORD-0530</t>
  </si>
  <si>
    <t>ORD-0629</t>
  </si>
  <si>
    <t>ORD-0174</t>
  </si>
  <si>
    <t>ORD-0362</t>
  </si>
  <si>
    <t>ORD-0114</t>
  </si>
  <si>
    <t>ORD-0415</t>
  </si>
  <si>
    <t>ORD-0151</t>
  </si>
  <si>
    <t>ORD-0680</t>
  </si>
  <si>
    <t>ORD-0370</t>
  </si>
  <si>
    <t>ORD-0975</t>
  </si>
  <si>
    <t>ORD-0941</t>
  </si>
  <si>
    <t>ORD-0027</t>
  </si>
  <si>
    <t>ORD-0312</t>
  </si>
  <si>
    <t>ORD-0743</t>
  </si>
  <si>
    <t>ORD-0724</t>
  </si>
  <si>
    <t>ORD-0988</t>
  </si>
  <si>
    <t>ORD-0814</t>
  </si>
  <si>
    <t>ORD-0421</t>
  </si>
  <si>
    <t>ORD-0738</t>
  </si>
  <si>
    <t>ORD-0982</t>
  </si>
  <si>
    <t>ORD-0848</t>
  </si>
  <si>
    <t>ORD-0958</t>
  </si>
  <si>
    <t>ORD-0635</t>
  </si>
  <si>
    <t>ORD-0539</t>
  </si>
  <si>
    <t>ORD-0060</t>
  </si>
  <si>
    <t>ORD-0273</t>
  </si>
  <si>
    <t>ORD-0951</t>
  </si>
  <si>
    <t>ORD-0628</t>
  </si>
  <si>
    <t>ORD-0116</t>
  </si>
  <si>
    <t>ORD-0858</t>
  </si>
  <si>
    <t>ORD-0845</t>
  </si>
  <si>
    <t>ORD-0062</t>
  </si>
  <si>
    <t>ORD-0332</t>
  </si>
  <si>
    <t>ORD-0230</t>
  </si>
  <si>
    <t>ORD-0001</t>
  </si>
  <si>
    <t>ORD-0557</t>
  </si>
  <si>
    <t>ORD-0039</t>
  </si>
  <si>
    <t>ORD-0419</t>
  </si>
  <si>
    <t>ORD-0645</t>
  </si>
  <si>
    <t>ORD-0494</t>
  </si>
  <si>
    <t>ORD-0110</t>
  </si>
  <si>
    <t>ORD-0868</t>
  </si>
  <si>
    <t>ORD-0694</t>
  </si>
  <si>
    <t>ORD-0702</t>
  </si>
  <si>
    <t>ORD-0136</t>
  </si>
  <si>
    <t>ORD-0636</t>
  </si>
  <si>
    <t>ORD-0285</t>
  </si>
  <si>
    <t>ORD-0467</t>
  </si>
  <si>
    <t>ORD-0201</t>
  </si>
  <si>
    <t>ORD-0850</t>
  </si>
  <si>
    <t>ORD-0003</t>
  </si>
  <si>
    <t>ORD-0057</t>
  </si>
  <si>
    <t>ORD-0247</t>
  </si>
  <si>
    <t>ORD-0895</t>
  </si>
  <si>
    <t>ORD-0605</t>
  </si>
  <si>
    <t>ORD-0341</t>
  </si>
  <si>
    <t>ORD-0296</t>
  </si>
  <si>
    <t>ORD-0512</t>
  </si>
  <si>
    <t>ORD-0439</t>
  </si>
  <si>
    <t>ORD-0379</t>
  </si>
  <si>
    <t>ORD-0813</t>
  </si>
  <si>
    <t>ORD-0159</t>
  </si>
  <si>
    <t>ORD-0894</t>
  </si>
  <si>
    <t>ORD-0637</t>
  </si>
  <si>
    <t>ORD-0117</t>
  </si>
  <si>
    <t>ORD-0417</t>
  </si>
  <si>
    <t>ORD-0356</t>
  </si>
  <si>
    <t>ORD-0291</t>
  </si>
  <si>
    <t>ORD-0910</t>
  </si>
  <si>
    <t>ORD-0905</t>
  </si>
  <si>
    <t>ORD-0883</t>
  </si>
  <si>
    <t>ORD-0099</t>
  </si>
  <si>
    <t>ORD-0678</t>
  </si>
  <si>
    <t>ORD-0756</t>
  </si>
  <si>
    <t>ORD-0412</t>
  </si>
  <si>
    <t>ORD-0061</t>
  </si>
  <si>
    <t>ORD-0090</t>
  </si>
  <si>
    <t>ORD-0067</t>
  </si>
  <si>
    <t>ORD-0031</t>
  </si>
  <si>
    <t>ORD-0877</t>
  </si>
  <si>
    <t>ORD-0278</t>
  </si>
  <si>
    <t>ORD-0252</t>
  </si>
  <si>
    <t>ORD-0762</t>
  </si>
  <si>
    <t>ORD-0807</t>
  </si>
  <si>
    <t>ORD-0685</t>
  </si>
  <si>
    <t>ORD-0580</t>
  </si>
  <si>
    <t>ORD-0990</t>
  </si>
  <si>
    <t>ORD-0714</t>
  </si>
  <si>
    <t>ORD-0695</t>
  </si>
  <si>
    <t>ORD-0689</t>
  </si>
  <si>
    <t>ORD-0262</t>
  </si>
  <si>
    <t>ORD-0465</t>
  </si>
  <si>
    <t>ORD-0122</t>
  </si>
  <si>
    <t>ORD-0831</t>
  </si>
  <si>
    <t>ORD-0921</t>
  </si>
  <si>
    <t>ORD-0780</t>
  </si>
  <si>
    <t>ORD-0193</t>
  </si>
  <si>
    <t>ORD-0413</t>
  </si>
  <si>
    <t>ORD-0555</t>
  </si>
  <si>
    <t>ORD-0374</t>
  </si>
  <si>
    <t>ORD-0671</t>
  </si>
  <si>
    <t>ORD-0888</t>
  </si>
  <si>
    <t>ORD-0880</t>
  </si>
  <si>
    <t>ORD-0931</t>
  </si>
  <si>
    <t>ORD-0522</t>
  </si>
  <si>
    <t>ORD-0783</t>
  </si>
  <si>
    <t>ORD-0276</t>
  </si>
  <si>
    <t>ORD-0824</t>
  </si>
  <si>
    <t>ORD-0249</t>
  </si>
  <si>
    <t>ORD-0013</t>
  </si>
  <si>
    <t>ORD-0398</t>
  </si>
  <si>
    <t>ORD-0712</t>
  </si>
  <si>
    <t>ORD-0227</t>
  </si>
  <si>
    <t>ORD-0658</t>
  </si>
  <si>
    <t>ORD-0727</t>
  </si>
  <si>
    <t>ORD-0879</t>
  </si>
  <si>
    <t>ORD-0692</t>
  </si>
  <si>
    <t>ORD-0556</t>
  </si>
  <si>
    <t>ORD-0327</t>
  </si>
  <si>
    <t>ORD-0898</t>
  </si>
  <si>
    <t>ORD-0078</t>
  </si>
  <si>
    <t>ORD-0653</t>
  </si>
  <si>
    <t>ORD-0852</t>
  </si>
  <si>
    <t>ORD-0486</t>
  </si>
  <si>
    <t>ORD-0017</t>
  </si>
  <si>
    <t>ORD-0342</t>
  </si>
  <si>
    <t>ORD-0700</t>
  </si>
  <si>
    <t>ORD-0505</t>
  </si>
  <si>
    <t>ORD-0066</t>
  </si>
  <si>
    <t>ORD-0793</t>
  </si>
  <si>
    <t>ORD-0997</t>
  </si>
  <si>
    <t>ORD-0799</t>
  </si>
  <si>
    <t>ORD-0567</t>
  </si>
  <si>
    <t>ORD-0248</t>
  </si>
  <si>
    <t>ORD-0866</t>
  </si>
  <si>
    <t>ORD-1000</t>
  </si>
  <si>
    <t>ORD-0489</t>
  </si>
  <si>
    <t>ORD-0256</t>
  </si>
  <si>
    <t>ORD-0437</t>
  </si>
  <si>
    <t>ORD-0446</t>
  </si>
  <si>
    <t>ORD-0089</t>
  </si>
  <si>
    <t>ORD-0541</t>
  </si>
  <si>
    <t>ORD-0392</t>
  </si>
  <si>
    <t>ORD-0411</t>
  </si>
  <si>
    <t>ORD-0881</t>
  </si>
  <si>
    <t>ORD-0442</t>
  </si>
  <si>
    <t>ORD-0893</t>
  </si>
  <si>
    <t>ORD-0408</t>
  </si>
  <si>
    <t>ORD-0739</t>
  </si>
  <si>
    <t>ORD-0387</t>
  </si>
  <si>
    <t>ORD-0872</t>
  </si>
  <si>
    <t>ORD-0205</t>
  </si>
  <si>
    <t>ORD-0192</t>
  </si>
  <si>
    <t>ORD-0190</t>
  </si>
  <si>
    <t>ORD-0719</t>
  </si>
  <si>
    <t>ORD-0593</t>
  </si>
  <si>
    <t>ORD-0751</t>
  </si>
  <si>
    <t>ORD-0716</t>
  </si>
  <si>
    <t>ORD-0974</t>
  </si>
  <si>
    <t>ORD-0399</t>
  </si>
  <si>
    <t>ORD-0169</t>
  </si>
  <si>
    <t>ORD-0568</t>
  </si>
  <si>
    <t>ORD-0288</t>
  </si>
  <si>
    <t>ORD-0995</t>
  </si>
  <si>
    <t>ORD-0536</t>
  </si>
  <si>
    <t>Month</t>
  </si>
  <si>
    <t>Profit_Margin</t>
  </si>
  <si>
    <t>Average_Order_Value</t>
  </si>
  <si>
    <t>RETAIL SALES ANALYSIS | TASK 5</t>
  </si>
  <si>
    <t>Sample synthetic dataset • 1,000 orders • Jan–Dec 2025</t>
  </si>
  <si>
    <t>Total Sales</t>
  </si>
  <si>
    <t>Total Profit</t>
  </si>
  <si>
    <t>Total Orders</t>
  </si>
  <si>
    <t>Units Sold</t>
  </si>
  <si>
    <t>Average Order Value</t>
  </si>
  <si>
    <t>Profit Margin</t>
  </si>
  <si>
    <t>Sales by Category</t>
  </si>
  <si>
    <t>Sales by Region</t>
  </si>
  <si>
    <t>Sales Revenue</t>
  </si>
  <si>
    <t>Orders</t>
  </si>
  <si>
    <t>Monthly Sales Trend</t>
  </si>
  <si>
    <t>Sales by Customer Segment</t>
  </si>
  <si>
    <t>Segment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</si>
  <si>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</si>
  <si>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</si>
  <si>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</si>
  <si>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</si>
  <si>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</si>
  <si>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</si>
  <si>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</si>
  <si>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</si>
  <si>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</si>
  <si>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</si>
  <si>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</si>
  <si>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</si>
  <si>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Sales by Channel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</si>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</sst>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&quot;$&quot;#,##0.00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167" fontId="5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Sales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Summary!$A$11:$A$14</c:f>
              <c:strCache>
                <c:ptCount val="4"/>
                <c:pt idx="0">
                  <c:v>Furniture</c:v>
                </c:pt>
                <c:pt idx="1">
                  <c:v>Home &amp; Kitchen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Summary!$B$11:$B$14</c:f>
              <c:numCache>
                <c:formatCode>"$"#,##0.00</c:formatCode>
                <c:ptCount val="4"/>
                <c:pt idx="0">
                  <c:v>239796.78999999992</c:v>
                </c:pt>
                <c:pt idx="1">
                  <c:v>48059.950000000012</c:v>
                </c:pt>
                <c:pt idx="2">
                  <c:v>21345.260000000006</c:v>
                </c:pt>
                <c:pt idx="3">
                  <c:v>50828.039999999979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A-4949-BDF8-3C368CF56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Summary!$B$19</c:f>
              <c:strCache>
                <c:ptCount val="1"/>
                <c:pt idx="0">
                  <c:v>Sales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Summary!$A$20:$A$31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Summary!$B$20:$B$31</c:f>
              <c:numCache>
                <c:formatCode>"$"#,##0.00</c:formatCode>
                <c:ptCount val="12"/>
                <c:pt idx="0">
                  <c:v>27488.14000000001</c:v>
                </c:pt>
                <c:pt idx="1">
                  <c:v>24909.99</c:v>
                </c:pt>
                <c:pt idx="2">
                  <c:v>35838.83</c:v>
                </c:pt>
                <c:pt idx="3">
                  <c:v>18171.490000000002</c:v>
                </c:pt>
                <c:pt idx="4">
                  <c:v>38345.230000000003</c:v>
                </c:pt>
                <c:pt idx="5">
                  <c:v>38685.189999999995</c:v>
                </c:pt>
                <c:pt idx="6">
                  <c:v>26137.760000000002</c:v>
                </c:pt>
                <c:pt idx="7">
                  <c:v>33489.070000000007</c:v>
                </c:pt>
                <c:pt idx="8">
                  <c:v>27464.99</c:v>
                </c:pt>
                <c:pt idx="9">
                  <c:v>23636.51999999999</c:v>
                </c:pt>
                <c:pt idx="10">
                  <c:v>28069.720000000005</c:v>
                </c:pt>
                <c:pt idx="11">
                  <c:v>37793.110000000015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5D-4B38-B262-25327BC1D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Revenue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432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1" customWidth="1"/>
    <col min="3" max="3" width="12" customWidth="1"/>
    <col min="4" max="4" width="13" customWidth="1"/>
    <col min="5" max="5" width="17" customWidth="1"/>
    <col min="6" max="6" width="16" customWidth="1"/>
    <col min="7" max="7" width="18" customWidth="1"/>
    <col min="8" max="8" width="15" customWidth="1"/>
    <col min="9" max="10" width="12" customWidth="1"/>
    <col min="11" max="12" width="15" customWidth="1"/>
    <col min="13" max="14" width="12" customWidth="1"/>
  </cols>
  <sheetData>
    <row r="1" spans="1:1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45658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11</v>
      </c>
      <c r="J2" s="3">
        <v>85.7</v>
      </c>
      <c r="K2" s="4">
        <v>0</v>
      </c>
      <c r="L2" s="3">
        <v>942.7</v>
      </c>
      <c r="M2" s="3">
        <v>469.51</v>
      </c>
      <c r="N2" s="3">
        <v>473.19</v>
      </c>
    </row>
    <row r="3" spans="1:14" x14ac:dyDescent="0.35">
      <c r="A3" t="s">
        <v>21</v>
      </c>
      <c r="B3" s="2">
        <v>45659</v>
      </c>
      <c r="C3" t="s">
        <v>15</v>
      </c>
      <c r="D3" t="s">
        <v>16</v>
      </c>
      <c r="E3" t="s">
        <v>17</v>
      </c>
      <c r="F3" t="s">
        <v>18</v>
      </c>
      <c r="G3" t="s">
        <v>22</v>
      </c>
      <c r="H3" t="s">
        <v>23</v>
      </c>
      <c r="I3">
        <v>8</v>
      </c>
      <c r="J3" s="3">
        <v>68.39</v>
      </c>
      <c r="K3" s="4">
        <v>0.15</v>
      </c>
      <c r="L3" s="3">
        <v>465.05</v>
      </c>
      <c r="M3" s="3">
        <v>371.25</v>
      </c>
      <c r="N3" s="3">
        <v>93.8</v>
      </c>
    </row>
    <row r="4" spans="1:14" x14ac:dyDescent="0.35">
      <c r="A4" t="s">
        <v>24</v>
      </c>
      <c r="B4" s="2">
        <v>45659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8</v>
      </c>
      <c r="J4" s="3">
        <v>148.5</v>
      </c>
      <c r="K4" s="4">
        <v>0.1</v>
      </c>
      <c r="L4" s="3">
        <v>1069.2</v>
      </c>
      <c r="M4" s="3">
        <v>763.94</v>
      </c>
      <c r="N4" s="3">
        <v>305.26</v>
      </c>
    </row>
    <row r="5" spans="1:14" x14ac:dyDescent="0.35">
      <c r="A5" t="s">
        <v>31</v>
      </c>
      <c r="B5" s="2">
        <v>45659</v>
      </c>
      <c r="C5" t="s">
        <v>32</v>
      </c>
      <c r="D5" t="s">
        <v>33</v>
      </c>
      <c r="E5" t="s">
        <v>17</v>
      </c>
      <c r="F5" t="s">
        <v>34</v>
      </c>
      <c r="G5" t="s">
        <v>29</v>
      </c>
      <c r="H5" t="s">
        <v>30</v>
      </c>
      <c r="I5">
        <v>12</v>
      </c>
      <c r="J5" s="3">
        <v>21.16</v>
      </c>
      <c r="K5" s="4">
        <v>0.05</v>
      </c>
      <c r="L5" s="3">
        <v>241.22</v>
      </c>
      <c r="M5" s="3">
        <v>124.37</v>
      </c>
      <c r="N5" s="3">
        <v>116.85</v>
      </c>
    </row>
    <row r="6" spans="1:14" x14ac:dyDescent="0.35">
      <c r="A6" t="s">
        <v>35</v>
      </c>
      <c r="B6" s="2">
        <v>45659</v>
      </c>
      <c r="C6" t="s">
        <v>32</v>
      </c>
      <c r="D6" t="s">
        <v>36</v>
      </c>
      <c r="E6" t="s">
        <v>37</v>
      </c>
      <c r="F6" t="s">
        <v>38</v>
      </c>
      <c r="G6" t="s">
        <v>29</v>
      </c>
      <c r="H6" t="s">
        <v>30</v>
      </c>
      <c r="I6">
        <v>2</v>
      </c>
      <c r="J6" s="3">
        <v>63.51</v>
      </c>
      <c r="K6" s="4">
        <v>0.1</v>
      </c>
      <c r="L6" s="3">
        <v>114.32</v>
      </c>
      <c r="M6" s="3">
        <v>79.31</v>
      </c>
      <c r="N6" s="3">
        <v>35.01</v>
      </c>
    </row>
    <row r="7" spans="1:14" x14ac:dyDescent="0.35">
      <c r="A7" t="s">
        <v>39</v>
      </c>
      <c r="B7" s="2">
        <v>45659</v>
      </c>
      <c r="C7" t="s">
        <v>40</v>
      </c>
      <c r="D7" t="s">
        <v>41</v>
      </c>
      <c r="E7" t="s">
        <v>37</v>
      </c>
      <c r="F7" t="s">
        <v>42</v>
      </c>
      <c r="G7" t="s">
        <v>22</v>
      </c>
      <c r="H7" t="s">
        <v>23</v>
      </c>
      <c r="I7">
        <v>4</v>
      </c>
      <c r="J7" s="3">
        <v>15.59</v>
      </c>
      <c r="K7" s="4">
        <v>0.05</v>
      </c>
      <c r="L7" s="3">
        <v>59.24</v>
      </c>
      <c r="M7" s="3">
        <v>37.1</v>
      </c>
      <c r="N7" s="3">
        <v>22.14</v>
      </c>
    </row>
    <row r="8" spans="1:14" x14ac:dyDescent="0.35">
      <c r="A8" t="s">
        <v>43</v>
      </c>
      <c r="B8" s="2">
        <v>45659</v>
      </c>
      <c r="C8" t="s">
        <v>25</v>
      </c>
      <c r="D8" t="s">
        <v>26</v>
      </c>
      <c r="E8" t="s">
        <v>17</v>
      </c>
      <c r="F8" t="s">
        <v>44</v>
      </c>
      <c r="G8" t="s">
        <v>22</v>
      </c>
      <c r="H8" t="s">
        <v>23</v>
      </c>
      <c r="I8">
        <v>5</v>
      </c>
      <c r="J8" s="3">
        <v>18.21</v>
      </c>
      <c r="K8" s="4">
        <v>0.15</v>
      </c>
      <c r="L8" s="3">
        <v>77.39</v>
      </c>
      <c r="M8" s="3">
        <v>56.82</v>
      </c>
      <c r="N8" s="3">
        <v>20.57</v>
      </c>
    </row>
    <row r="9" spans="1:14" x14ac:dyDescent="0.35">
      <c r="A9" t="s">
        <v>45</v>
      </c>
      <c r="B9" s="2">
        <v>45660</v>
      </c>
      <c r="C9" t="s">
        <v>15</v>
      </c>
      <c r="D9" t="s">
        <v>46</v>
      </c>
      <c r="E9" t="s">
        <v>17</v>
      </c>
      <c r="F9" t="s">
        <v>44</v>
      </c>
      <c r="G9" t="s">
        <v>29</v>
      </c>
      <c r="H9" t="s">
        <v>20</v>
      </c>
      <c r="I9">
        <v>1</v>
      </c>
      <c r="J9" s="3">
        <v>14.56</v>
      </c>
      <c r="K9" s="4">
        <v>0.1</v>
      </c>
      <c r="L9" s="3">
        <v>13.1</v>
      </c>
      <c r="M9" s="3">
        <v>9</v>
      </c>
      <c r="N9" s="3">
        <v>4.0999999999999996</v>
      </c>
    </row>
    <row r="10" spans="1:14" x14ac:dyDescent="0.35">
      <c r="A10" t="s">
        <v>47</v>
      </c>
      <c r="B10" s="2">
        <v>45660</v>
      </c>
      <c r="C10" t="s">
        <v>40</v>
      </c>
      <c r="D10" t="s">
        <v>41</v>
      </c>
      <c r="E10" t="s">
        <v>27</v>
      </c>
      <c r="F10" t="s">
        <v>48</v>
      </c>
      <c r="G10" t="s">
        <v>19</v>
      </c>
      <c r="H10" t="s">
        <v>30</v>
      </c>
      <c r="I10">
        <v>6</v>
      </c>
      <c r="J10" s="3">
        <v>290.27999999999997</v>
      </c>
      <c r="K10" s="4">
        <v>0</v>
      </c>
      <c r="L10" s="3">
        <v>1741.68</v>
      </c>
      <c r="M10" s="3">
        <v>905.24</v>
      </c>
      <c r="N10" s="3">
        <v>836.44</v>
      </c>
    </row>
    <row r="11" spans="1:14" x14ac:dyDescent="0.35">
      <c r="A11" t="s">
        <v>49</v>
      </c>
      <c r="B11" s="2">
        <v>45660</v>
      </c>
      <c r="C11" t="s">
        <v>40</v>
      </c>
      <c r="D11" t="s">
        <v>50</v>
      </c>
      <c r="E11" t="s">
        <v>37</v>
      </c>
      <c r="F11" t="s">
        <v>51</v>
      </c>
      <c r="G11" t="s">
        <v>19</v>
      </c>
      <c r="H11" t="s">
        <v>20</v>
      </c>
      <c r="I11">
        <v>9</v>
      </c>
      <c r="J11" s="3">
        <v>36.729999999999997</v>
      </c>
      <c r="K11" s="4">
        <v>0.1</v>
      </c>
      <c r="L11" s="3">
        <v>297.51</v>
      </c>
      <c r="M11" s="3">
        <v>195.02</v>
      </c>
      <c r="N11" s="3">
        <v>102.49</v>
      </c>
    </row>
    <row r="12" spans="1:14" x14ac:dyDescent="0.35">
      <c r="A12" t="s">
        <v>52</v>
      </c>
      <c r="B12" s="2">
        <v>45660</v>
      </c>
      <c r="C12" t="s">
        <v>40</v>
      </c>
      <c r="D12" t="s">
        <v>50</v>
      </c>
      <c r="E12" t="s">
        <v>53</v>
      </c>
      <c r="F12" t="s">
        <v>54</v>
      </c>
      <c r="G12" t="s">
        <v>19</v>
      </c>
      <c r="H12" t="s">
        <v>30</v>
      </c>
      <c r="I12">
        <v>5</v>
      </c>
      <c r="J12" s="3">
        <v>8.91</v>
      </c>
      <c r="K12" s="4">
        <v>0</v>
      </c>
      <c r="L12" s="3">
        <v>44.55</v>
      </c>
      <c r="M12" s="3">
        <v>29.1</v>
      </c>
      <c r="N12" s="3">
        <v>15.45</v>
      </c>
    </row>
    <row r="13" spans="1:14" x14ac:dyDescent="0.35">
      <c r="A13" t="s">
        <v>55</v>
      </c>
      <c r="B13" s="2">
        <v>45660</v>
      </c>
      <c r="C13" t="s">
        <v>40</v>
      </c>
      <c r="D13" t="s">
        <v>50</v>
      </c>
      <c r="E13" t="s">
        <v>17</v>
      </c>
      <c r="F13" t="s">
        <v>18</v>
      </c>
      <c r="G13" t="s">
        <v>19</v>
      </c>
      <c r="H13" t="s">
        <v>23</v>
      </c>
      <c r="I13">
        <v>4</v>
      </c>
      <c r="J13" s="3">
        <v>80.38</v>
      </c>
      <c r="K13" s="4">
        <v>0</v>
      </c>
      <c r="L13" s="3">
        <v>321.52</v>
      </c>
      <c r="M13" s="3">
        <v>209.92</v>
      </c>
      <c r="N13" s="3">
        <v>111.6</v>
      </c>
    </row>
    <row r="14" spans="1:14" x14ac:dyDescent="0.35">
      <c r="A14" t="s">
        <v>56</v>
      </c>
      <c r="B14" s="2">
        <v>45660</v>
      </c>
      <c r="C14" t="s">
        <v>32</v>
      </c>
      <c r="D14" t="s">
        <v>57</v>
      </c>
      <c r="E14" t="s">
        <v>37</v>
      </c>
      <c r="F14" t="s">
        <v>51</v>
      </c>
      <c r="G14" t="s">
        <v>22</v>
      </c>
      <c r="H14" t="s">
        <v>30</v>
      </c>
      <c r="I14">
        <v>8</v>
      </c>
      <c r="J14" s="3">
        <v>37.57</v>
      </c>
      <c r="K14" s="4">
        <v>0.1</v>
      </c>
      <c r="L14" s="3">
        <v>270.5</v>
      </c>
      <c r="M14" s="3">
        <v>152.22</v>
      </c>
      <c r="N14" s="3">
        <v>118.28</v>
      </c>
    </row>
    <row r="15" spans="1:14" x14ac:dyDescent="0.35">
      <c r="A15" t="s">
        <v>58</v>
      </c>
      <c r="B15" s="2">
        <v>45660</v>
      </c>
      <c r="C15" t="s">
        <v>15</v>
      </c>
      <c r="D15" t="s">
        <v>59</v>
      </c>
      <c r="E15" t="s">
        <v>17</v>
      </c>
      <c r="F15" t="s">
        <v>44</v>
      </c>
      <c r="G15" t="s">
        <v>19</v>
      </c>
      <c r="H15" t="s">
        <v>20</v>
      </c>
      <c r="I15">
        <v>1</v>
      </c>
      <c r="J15" s="3">
        <v>19.149999999999999</v>
      </c>
      <c r="K15" s="4">
        <v>0.15</v>
      </c>
      <c r="L15" s="3">
        <v>16.28</v>
      </c>
      <c r="M15" s="3">
        <v>9.39</v>
      </c>
      <c r="N15" s="3">
        <v>6.89</v>
      </c>
    </row>
    <row r="16" spans="1:14" x14ac:dyDescent="0.35">
      <c r="A16" t="s">
        <v>60</v>
      </c>
      <c r="B16" s="2">
        <v>45661</v>
      </c>
      <c r="C16" t="s">
        <v>15</v>
      </c>
      <c r="D16" t="s">
        <v>46</v>
      </c>
      <c r="E16" t="s">
        <v>37</v>
      </c>
      <c r="F16" t="s">
        <v>51</v>
      </c>
      <c r="G16" t="s">
        <v>29</v>
      </c>
      <c r="H16" t="s">
        <v>30</v>
      </c>
      <c r="I16">
        <v>2</v>
      </c>
      <c r="J16" s="3">
        <v>35.119999999999997</v>
      </c>
      <c r="K16" s="4">
        <v>0.15</v>
      </c>
      <c r="L16" s="3">
        <v>59.7</v>
      </c>
      <c r="M16" s="3">
        <v>52.4</v>
      </c>
      <c r="N16" s="3">
        <v>7.3</v>
      </c>
    </row>
    <row r="17" spans="1:14" x14ac:dyDescent="0.35">
      <c r="A17" t="s">
        <v>61</v>
      </c>
      <c r="B17" s="2">
        <v>45661</v>
      </c>
      <c r="C17" t="s">
        <v>15</v>
      </c>
      <c r="D17" t="s">
        <v>46</v>
      </c>
      <c r="E17" t="s">
        <v>37</v>
      </c>
      <c r="F17" t="s">
        <v>51</v>
      </c>
      <c r="G17" t="s">
        <v>22</v>
      </c>
      <c r="H17" t="s">
        <v>23</v>
      </c>
      <c r="I17">
        <v>11</v>
      </c>
      <c r="J17" s="3">
        <v>34.25</v>
      </c>
      <c r="K17" s="4">
        <v>0</v>
      </c>
      <c r="L17" s="3">
        <v>376.75</v>
      </c>
      <c r="M17" s="3">
        <v>278.60000000000002</v>
      </c>
      <c r="N17" s="3">
        <v>98.15</v>
      </c>
    </row>
    <row r="18" spans="1:14" x14ac:dyDescent="0.35">
      <c r="A18" t="s">
        <v>62</v>
      </c>
      <c r="B18" s="2">
        <v>45661</v>
      </c>
      <c r="C18" t="s">
        <v>32</v>
      </c>
      <c r="D18" t="s">
        <v>33</v>
      </c>
      <c r="E18" t="s">
        <v>27</v>
      </c>
      <c r="F18" t="s">
        <v>48</v>
      </c>
      <c r="G18" t="s">
        <v>29</v>
      </c>
      <c r="H18" t="s">
        <v>20</v>
      </c>
      <c r="I18">
        <v>4</v>
      </c>
      <c r="J18" s="3">
        <v>261.64999999999998</v>
      </c>
      <c r="K18" s="4">
        <v>0.05</v>
      </c>
      <c r="L18" s="3">
        <v>994.27</v>
      </c>
      <c r="M18" s="3">
        <v>801.92</v>
      </c>
      <c r="N18" s="3">
        <v>192.35</v>
      </c>
    </row>
    <row r="19" spans="1:14" x14ac:dyDescent="0.35">
      <c r="A19" t="s">
        <v>63</v>
      </c>
      <c r="B19" s="2">
        <v>45661</v>
      </c>
      <c r="C19" t="s">
        <v>25</v>
      </c>
      <c r="D19" t="s">
        <v>26</v>
      </c>
      <c r="E19" t="s">
        <v>17</v>
      </c>
      <c r="F19" t="s">
        <v>18</v>
      </c>
      <c r="G19" t="s">
        <v>29</v>
      </c>
      <c r="H19" t="s">
        <v>30</v>
      </c>
      <c r="I19">
        <v>4</v>
      </c>
      <c r="J19" s="3">
        <v>86.25</v>
      </c>
      <c r="K19" s="4">
        <v>0.15</v>
      </c>
      <c r="L19" s="3">
        <v>293.25</v>
      </c>
      <c r="M19" s="3">
        <v>236.4</v>
      </c>
      <c r="N19" s="3">
        <v>56.85</v>
      </c>
    </row>
    <row r="20" spans="1:14" x14ac:dyDescent="0.35">
      <c r="A20" t="s">
        <v>64</v>
      </c>
      <c r="B20" s="2">
        <v>45661</v>
      </c>
      <c r="C20" t="s">
        <v>32</v>
      </c>
      <c r="D20" t="s">
        <v>33</v>
      </c>
      <c r="E20" t="s">
        <v>17</v>
      </c>
      <c r="F20" t="s">
        <v>34</v>
      </c>
      <c r="G20" t="s">
        <v>22</v>
      </c>
      <c r="H20" t="s">
        <v>30</v>
      </c>
      <c r="I20">
        <v>3</v>
      </c>
      <c r="J20" s="3">
        <v>17.899999999999999</v>
      </c>
      <c r="K20" s="4">
        <v>0.15</v>
      </c>
      <c r="L20" s="3">
        <v>45.64</v>
      </c>
      <c r="M20" s="3">
        <v>37.11</v>
      </c>
      <c r="N20" s="3">
        <v>8.5299999999999994</v>
      </c>
    </row>
    <row r="21" spans="1:14" x14ac:dyDescent="0.35">
      <c r="A21" t="s">
        <v>65</v>
      </c>
      <c r="B21" s="2">
        <v>45661</v>
      </c>
      <c r="C21" t="s">
        <v>15</v>
      </c>
      <c r="D21" t="s">
        <v>16</v>
      </c>
      <c r="E21" t="s">
        <v>53</v>
      </c>
      <c r="F21" t="s">
        <v>66</v>
      </c>
      <c r="G21" t="s">
        <v>22</v>
      </c>
      <c r="H21" t="s">
        <v>20</v>
      </c>
      <c r="I21">
        <v>4</v>
      </c>
      <c r="J21" s="3">
        <v>21.31</v>
      </c>
      <c r="K21" s="4">
        <v>0.05</v>
      </c>
      <c r="L21" s="3">
        <v>80.98</v>
      </c>
      <c r="M21" s="3">
        <v>48.57</v>
      </c>
      <c r="N21" s="3">
        <v>32.409999999999997</v>
      </c>
    </row>
    <row r="22" spans="1:14" x14ac:dyDescent="0.35">
      <c r="A22" t="s">
        <v>67</v>
      </c>
      <c r="B22" s="2">
        <v>45661</v>
      </c>
      <c r="C22" t="s">
        <v>40</v>
      </c>
      <c r="D22" t="s">
        <v>41</v>
      </c>
      <c r="E22" t="s">
        <v>27</v>
      </c>
      <c r="F22" t="s">
        <v>68</v>
      </c>
      <c r="G22" t="s">
        <v>29</v>
      </c>
      <c r="H22" t="s">
        <v>20</v>
      </c>
      <c r="I22">
        <v>7</v>
      </c>
      <c r="J22" s="3">
        <v>44.03</v>
      </c>
      <c r="K22" s="4">
        <v>0.1</v>
      </c>
      <c r="L22" s="3">
        <v>277.39</v>
      </c>
      <c r="M22" s="3">
        <v>184.44</v>
      </c>
      <c r="N22" s="3">
        <v>92.95</v>
      </c>
    </row>
    <row r="23" spans="1:14" x14ac:dyDescent="0.35">
      <c r="A23" t="s">
        <v>69</v>
      </c>
      <c r="B23" s="2">
        <v>45661</v>
      </c>
      <c r="C23" t="s">
        <v>32</v>
      </c>
      <c r="D23" t="s">
        <v>33</v>
      </c>
      <c r="E23" t="s">
        <v>27</v>
      </c>
      <c r="F23" t="s">
        <v>28</v>
      </c>
      <c r="G23" t="s">
        <v>19</v>
      </c>
      <c r="H23" t="s">
        <v>23</v>
      </c>
      <c r="I23">
        <v>2</v>
      </c>
      <c r="J23" s="3">
        <v>141.41</v>
      </c>
      <c r="K23" s="4">
        <v>0.15</v>
      </c>
      <c r="L23" s="3">
        <v>240.4</v>
      </c>
      <c r="M23" s="3">
        <v>145.53</v>
      </c>
      <c r="N23" s="3">
        <v>94.87</v>
      </c>
    </row>
    <row r="24" spans="1:14" x14ac:dyDescent="0.35">
      <c r="A24" t="s">
        <v>70</v>
      </c>
      <c r="B24" s="2">
        <v>45661</v>
      </c>
      <c r="C24" t="s">
        <v>40</v>
      </c>
      <c r="D24" t="s">
        <v>71</v>
      </c>
      <c r="E24" t="s">
        <v>17</v>
      </c>
      <c r="F24" t="s">
        <v>18</v>
      </c>
      <c r="G24" t="s">
        <v>22</v>
      </c>
      <c r="H24" t="s">
        <v>23</v>
      </c>
      <c r="I24">
        <v>7</v>
      </c>
      <c r="J24" s="3">
        <v>65.61</v>
      </c>
      <c r="K24" s="4">
        <v>0.1</v>
      </c>
      <c r="L24" s="3">
        <v>413.34</v>
      </c>
      <c r="M24" s="3">
        <v>318.31</v>
      </c>
      <c r="N24" s="3">
        <v>95.03</v>
      </c>
    </row>
    <row r="25" spans="1:14" x14ac:dyDescent="0.35">
      <c r="A25" t="s">
        <v>72</v>
      </c>
      <c r="B25" s="2">
        <v>45662</v>
      </c>
      <c r="C25" t="s">
        <v>15</v>
      </c>
      <c r="D25" t="s">
        <v>16</v>
      </c>
      <c r="E25" t="s">
        <v>17</v>
      </c>
      <c r="F25" t="s">
        <v>18</v>
      </c>
      <c r="G25" t="s">
        <v>29</v>
      </c>
      <c r="H25" t="s">
        <v>20</v>
      </c>
      <c r="I25">
        <v>6</v>
      </c>
      <c r="J25" s="3">
        <v>66.88</v>
      </c>
      <c r="K25" s="4">
        <v>0.1</v>
      </c>
      <c r="L25" s="3">
        <v>361.15</v>
      </c>
      <c r="M25" s="3">
        <v>275.17</v>
      </c>
      <c r="N25" s="3">
        <v>85.98</v>
      </c>
    </row>
    <row r="26" spans="1:14" x14ac:dyDescent="0.35">
      <c r="A26" t="s">
        <v>73</v>
      </c>
      <c r="B26" s="2">
        <v>45662</v>
      </c>
      <c r="C26" t="s">
        <v>25</v>
      </c>
      <c r="D26" t="s">
        <v>74</v>
      </c>
      <c r="E26" t="s">
        <v>37</v>
      </c>
      <c r="F26" t="s">
        <v>75</v>
      </c>
      <c r="G26" t="s">
        <v>19</v>
      </c>
      <c r="H26" t="s">
        <v>20</v>
      </c>
      <c r="I26">
        <v>11</v>
      </c>
      <c r="J26" s="3">
        <v>22.68</v>
      </c>
      <c r="K26" s="4">
        <v>0.05</v>
      </c>
      <c r="L26" s="3">
        <v>237.01</v>
      </c>
      <c r="M26" s="3">
        <v>184.44</v>
      </c>
      <c r="N26" s="3">
        <v>52.57</v>
      </c>
    </row>
    <row r="27" spans="1:14" x14ac:dyDescent="0.35">
      <c r="A27" t="s">
        <v>76</v>
      </c>
      <c r="B27" s="2">
        <v>45663</v>
      </c>
      <c r="C27" t="s">
        <v>32</v>
      </c>
      <c r="D27" t="s">
        <v>33</v>
      </c>
      <c r="E27" t="s">
        <v>53</v>
      </c>
      <c r="F27" t="s">
        <v>66</v>
      </c>
      <c r="G27" t="s">
        <v>22</v>
      </c>
      <c r="H27" t="s">
        <v>23</v>
      </c>
      <c r="I27">
        <v>5</v>
      </c>
      <c r="J27" s="3">
        <v>23.66</v>
      </c>
      <c r="K27" s="4">
        <v>0.05</v>
      </c>
      <c r="L27" s="3">
        <v>112.38</v>
      </c>
      <c r="M27" s="3">
        <v>67.44</v>
      </c>
      <c r="N27" s="3">
        <v>44.94</v>
      </c>
    </row>
    <row r="28" spans="1:14" x14ac:dyDescent="0.35">
      <c r="A28" t="s">
        <v>77</v>
      </c>
      <c r="B28" s="2">
        <v>45663</v>
      </c>
      <c r="C28" t="s">
        <v>32</v>
      </c>
      <c r="D28" t="s">
        <v>57</v>
      </c>
      <c r="E28" t="s">
        <v>17</v>
      </c>
      <c r="F28" t="s">
        <v>34</v>
      </c>
      <c r="G28" t="s">
        <v>29</v>
      </c>
      <c r="H28" t="s">
        <v>20</v>
      </c>
      <c r="I28">
        <v>8</v>
      </c>
      <c r="J28" s="3">
        <v>22.57</v>
      </c>
      <c r="K28" s="4">
        <v>0.15</v>
      </c>
      <c r="L28" s="3">
        <v>153.47999999999999</v>
      </c>
      <c r="M28" s="3">
        <v>120.21</v>
      </c>
      <c r="N28" s="3">
        <v>33.270000000000003</v>
      </c>
    </row>
    <row r="29" spans="1:14" x14ac:dyDescent="0.35">
      <c r="A29" t="s">
        <v>78</v>
      </c>
      <c r="B29" s="2">
        <v>45663</v>
      </c>
      <c r="C29" t="s">
        <v>40</v>
      </c>
      <c r="D29" t="s">
        <v>41</v>
      </c>
      <c r="E29" t="s">
        <v>27</v>
      </c>
      <c r="F29" t="s">
        <v>79</v>
      </c>
      <c r="G29" t="s">
        <v>19</v>
      </c>
      <c r="H29" t="s">
        <v>20</v>
      </c>
      <c r="I29">
        <v>12</v>
      </c>
      <c r="J29" s="3">
        <v>102.6</v>
      </c>
      <c r="K29" s="4">
        <v>0</v>
      </c>
      <c r="L29" s="3">
        <v>1231.2</v>
      </c>
      <c r="M29" s="3">
        <v>762.87</v>
      </c>
      <c r="N29" s="3">
        <v>468.33</v>
      </c>
    </row>
    <row r="30" spans="1:14" x14ac:dyDescent="0.35">
      <c r="A30" t="s">
        <v>80</v>
      </c>
      <c r="B30" s="2">
        <v>45663</v>
      </c>
      <c r="C30" t="s">
        <v>40</v>
      </c>
      <c r="D30" t="s">
        <v>71</v>
      </c>
      <c r="E30" t="s">
        <v>37</v>
      </c>
      <c r="F30" t="s">
        <v>38</v>
      </c>
      <c r="G30" t="s">
        <v>19</v>
      </c>
      <c r="H30" t="s">
        <v>30</v>
      </c>
      <c r="I30">
        <v>4</v>
      </c>
      <c r="J30" s="3">
        <v>56.58</v>
      </c>
      <c r="K30" s="4">
        <v>0.15</v>
      </c>
      <c r="L30" s="3">
        <v>192.37</v>
      </c>
      <c r="M30" s="3">
        <v>146.52000000000001</v>
      </c>
      <c r="N30" s="3">
        <v>45.85</v>
      </c>
    </row>
    <row r="31" spans="1:14" x14ac:dyDescent="0.35">
      <c r="A31" t="s">
        <v>81</v>
      </c>
      <c r="B31" s="2">
        <v>45663</v>
      </c>
      <c r="C31" t="s">
        <v>40</v>
      </c>
      <c r="D31" t="s">
        <v>50</v>
      </c>
      <c r="E31" t="s">
        <v>27</v>
      </c>
      <c r="F31" t="s">
        <v>68</v>
      </c>
      <c r="G31" t="s">
        <v>19</v>
      </c>
      <c r="H31" t="s">
        <v>20</v>
      </c>
      <c r="I31">
        <v>8</v>
      </c>
      <c r="J31" s="3">
        <v>37.06</v>
      </c>
      <c r="K31" s="4">
        <v>0</v>
      </c>
      <c r="L31" s="3">
        <v>296.48</v>
      </c>
      <c r="M31" s="3">
        <v>205.85</v>
      </c>
      <c r="N31" s="3">
        <v>90.63</v>
      </c>
    </row>
    <row r="32" spans="1:14" x14ac:dyDescent="0.35">
      <c r="A32" t="s">
        <v>82</v>
      </c>
      <c r="B32" s="2">
        <v>45664</v>
      </c>
      <c r="C32" t="s">
        <v>32</v>
      </c>
      <c r="D32" t="s">
        <v>36</v>
      </c>
      <c r="E32" t="s">
        <v>53</v>
      </c>
      <c r="F32" t="s">
        <v>83</v>
      </c>
      <c r="G32" t="s">
        <v>22</v>
      </c>
      <c r="H32" t="s">
        <v>20</v>
      </c>
      <c r="I32">
        <v>10</v>
      </c>
      <c r="J32" s="3">
        <v>13.28</v>
      </c>
      <c r="K32" s="4">
        <v>0.05</v>
      </c>
      <c r="L32" s="3">
        <v>126.16</v>
      </c>
      <c r="M32" s="3">
        <v>88.16</v>
      </c>
      <c r="N32" s="3">
        <v>38</v>
      </c>
    </row>
    <row r="33" spans="1:14" x14ac:dyDescent="0.35">
      <c r="A33" t="s">
        <v>84</v>
      </c>
      <c r="B33" s="2">
        <v>45664</v>
      </c>
      <c r="C33" t="s">
        <v>32</v>
      </c>
      <c r="D33" t="s">
        <v>57</v>
      </c>
      <c r="E33" t="s">
        <v>27</v>
      </c>
      <c r="F33" t="s">
        <v>48</v>
      </c>
      <c r="G33" t="s">
        <v>19</v>
      </c>
      <c r="H33" t="s">
        <v>23</v>
      </c>
      <c r="I33">
        <v>8</v>
      </c>
      <c r="J33" s="3">
        <v>261.08</v>
      </c>
      <c r="K33" s="4">
        <v>0</v>
      </c>
      <c r="L33" s="3">
        <v>2088.64</v>
      </c>
      <c r="M33" s="3">
        <v>1607.52</v>
      </c>
      <c r="N33" s="3">
        <v>481.12</v>
      </c>
    </row>
    <row r="34" spans="1:14" x14ac:dyDescent="0.35">
      <c r="A34" t="s">
        <v>85</v>
      </c>
      <c r="B34" s="2">
        <v>45664</v>
      </c>
      <c r="C34" t="s">
        <v>25</v>
      </c>
      <c r="D34" t="s">
        <v>26</v>
      </c>
      <c r="E34" t="s">
        <v>37</v>
      </c>
      <c r="F34" t="s">
        <v>42</v>
      </c>
      <c r="G34" t="s">
        <v>29</v>
      </c>
      <c r="H34" t="s">
        <v>20</v>
      </c>
      <c r="I34">
        <v>10</v>
      </c>
      <c r="J34" s="3">
        <v>19.510000000000002</v>
      </c>
      <c r="K34" s="4">
        <v>0</v>
      </c>
      <c r="L34" s="3">
        <v>195.1</v>
      </c>
      <c r="M34" s="3">
        <v>149.22</v>
      </c>
      <c r="N34" s="3">
        <v>45.88</v>
      </c>
    </row>
    <row r="35" spans="1:14" x14ac:dyDescent="0.35">
      <c r="A35" t="s">
        <v>86</v>
      </c>
      <c r="B35" s="2">
        <v>45664</v>
      </c>
      <c r="C35" t="s">
        <v>32</v>
      </c>
      <c r="D35" t="s">
        <v>33</v>
      </c>
      <c r="E35" t="s">
        <v>17</v>
      </c>
      <c r="F35" t="s">
        <v>87</v>
      </c>
      <c r="G35" t="s">
        <v>19</v>
      </c>
      <c r="H35" t="s">
        <v>30</v>
      </c>
      <c r="I35">
        <v>3</v>
      </c>
      <c r="J35" s="3">
        <v>14.2</v>
      </c>
      <c r="K35" s="4">
        <v>0</v>
      </c>
      <c r="L35" s="3">
        <v>42.6</v>
      </c>
      <c r="M35" s="3">
        <v>30.01</v>
      </c>
      <c r="N35" s="3">
        <v>12.59</v>
      </c>
    </row>
    <row r="36" spans="1:14" x14ac:dyDescent="0.35">
      <c r="A36" t="s">
        <v>88</v>
      </c>
      <c r="B36" s="2">
        <v>45665</v>
      </c>
      <c r="C36" t="s">
        <v>25</v>
      </c>
      <c r="D36" t="s">
        <v>74</v>
      </c>
      <c r="E36" t="s">
        <v>53</v>
      </c>
      <c r="F36" t="s">
        <v>66</v>
      </c>
      <c r="G36" t="s">
        <v>29</v>
      </c>
      <c r="H36" t="s">
        <v>20</v>
      </c>
      <c r="I36">
        <v>10</v>
      </c>
      <c r="J36" s="3">
        <v>18.73</v>
      </c>
      <c r="K36" s="4">
        <v>0</v>
      </c>
      <c r="L36" s="3">
        <v>187.3</v>
      </c>
      <c r="M36" s="3">
        <v>90.41</v>
      </c>
      <c r="N36" s="3">
        <v>96.89</v>
      </c>
    </row>
    <row r="37" spans="1:14" x14ac:dyDescent="0.35">
      <c r="A37" t="s">
        <v>89</v>
      </c>
      <c r="B37" s="2">
        <v>45666</v>
      </c>
      <c r="C37" t="s">
        <v>15</v>
      </c>
      <c r="D37" t="s">
        <v>46</v>
      </c>
      <c r="E37" t="s">
        <v>53</v>
      </c>
      <c r="F37" t="s">
        <v>54</v>
      </c>
      <c r="G37" t="s">
        <v>22</v>
      </c>
      <c r="H37" t="s">
        <v>20</v>
      </c>
      <c r="I37">
        <v>5</v>
      </c>
      <c r="J37" s="3">
        <v>8</v>
      </c>
      <c r="K37" s="4">
        <v>0.15</v>
      </c>
      <c r="L37" s="3">
        <v>34</v>
      </c>
      <c r="M37" s="3">
        <v>23.43</v>
      </c>
      <c r="N37" s="3">
        <v>10.57</v>
      </c>
    </row>
    <row r="38" spans="1:14" x14ac:dyDescent="0.35">
      <c r="A38" t="s">
        <v>90</v>
      </c>
      <c r="B38" s="2">
        <v>45667</v>
      </c>
      <c r="C38" t="s">
        <v>40</v>
      </c>
      <c r="D38" t="s">
        <v>41</v>
      </c>
      <c r="E38" t="s">
        <v>27</v>
      </c>
      <c r="F38" t="s">
        <v>28</v>
      </c>
      <c r="G38" t="s">
        <v>22</v>
      </c>
      <c r="H38" t="s">
        <v>30</v>
      </c>
      <c r="I38">
        <v>4</v>
      </c>
      <c r="J38" s="3">
        <v>146.05000000000001</v>
      </c>
      <c r="K38" s="4">
        <v>0.1</v>
      </c>
      <c r="L38" s="3">
        <v>525.78</v>
      </c>
      <c r="M38" s="3">
        <v>432.42</v>
      </c>
      <c r="N38" s="3">
        <v>93.36</v>
      </c>
    </row>
    <row r="39" spans="1:14" x14ac:dyDescent="0.35">
      <c r="A39" t="s">
        <v>91</v>
      </c>
      <c r="B39" s="2">
        <v>45667</v>
      </c>
      <c r="C39" t="s">
        <v>25</v>
      </c>
      <c r="D39" t="s">
        <v>74</v>
      </c>
      <c r="E39" t="s">
        <v>37</v>
      </c>
      <c r="F39" t="s">
        <v>38</v>
      </c>
      <c r="G39" t="s">
        <v>22</v>
      </c>
      <c r="H39" t="s">
        <v>20</v>
      </c>
      <c r="I39">
        <v>5</v>
      </c>
      <c r="J39" s="3">
        <v>51.36</v>
      </c>
      <c r="K39" s="4">
        <v>0</v>
      </c>
      <c r="L39" s="3">
        <v>256.8</v>
      </c>
      <c r="M39" s="3">
        <v>190.91</v>
      </c>
      <c r="N39" s="3">
        <v>65.89</v>
      </c>
    </row>
    <row r="40" spans="1:14" x14ac:dyDescent="0.35">
      <c r="A40" t="s">
        <v>92</v>
      </c>
      <c r="B40" s="2">
        <v>45667</v>
      </c>
      <c r="C40" t="s">
        <v>32</v>
      </c>
      <c r="D40" t="s">
        <v>33</v>
      </c>
      <c r="E40" t="s">
        <v>17</v>
      </c>
      <c r="F40" t="s">
        <v>44</v>
      </c>
      <c r="G40" t="s">
        <v>22</v>
      </c>
      <c r="H40" t="s">
        <v>30</v>
      </c>
      <c r="I40">
        <v>5</v>
      </c>
      <c r="J40" s="3">
        <v>14.55</v>
      </c>
      <c r="K40" s="4">
        <v>0.05</v>
      </c>
      <c r="L40" s="3">
        <v>69.11</v>
      </c>
      <c r="M40" s="3">
        <v>39.299999999999997</v>
      </c>
      <c r="N40" s="3">
        <v>29.81</v>
      </c>
    </row>
    <row r="41" spans="1:14" x14ac:dyDescent="0.35">
      <c r="A41" t="s">
        <v>93</v>
      </c>
      <c r="B41" s="2">
        <v>45668</v>
      </c>
      <c r="C41" t="s">
        <v>15</v>
      </c>
      <c r="D41" t="s">
        <v>46</v>
      </c>
      <c r="E41" t="s">
        <v>17</v>
      </c>
      <c r="F41" t="s">
        <v>18</v>
      </c>
      <c r="G41" t="s">
        <v>29</v>
      </c>
      <c r="H41" t="s">
        <v>30</v>
      </c>
      <c r="I41">
        <v>12</v>
      </c>
      <c r="J41" s="3">
        <v>64.599999999999994</v>
      </c>
      <c r="K41" s="4">
        <v>0</v>
      </c>
      <c r="L41" s="3">
        <v>775.2</v>
      </c>
      <c r="M41" s="3">
        <v>484.96</v>
      </c>
      <c r="N41" s="3">
        <v>290.24</v>
      </c>
    </row>
    <row r="42" spans="1:14" x14ac:dyDescent="0.35">
      <c r="A42" t="s">
        <v>94</v>
      </c>
      <c r="B42" s="2">
        <v>45669</v>
      </c>
      <c r="C42" t="s">
        <v>15</v>
      </c>
      <c r="D42" t="s">
        <v>59</v>
      </c>
      <c r="E42" t="s">
        <v>53</v>
      </c>
      <c r="F42" t="s">
        <v>54</v>
      </c>
      <c r="G42" t="s">
        <v>22</v>
      </c>
      <c r="H42" t="s">
        <v>23</v>
      </c>
      <c r="I42">
        <v>11</v>
      </c>
      <c r="J42" s="3">
        <v>7.5</v>
      </c>
      <c r="K42" s="4">
        <v>0</v>
      </c>
      <c r="L42" s="3">
        <v>82.5</v>
      </c>
      <c r="M42" s="3">
        <v>44.81</v>
      </c>
      <c r="N42" s="3">
        <v>37.69</v>
      </c>
    </row>
    <row r="43" spans="1:14" x14ac:dyDescent="0.35">
      <c r="A43" t="s">
        <v>95</v>
      </c>
      <c r="B43" s="2">
        <v>45669</v>
      </c>
      <c r="C43" t="s">
        <v>32</v>
      </c>
      <c r="D43" t="s">
        <v>36</v>
      </c>
      <c r="E43" t="s">
        <v>17</v>
      </c>
      <c r="F43" t="s">
        <v>18</v>
      </c>
      <c r="G43" t="s">
        <v>19</v>
      </c>
      <c r="H43" t="s">
        <v>23</v>
      </c>
      <c r="I43">
        <v>5</v>
      </c>
      <c r="J43" s="3">
        <v>77.22</v>
      </c>
      <c r="K43" s="4">
        <v>0</v>
      </c>
      <c r="L43" s="3">
        <v>386.1</v>
      </c>
      <c r="M43" s="3">
        <v>201.75</v>
      </c>
      <c r="N43" s="3">
        <v>184.35</v>
      </c>
    </row>
    <row r="44" spans="1:14" x14ac:dyDescent="0.35">
      <c r="A44" t="s">
        <v>96</v>
      </c>
      <c r="B44" s="2">
        <v>45670</v>
      </c>
      <c r="C44" t="s">
        <v>25</v>
      </c>
      <c r="D44" t="s">
        <v>97</v>
      </c>
      <c r="E44" t="s">
        <v>53</v>
      </c>
      <c r="F44" t="s">
        <v>66</v>
      </c>
      <c r="G44" t="s">
        <v>29</v>
      </c>
      <c r="H44" t="s">
        <v>30</v>
      </c>
      <c r="I44">
        <v>11</v>
      </c>
      <c r="J44" s="3">
        <v>24.02</v>
      </c>
      <c r="K44" s="4">
        <v>0</v>
      </c>
      <c r="L44" s="3">
        <v>264.22000000000003</v>
      </c>
      <c r="M44" s="3">
        <v>202.21</v>
      </c>
      <c r="N44" s="3">
        <v>62.01</v>
      </c>
    </row>
    <row r="45" spans="1:14" x14ac:dyDescent="0.35">
      <c r="A45" t="s">
        <v>98</v>
      </c>
      <c r="B45" s="2">
        <v>45670</v>
      </c>
      <c r="C45" t="s">
        <v>15</v>
      </c>
      <c r="D45" t="s">
        <v>59</v>
      </c>
      <c r="E45" t="s">
        <v>53</v>
      </c>
      <c r="F45" t="s">
        <v>83</v>
      </c>
      <c r="G45" t="s">
        <v>29</v>
      </c>
      <c r="H45" t="s">
        <v>20</v>
      </c>
      <c r="I45">
        <v>7</v>
      </c>
      <c r="J45" s="3">
        <v>13.52</v>
      </c>
      <c r="K45" s="4">
        <v>0.05</v>
      </c>
      <c r="L45" s="3">
        <v>89.91</v>
      </c>
      <c r="M45" s="3">
        <v>51.84</v>
      </c>
      <c r="N45" s="3">
        <v>38.07</v>
      </c>
    </row>
    <row r="46" spans="1:14" x14ac:dyDescent="0.35">
      <c r="A46" t="s">
        <v>99</v>
      </c>
      <c r="B46" s="2">
        <v>45670</v>
      </c>
      <c r="C46" t="s">
        <v>25</v>
      </c>
      <c r="D46" t="s">
        <v>26</v>
      </c>
      <c r="E46" t="s">
        <v>27</v>
      </c>
      <c r="F46" t="s">
        <v>79</v>
      </c>
      <c r="G46" t="s">
        <v>19</v>
      </c>
      <c r="H46" t="s">
        <v>20</v>
      </c>
      <c r="I46">
        <v>4</v>
      </c>
      <c r="J46" s="3">
        <v>97.65</v>
      </c>
      <c r="K46" s="4">
        <v>0</v>
      </c>
      <c r="L46" s="3">
        <v>390.6</v>
      </c>
      <c r="M46" s="3">
        <v>299.83999999999997</v>
      </c>
      <c r="N46" s="3">
        <v>90.76</v>
      </c>
    </row>
    <row r="47" spans="1:14" x14ac:dyDescent="0.35">
      <c r="A47" t="s">
        <v>100</v>
      </c>
      <c r="B47" s="2">
        <v>45670</v>
      </c>
      <c r="C47" t="s">
        <v>40</v>
      </c>
      <c r="D47" t="s">
        <v>71</v>
      </c>
      <c r="E47" t="s">
        <v>17</v>
      </c>
      <c r="F47" t="s">
        <v>87</v>
      </c>
      <c r="G47" t="s">
        <v>19</v>
      </c>
      <c r="H47" t="s">
        <v>20</v>
      </c>
      <c r="I47">
        <v>1</v>
      </c>
      <c r="J47" s="3">
        <v>15.18</v>
      </c>
      <c r="K47" s="4">
        <v>0</v>
      </c>
      <c r="L47" s="3">
        <v>15.18</v>
      </c>
      <c r="M47" s="3">
        <v>8.5</v>
      </c>
      <c r="N47" s="3">
        <v>6.68</v>
      </c>
    </row>
    <row r="48" spans="1:14" x14ac:dyDescent="0.35">
      <c r="A48" t="s">
        <v>101</v>
      </c>
      <c r="B48" s="2">
        <v>45670</v>
      </c>
      <c r="C48" t="s">
        <v>32</v>
      </c>
      <c r="D48" t="s">
        <v>33</v>
      </c>
      <c r="E48" t="s">
        <v>17</v>
      </c>
      <c r="F48" t="s">
        <v>34</v>
      </c>
      <c r="G48" t="s">
        <v>29</v>
      </c>
      <c r="H48" t="s">
        <v>30</v>
      </c>
      <c r="I48">
        <v>3</v>
      </c>
      <c r="J48" s="3">
        <v>23.12</v>
      </c>
      <c r="K48" s="4">
        <v>0.1</v>
      </c>
      <c r="L48" s="3">
        <v>62.42</v>
      </c>
      <c r="M48" s="3">
        <v>37.14</v>
      </c>
      <c r="N48" s="3">
        <v>25.28</v>
      </c>
    </row>
    <row r="49" spans="1:14" x14ac:dyDescent="0.35">
      <c r="A49" t="s">
        <v>102</v>
      </c>
      <c r="B49" s="2">
        <v>45671</v>
      </c>
      <c r="C49" t="s">
        <v>15</v>
      </c>
      <c r="D49" t="s">
        <v>46</v>
      </c>
      <c r="E49" t="s">
        <v>27</v>
      </c>
      <c r="F49" t="s">
        <v>68</v>
      </c>
      <c r="G49" t="s">
        <v>22</v>
      </c>
      <c r="H49" t="s">
        <v>20</v>
      </c>
      <c r="I49">
        <v>10</v>
      </c>
      <c r="J49" s="3">
        <v>35.39</v>
      </c>
      <c r="K49" s="4">
        <v>0</v>
      </c>
      <c r="L49" s="3">
        <v>353.9</v>
      </c>
      <c r="M49" s="3">
        <v>208.01</v>
      </c>
      <c r="N49" s="3">
        <v>145.88999999999999</v>
      </c>
    </row>
    <row r="50" spans="1:14" x14ac:dyDescent="0.35">
      <c r="A50" t="s">
        <v>103</v>
      </c>
      <c r="B50" s="2">
        <v>45671</v>
      </c>
      <c r="C50" t="s">
        <v>25</v>
      </c>
      <c r="D50" t="s">
        <v>26</v>
      </c>
      <c r="E50" t="s">
        <v>27</v>
      </c>
      <c r="F50" t="s">
        <v>48</v>
      </c>
      <c r="G50" t="s">
        <v>29</v>
      </c>
      <c r="H50" t="s">
        <v>23</v>
      </c>
      <c r="I50">
        <v>2</v>
      </c>
      <c r="J50" s="3">
        <v>259.95999999999998</v>
      </c>
      <c r="K50" s="4">
        <v>0.05</v>
      </c>
      <c r="L50" s="3">
        <v>493.92</v>
      </c>
      <c r="M50" s="3">
        <v>313.81</v>
      </c>
      <c r="N50" s="3">
        <v>180.11</v>
      </c>
    </row>
    <row r="51" spans="1:14" x14ac:dyDescent="0.35">
      <c r="A51" t="s">
        <v>104</v>
      </c>
      <c r="B51" s="2">
        <v>45671</v>
      </c>
      <c r="C51" t="s">
        <v>25</v>
      </c>
      <c r="D51" t="s">
        <v>97</v>
      </c>
      <c r="E51" t="s">
        <v>53</v>
      </c>
      <c r="F51" t="s">
        <v>83</v>
      </c>
      <c r="G51" t="s">
        <v>22</v>
      </c>
      <c r="H51" t="s">
        <v>20</v>
      </c>
      <c r="I51">
        <v>10</v>
      </c>
      <c r="J51" s="3">
        <v>16.32</v>
      </c>
      <c r="K51" s="4">
        <v>0</v>
      </c>
      <c r="L51" s="3">
        <v>163.19999999999999</v>
      </c>
      <c r="M51" s="3">
        <v>93.16</v>
      </c>
      <c r="N51" s="3">
        <v>70.040000000000006</v>
      </c>
    </row>
    <row r="52" spans="1:14" x14ac:dyDescent="0.35">
      <c r="A52" t="s">
        <v>105</v>
      </c>
      <c r="B52" s="2">
        <v>45671</v>
      </c>
      <c r="C52" t="s">
        <v>32</v>
      </c>
      <c r="D52" t="s">
        <v>57</v>
      </c>
      <c r="E52" t="s">
        <v>37</v>
      </c>
      <c r="F52" t="s">
        <v>38</v>
      </c>
      <c r="G52" t="s">
        <v>19</v>
      </c>
      <c r="H52" t="s">
        <v>30</v>
      </c>
      <c r="I52">
        <v>7</v>
      </c>
      <c r="J52" s="3">
        <v>48.65</v>
      </c>
      <c r="K52" s="4">
        <v>0</v>
      </c>
      <c r="L52" s="3">
        <v>340.55</v>
      </c>
      <c r="M52" s="3">
        <v>205.64</v>
      </c>
      <c r="N52" s="3">
        <v>134.91</v>
      </c>
    </row>
    <row r="53" spans="1:14" x14ac:dyDescent="0.35">
      <c r="A53" t="s">
        <v>106</v>
      </c>
      <c r="B53" s="2">
        <v>45672</v>
      </c>
      <c r="C53" t="s">
        <v>40</v>
      </c>
      <c r="D53" t="s">
        <v>71</v>
      </c>
      <c r="E53" t="s">
        <v>17</v>
      </c>
      <c r="F53" t="s">
        <v>44</v>
      </c>
      <c r="G53" t="s">
        <v>19</v>
      </c>
      <c r="H53" t="s">
        <v>30</v>
      </c>
      <c r="I53">
        <v>5</v>
      </c>
      <c r="J53" s="3">
        <v>13.98</v>
      </c>
      <c r="K53" s="4">
        <v>0</v>
      </c>
      <c r="L53" s="3">
        <v>69.900000000000006</v>
      </c>
      <c r="M53" s="3">
        <v>47.75</v>
      </c>
      <c r="N53" s="3">
        <v>22.15</v>
      </c>
    </row>
    <row r="54" spans="1:14" x14ac:dyDescent="0.35">
      <c r="A54" t="s">
        <v>107</v>
      </c>
      <c r="B54" s="2">
        <v>45672</v>
      </c>
      <c r="C54" t="s">
        <v>40</v>
      </c>
      <c r="D54" t="s">
        <v>50</v>
      </c>
      <c r="E54" t="s">
        <v>53</v>
      </c>
      <c r="F54" t="s">
        <v>66</v>
      </c>
      <c r="G54" t="s">
        <v>22</v>
      </c>
      <c r="H54" t="s">
        <v>23</v>
      </c>
      <c r="I54">
        <v>10</v>
      </c>
      <c r="J54" s="3">
        <v>21.2</v>
      </c>
      <c r="K54" s="4">
        <v>0</v>
      </c>
      <c r="L54" s="3">
        <v>212</v>
      </c>
      <c r="M54" s="3">
        <v>117.93</v>
      </c>
      <c r="N54" s="3">
        <v>94.07</v>
      </c>
    </row>
    <row r="55" spans="1:14" x14ac:dyDescent="0.35">
      <c r="A55" t="s">
        <v>108</v>
      </c>
      <c r="B55" s="2">
        <v>45672</v>
      </c>
      <c r="C55" t="s">
        <v>40</v>
      </c>
      <c r="D55" t="s">
        <v>71</v>
      </c>
      <c r="E55" t="s">
        <v>53</v>
      </c>
      <c r="F55" t="s">
        <v>54</v>
      </c>
      <c r="G55" t="s">
        <v>22</v>
      </c>
      <c r="H55" t="s">
        <v>20</v>
      </c>
      <c r="I55">
        <v>10</v>
      </c>
      <c r="J55" s="3">
        <v>7.98</v>
      </c>
      <c r="K55" s="4">
        <v>0.05</v>
      </c>
      <c r="L55" s="3">
        <v>75.81</v>
      </c>
      <c r="M55" s="3">
        <v>59.59</v>
      </c>
      <c r="N55" s="3">
        <v>16.22</v>
      </c>
    </row>
    <row r="56" spans="1:14" x14ac:dyDescent="0.35">
      <c r="A56" t="s">
        <v>109</v>
      </c>
      <c r="B56" s="2">
        <v>45673</v>
      </c>
      <c r="C56" t="s">
        <v>40</v>
      </c>
      <c r="D56" t="s">
        <v>41</v>
      </c>
      <c r="E56" t="s">
        <v>27</v>
      </c>
      <c r="F56" t="s">
        <v>28</v>
      </c>
      <c r="G56" t="s">
        <v>22</v>
      </c>
      <c r="H56" t="s">
        <v>23</v>
      </c>
      <c r="I56">
        <v>8</v>
      </c>
      <c r="J56" s="3">
        <v>150.12</v>
      </c>
      <c r="K56" s="4">
        <v>0.15</v>
      </c>
      <c r="L56" s="3">
        <v>1020.82</v>
      </c>
      <c r="M56" s="3">
        <v>936.61</v>
      </c>
      <c r="N56" s="3">
        <v>84.21</v>
      </c>
    </row>
    <row r="57" spans="1:14" x14ac:dyDescent="0.35">
      <c r="A57" t="s">
        <v>110</v>
      </c>
      <c r="B57" s="2">
        <v>45673</v>
      </c>
      <c r="C57" t="s">
        <v>25</v>
      </c>
      <c r="D57" t="s">
        <v>97</v>
      </c>
      <c r="E57" t="s">
        <v>27</v>
      </c>
      <c r="F57" t="s">
        <v>68</v>
      </c>
      <c r="G57" t="s">
        <v>29</v>
      </c>
      <c r="H57" t="s">
        <v>30</v>
      </c>
      <c r="I57">
        <v>3</v>
      </c>
      <c r="J57" s="3">
        <v>36.85</v>
      </c>
      <c r="K57" s="4">
        <v>0.1</v>
      </c>
      <c r="L57" s="3">
        <v>99.5</v>
      </c>
      <c r="M57" s="3">
        <v>74.849999999999994</v>
      </c>
      <c r="N57" s="3">
        <v>24.65</v>
      </c>
    </row>
    <row r="58" spans="1:14" x14ac:dyDescent="0.35">
      <c r="A58" t="s">
        <v>111</v>
      </c>
      <c r="B58" s="2">
        <v>45673</v>
      </c>
      <c r="C58" t="s">
        <v>15</v>
      </c>
      <c r="D58" t="s">
        <v>46</v>
      </c>
      <c r="E58" t="s">
        <v>17</v>
      </c>
      <c r="F58" t="s">
        <v>34</v>
      </c>
      <c r="G58" t="s">
        <v>22</v>
      </c>
      <c r="H58" t="s">
        <v>23</v>
      </c>
      <c r="I58">
        <v>3</v>
      </c>
      <c r="J58" s="3">
        <v>19.48</v>
      </c>
      <c r="K58" s="4">
        <v>0</v>
      </c>
      <c r="L58" s="3">
        <v>58.44</v>
      </c>
      <c r="M58" s="3">
        <v>32.869999999999997</v>
      </c>
      <c r="N58" s="3">
        <v>25.57</v>
      </c>
    </row>
    <row r="59" spans="1:14" x14ac:dyDescent="0.35">
      <c r="A59" t="s">
        <v>112</v>
      </c>
      <c r="B59" s="2">
        <v>45674</v>
      </c>
      <c r="C59" t="s">
        <v>25</v>
      </c>
      <c r="D59" t="s">
        <v>97</v>
      </c>
      <c r="E59" t="s">
        <v>17</v>
      </c>
      <c r="F59" t="s">
        <v>44</v>
      </c>
      <c r="G59" t="s">
        <v>22</v>
      </c>
      <c r="H59" t="s">
        <v>23</v>
      </c>
      <c r="I59">
        <v>7</v>
      </c>
      <c r="J59" s="3">
        <v>16.12</v>
      </c>
      <c r="K59" s="4">
        <v>0.1</v>
      </c>
      <c r="L59" s="3">
        <v>101.56</v>
      </c>
      <c r="M59" s="3">
        <v>69.14</v>
      </c>
      <c r="N59" s="3">
        <v>32.42</v>
      </c>
    </row>
    <row r="60" spans="1:14" x14ac:dyDescent="0.35">
      <c r="A60" t="s">
        <v>113</v>
      </c>
      <c r="B60" s="2">
        <v>45674</v>
      </c>
      <c r="C60" t="s">
        <v>15</v>
      </c>
      <c r="D60" t="s">
        <v>46</v>
      </c>
      <c r="E60" t="s">
        <v>27</v>
      </c>
      <c r="F60" t="s">
        <v>28</v>
      </c>
      <c r="G60" t="s">
        <v>19</v>
      </c>
      <c r="H60" t="s">
        <v>23</v>
      </c>
      <c r="I60">
        <v>3</v>
      </c>
      <c r="J60" s="3">
        <v>153.47</v>
      </c>
      <c r="K60" s="4">
        <v>0</v>
      </c>
      <c r="L60" s="3">
        <v>460.41</v>
      </c>
      <c r="M60" s="3">
        <v>336.69</v>
      </c>
      <c r="N60" s="3">
        <v>123.72</v>
      </c>
    </row>
    <row r="61" spans="1:14" x14ac:dyDescent="0.35">
      <c r="A61" t="s">
        <v>114</v>
      </c>
      <c r="B61" s="2">
        <v>45675</v>
      </c>
      <c r="C61" t="s">
        <v>25</v>
      </c>
      <c r="D61" t="s">
        <v>97</v>
      </c>
      <c r="E61" t="s">
        <v>53</v>
      </c>
      <c r="F61" t="s">
        <v>115</v>
      </c>
      <c r="G61" t="s">
        <v>29</v>
      </c>
      <c r="H61" t="s">
        <v>23</v>
      </c>
      <c r="I61">
        <v>4</v>
      </c>
      <c r="J61" s="3">
        <v>13.47</v>
      </c>
      <c r="K61" s="4">
        <v>0.05</v>
      </c>
      <c r="L61" s="3">
        <v>51.19</v>
      </c>
      <c r="M61" s="3">
        <v>31.72</v>
      </c>
      <c r="N61" s="3">
        <v>19.47</v>
      </c>
    </row>
    <row r="62" spans="1:14" x14ac:dyDescent="0.35">
      <c r="A62" t="s">
        <v>116</v>
      </c>
      <c r="B62" s="2">
        <v>45676</v>
      </c>
      <c r="C62" t="s">
        <v>40</v>
      </c>
      <c r="D62" t="s">
        <v>71</v>
      </c>
      <c r="E62" t="s">
        <v>37</v>
      </c>
      <c r="F62" t="s">
        <v>42</v>
      </c>
      <c r="G62" t="s">
        <v>29</v>
      </c>
      <c r="H62" t="s">
        <v>20</v>
      </c>
      <c r="I62">
        <v>10</v>
      </c>
      <c r="J62" s="3">
        <v>21.37</v>
      </c>
      <c r="K62" s="4">
        <v>0.05</v>
      </c>
      <c r="L62" s="3">
        <v>203.02</v>
      </c>
      <c r="M62" s="3">
        <v>159.63999999999999</v>
      </c>
      <c r="N62" s="3">
        <v>43.38</v>
      </c>
    </row>
    <row r="63" spans="1:14" x14ac:dyDescent="0.35">
      <c r="A63" t="s">
        <v>117</v>
      </c>
      <c r="B63" s="2">
        <v>45677</v>
      </c>
      <c r="C63" t="s">
        <v>15</v>
      </c>
      <c r="D63" t="s">
        <v>16</v>
      </c>
      <c r="E63" t="s">
        <v>17</v>
      </c>
      <c r="F63" t="s">
        <v>34</v>
      </c>
      <c r="G63" t="s">
        <v>29</v>
      </c>
      <c r="H63" t="s">
        <v>23</v>
      </c>
      <c r="I63">
        <v>10</v>
      </c>
      <c r="J63" s="3">
        <v>20.6</v>
      </c>
      <c r="K63" s="4">
        <v>0.1</v>
      </c>
      <c r="L63" s="3">
        <v>185.4</v>
      </c>
      <c r="M63" s="3">
        <v>115.36</v>
      </c>
      <c r="N63" s="3">
        <v>70.040000000000006</v>
      </c>
    </row>
    <row r="64" spans="1:14" x14ac:dyDescent="0.35">
      <c r="A64" t="s">
        <v>118</v>
      </c>
      <c r="B64" s="2">
        <v>45678</v>
      </c>
      <c r="C64" t="s">
        <v>32</v>
      </c>
      <c r="D64" t="s">
        <v>36</v>
      </c>
      <c r="E64" t="s">
        <v>53</v>
      </c>
      <c r="F64" t="s">
        <v>83</v>
      </c>
      <c r="G64" t="s">
        <v>19</v>
      </c>
      <c r="H64" t="s">
        <v>30</v>
      </c>
      <c r="I64">
        <v>8</v>
      </c>
      <c r="J64" s="3">
        <v>15.5</v>
      </c>
      <c r="K64" s="4">
        <v>0.15</v>
      </c>
      <c r="L64" s="3">
        <v>105.4</v>
      </c>
      <c r="M64" s="3">
        <v>65.430000000000007</v>
      </c>
      <c r="N64" s="3">
        <v>39.97</v>
      </c>
    </row>
    <row r="65" spans="1:14" x14ac:dyDescent="0.35">
      <c r="A65" t="s">
        <v>119</v>
      </c>
      <c r="B65" s="2">
        <v>45678</v>
      </c>
      <c r="C65" t="s">
        <v>15</v>
      </c>
      <c r="D65" t="s">
        <v>59</v>
      </c>
      <c r="E65" t="s">
        <v>53</v>
      </c>
      <c r="F65" t="s">
        <v>83</v>
      </c>
      <c r="G65" t="s">
        <v>29</v>
      </c>
      <c r="H65" t="s">
        <v>30</v>
      </c>
      <c r="I65">
        <v>9</v>
      </c>
      <c r="J65" s="3">
        <v>16.170000000000002</v>
      </c>
      <c r="K65" s="4">
        <v>0.05</v>
      </c>
      <c r="L65" s="3">
        <v>138.25</v>
      </c>
      <c r="M65" s="3">
        <v>77.78</v>
      </c>
      <c r="N65" s="3">
        <v>60.47</v>
      </c>
    </row>
    <row r="66" spans="1:14" x14ac:dyDescent="0.35">
      <c r="A66" t="s">
        <v>120</v>
      </c>
      <c r="B66" s="2">
        <v>45678</v>
      </c>
      <c r="C66" t="s">
        <v>40</v>
      </c>
      <c r="D66" t="s">
        <v>71</v>
      </c>
      <c r="E66" t="s">
        <v>53</v>
      </c>
      <c r="F66" t="s">
        <v>83</v>
      </c>
      <c r="G66" t="s">
        <v>19</v>
      </c>
      <c r="H66" t="s">
        <v>20</v>
      </c>
      <c r="I66">
        <v>7</v>
      </c>
      <c r="J66" s="3">
        <v>16.66</v>
      </c>
      <c r="K66" s="4">
        <v>0</v>
      </c>
      <c r="L66" s="3">
        <v>116.62</v>
      </c>
      <c r="M66" s="3">
        <v>61.59</v>
      </c>
      <c r="N66" s="3">
        <v>55.03</v>
      </c>
    </row>
    <row r="67" spans="1:14" x14ac:dyDescent="0.35">
      <c r="A67" t="s">
        <v>121</v>
      </c>
      <c r="B67" s="2">
        <v>45678</v>
      </c>
      <c r="C67" t="s">
        <v>32</v>
      </c>
      <c r="D67" t="s">
        <v>36</v>
      </c>
      <c r="E67" t="s">
        <v>17</v>
      </c>
      <c r="F67" t="s">
        <v>44</v>
      </c>
      <c r="G67" t="s">
        <v>19</v>
      </c>
      <c r="H67" t="s">
        <v>23</v>
      </c>
      <c r="I67">
        <v>4</v>
      </c>
      <c r="J67" s="3">
        <v>15.23</v>
      </c>
      <c r="K67" s="4">
        <v>0.1</v>
      </c>
      <c r="L67" s="3">
        <v>54.83</v>
      </c>
      <c r="M67" s="3">
        <v>45.4</v>
      </c>
      <c r="N67" s="3">
        <v>9.43</v>
      </c>
    </row>
    <row r="68" spans="1:14" x14ac:dyDescent="0.35">
      <c r="A68" t="s">
        <v>122</v>
      </c>
      <c r="B68" s="2">
        <v>45678</v>
      </c>
      <c r="C68" t="s">
        <v>15</v>
      </c>
      <c r="D68" t="s">
        <v>46</v>
      </c>
      <c r="E68" t="s">
        <v>53</v>
      </c>
      <c r="F68" t="s">
        <v>115</v>
      </c>
      <c r="G68" t="s">
        <v>29</v>
      </c>
      <c r="H68" t="s">
        <v>20</v>
      </c>
      <c r="I68">
        <v>3</v>
      </c>
      <c r="J68" s="3">
        <v>11.28</v>
      </c>
      <c r="K68" s="4">
        <v>0</v>
      </c>
      <c r="L68" s="3">
        <v>33.840000000000003</v>
      </c>
      <c r="M68" s="3">
        <v>21.49</v>
      </c>
      <c r="N68" s="3">
        <v>12.35</v>
      </c>
    </row>
    <row r="69" spans="1:14" x14ac:dyDescent="0.35">
      <c r="A69" t="s">
        <v>123</v>
      </c>
      <c r="B69" s="2">
        <v>45678</v>
      </c>
      <c r="C69" t="s">
        <v>40</v>
      </c>
      <c r="D69" t="s">
        <v>50</v>
      </c>
      <c r="E69" t="s">
        <v>37</v>
      </c>
      <c r="F69" t="s">
        <v>51</v>
      </c>
      <c r="G69" t="s">
        <v>19</v>
      </c>
      <c r="H69" t="s">
        <v>30</v>
      </c>
      <c r="I69">
        <v>10</v>
      </c>
      <c r="J69" s="3">
        <v>35.31</v>
      </c>
      <c r="K69" s="4">
        <v>0.15</v>
      </c>
      <c r="L69" s="3">
        <v>300.13</v>
      </c>
      <c r="M69" s="3">
        <v>192.48</v>
      </c>
      <c r="N69" s="3">
        <v>107.65</v>
      </c>
    </row>
    <row r="70" spans="1:14" x14ac:dyDescent="0.35">
      <c r="A70" t="s">
        <v>124</v>
      </c>
      <c r="B70" s="2">
        <v>45678</v>
      </c>
      <c r="C70" t="s">
        <v>32</v>
      </c>
      <c r="D70" t="s">
        <v>57</v>
      </c>
      <c r="E70" t="s">
        <v>37</v>
      </c>
      <c r="F70" t="s">
        <v>38</v>
      </c>
      <c r="G70" t="s">
        <v>19</v>
      </c>
      <c r="H70" t="s">
        <v>20</v>
      </c>
      <c r="I70">
        <v>11</v>
      </c>
      <c r="J70" s="3">
        <v>63.71</v>
      </c>
      <c r="K70" s="4">
        <v>0.1</v>
      </c>
      <c r="L70" s="3">
        <v>630.73</v>
      </c>
      <c r="M70" s="3">
        <v>409.3</v>
      </c>
      <c r="N70" s="3">
        <v>221.43</v>
      </c>
    </row>
    <row r="71" spans="1:14" x14ac:dyDescent="0.35">
      <c r="A71" t="s">
        <v>125</v>
      </c>
      <c r="B71" s="2">
        <v>45679</v>
      </c>
      <c r="C71" t="s">
        <v>25</v>
      </c>
      <c r="D71" t="s">
        <v>74</v>
      </c>
      <c r="E71" t="s">
        <v>27</v>
      </c>
      <c r="F71" t="s">
        <v>68</v>
      </c>
      <c r="G71" t="s">
        <v>29</v>
      </c>
      <c r="H71" t="s">
        <v>30</v>
      </c>
      <c r="I71">
        <v>8</v>
      </c>
      <c r="J71" s="3">
        <v>35.76</v>
      </c>
      <c r="K71" s="4">
        <v>0</v>
      </c>
      <c r="L71" s="3">
        <v>286.08</v>
      </c>
      <c r="M71" s="3">
        <v>154.93</v>
      </c>
      <c r="N71" s="3">
        <v>131.15</v>
      </c>
    </row>
    <row r="72" spans="1:14" x14ac:dyDescent="0.35">
      <c r="A72" t="s">
        <v>126</v>
      </c>
      <c r="B72" s="2">
        <v>45679</v>
      </c>
      <c r="C72" t="s">
        <v>15</v>
      </c>
      <c r="D72" t="s">
        <v>16</v>
      </c>
      <c r="E72" t="s">
        <v>17</v>
      </c>
      <c r="F72" t="s">
        <v>44</v>
      </c>
      <c r="G72" t="s">
        <v>29</v>
      </c>
      <c r="H72" t="s">
        <v>20</v>
      </c>
      <c r="I72">
        <v>8</v>
      </c>
      <c r="J72" s="3">
        <v>18.760000000000002</v>
      </c>
      <c r="K72" s="4">
        <v>0.05</v>
      </c>
      <c r="L72" s="3">
        <v>142.58000000000001</v>
      </c>
      <c r="M72" s="3">
        <v>97.96</v>
      </c>
      <c r="N72" s="3">
        <v>44.62</v>
      </c>
    </row>
    <row r="73" spans="1:14" x14ac:dyDescent="0.35">
      <c r="A73" t="s">
        <v>127</v>
      </c>
      <c r="B73" s="2">
        <v>45679</v>
      </c>
      <c r="C73" t="s">
        <v>15</v>
      </c>
      <c r="D73" t="s">
        <v>46</v>
      </c>
      <c r="E73" t="s">
        <v>27</v>
      </c>
      <c r="F73" t="s">
        <v>68</v>
      </c>
      <c r="G73" t="s">
        <v>19</v>
      </c>
      <c r="H73" t="s">
        <v>20</v>
      </c>
      <c r="I73">
        <v>6</v>
      </c>
      <c r="J73" s="3">
        <v>38.979999999999997</v>
      </c>
      <c r="K73" s="4">
        <v>0</v>
      </c>
      <c r="L73" s="3">
        <v>233.88</v>
      </c>
      <c r="M73" s="3">
        <v>123.01</v>
      </c>
      <c r="N73" s="3">
        <v>110.87</v>
      </c>
    </row>
    <row r="74" spans="1:14" x14ac:dyDescent="0.35">
      <c r="A74" t="s">
        <v>128</v>
      </c>
      <c r="B74" s="2">
        <v>45680</v>
      </c>
      <c r="C74" t="s">
        <v>15</v>
      </c>
      <c r="D74" t="s">
        <v>46</v>
      </c>
      <c r="E74" t="s">
        <v>53</v>
      </c>
      <c r="F74" t="s">
        <v>54</v>
      </c>
      <c r="G74" t="s">
        <v>22</v>
      </c>
      <c r="H74" t="s">
        <v>20</v>
      </c>
      <c r="I74">
        <v>7</v>
      </c>
      <c r="J74" s="3">
        <v>8.2899999999999991</v>
      </c>
      <c r="K74" s="4">
        <v>0.15</v>
      </c>
      <c r="L74" s="3">
        <v>49.33</v>
      </c>
      <c r="M74" s="3">
        <v>31.01</v>
      </c>
      <c r="N74" s="3">
        <v>18.32</v>
      </c>
    </row>
    <row r="75" spans="1:14" x14ac:dyDescent="0.35">
      <c r="A75" t="s">
        <v>129</v>
      </c>
      <c r="B75" s="2">
        <v>45680</v>
      </c>
      <c r="C75" t="s">
        <v>25</v>
      </c>
      <c r="D75" t="s">
        <v>26</v>
      </c>
      <c r="E75" t="s">
        <v>53</v>
      </c>
      <c r="F75" t="s">
        <v>54</v>
      </c>
      <c r="G75" t="s">
        <v>22</v>
      </c>
      <c r="H75" t="s">
        <v>20</v>
      </c>
      <c r="I75">
        <v>11</v>
      </c>
      <c r="J75" s="3">
        <v>7.85</v>
      </c>
      <c r="K75" s="4">
        <v>0</v>
      </c>
      <c r="L75" s="3">
        <v>86.35</v>
      </c>
      <c r="M75" s="3">
        <v>44.36</v>
      </c>
      <c r="N75" s="3">
        <v>41.99</v>
      </c>
    </row>
    <row r="76" spans="1:14" x14ac:dyDescent="0.35">
      <c r="A76" t="s">
        <v>130</v>
      </c>
      <c r="B76" s="2">
        <v>45680</v>
      </c>
      <c r="C76" t="s">
        <v>40</v>
      </c>
      <c r="D76" t="s">
        <v>71</v>
      </c>
      <c r="E76" t="s">
        <v>53</v>
      </c>
      <c r="F76" t="s">
        <v>115</v>
      </c>
      <c r="G76" t="s">
        <v>29</v>
      </c>
      <c r="H76" t="s">
        <v>30</v>
      </c>
      <c r="I76">
        <v>4</v>
      </c>
      <c r="J76" s="3">
        <v>10.8</v>
      </c>
      <c r="K76" s="4">
        <v>0</v>
      </c>
      <c r="L76" s="3">
        <v>43.2</v>
      </c>
      <c r="M76" s="3">
        <v>33.14</v>
      </c>
      <c r="N76" s="3">
        <v>10.06</v>
      </c>
    </row>
    <row r="77" spans="1:14" x14ac:dyDescent="0.35">
      <c r="A77" t="s">
        <v>131</v>
      </c>
      <c r="B77" s="2">
        <v>45681</v>
      </c>
      <c r="C77" t="s">
        <v>15</v>
      </c>
      <c r="D77" t="s">
        <v>16</v>
      </c>
      <c r="E77" t="s">
        <v>37</v>
      </c>
      <c r="F77" t="s">
        <v>75</v>
      </c>
      <c r="G77" t="s">
        <v>29</v>
      </c>
      <c r="H77" t="s">
        <v>30</v>
      </c>
      <c r="I77">
        <v>12</v>
      </c>
      <c r="J77" s="3">
        <v>22.9</v>
      </c>
      <c r="K77" s="4">
        <v>0.15</v>
      </c>
      <c r="L77" s="3">
        <v>233.58</v>
      </c>
      <c r="M77" s="3">
        <v>191.6</v>
      </c>
      <c r="N77" s="3">
        <v>41.98</v>
      </c>
    </row>
    <row r="78" spans="1:14" x14ac:dyDescent="0.35">
      <c r="A78" t="s">
        <v>132</v>
      </c>
      <c r="B78" s="2">
        <v>45682</v>
      </c>
      <c r="C78" t="s">
        <v>15</v>
      </c>
      <c r="D78" t="s">
        <v>16</v>
      </c>
      <c r="E78" t="s">
        <v>27</v>
      </c>
      <c r="F78" t="s">
        <v>28</v>
      </c>
      <c r="G78" t="s">
        <v>29</v>
      </c>
      <c r="H78" t="s">
        <v>23</v>
      </c>
      <c r="I78">
        <v>5</v>
      </c>
      <c r="J78" s="3">
        <v>123.68</v>
      </c>
      <c r="K78" s="4">
        <v>0.05</v>
      </c>
      <c r="L78" s="3">
        <v>587.48</v>
      </c>
      <c r="M78" s="3">
        <v>436.28</v>
      </c>
      <c r="N78" s="3">
        <v>151.19999999999999</v>
      </c>
    </row>
    <row r="79" spans="1:14" x14ac:dyDescent="0.35">
      <c r="A79" t="s">
        <v>133</v>
      </c>
      <c r="B79" s="2">
        <v>45683</v>
      </c>
      <c r="C79" t="s">
        <v>40</v>
      </c>
      <c r="D79" t="s">
        <v>41</v>
      </c>
      <c r="E79" t="s">
        <v>17</v>
      </c>
      <c r="F79" t="s">
        <v>18</v>
      </c>
      <c r="G79" t="s">
        <v>22</v>
      </c>
      <c r="H79" t="s">
        <v>30</v>
      </c>
      <c r="I79">
        <v>2</v>
      </c>
      <c r="J79" s="3">
        <v>71.239999999999995</v>
      </c>
      <c r="K79" s="4">
        <v>0.1</v>
      </c>
      <c r="L79" s="3">
        <v>128.22999999999999</v>
      </c>
      <c r="M79" s="3">
        <v>101.47</v>
      </c>
      <c r="N79" s="3">
        <v>26.76</v>
      </c>
    </row>
    <row r="80" spans="1:14" x14ac:dyDescent="0.35">
      <c r="A80" t="s">
        <v>134</v>
      </c>
      <c r="B80" s="2">
        <v>45683</v>
      </c>
      <c r="C80" t="s">
        <v>15</v>
      </c>
      <c r="D80" t="s">
        <v>46</v>
      </c>
      <c r="E80" t="s">
        <v>37</v>
      </c>
      <c r="F80" t="s">
        <v>38</v>
      </c>
      <c r="G80" t="s">
        <v>19</v>
      </c>
      <c r="H80" t="s">
        <v>23</v>
      </c>
      <c r="I80">
        <v>8</v>
      </c>
      <c r="J80" s="3">
        <v>59.49</v>
      </c>
      <c r="K80" s="4">
        <v>0.1</v>
      </c>
      <c r="L80" s="3">
        <v>428.33</v>
      </c>
      <c r="M80" s="3">
        <v>315.12</v>
      </c>
      <c r="N80" s="3">
        <v>113.21</v>
      </c>
    </row>
    <row r="81" spans="1:14" x14ac:dyDescent="0.35">
      <c r="A81" t="s">
        <v>135</v>
      </c>
      <c r="B81" s="2">
        <v>45683</v>
      </c>
      <c r="C81" t="s">
        <v>15</v>
      </c>
      <c r="D81" t="s">
        <v>16</v>
      </c>
      <c r="E81" t="s">
        <v>37</v>
      </c>
      <c r="F81" t="s">
        <v>42</v>
      </c>
      <c r="G81" t="s">
        <v>22</v>
      </c>
      <c r="H81" t="s">
        <v>23</v>
      </c>
      <c r="I81">
        <v>4</v>
      </c>
      <c r="J81" s="3">
        <v>16.350000000000001</v>
      </c>
      <c r="K81" s="4">
        <v>0.1</v>
      </c>
      <c r="L81" s="3">
        <v>58.86</v>
      </c>
      <c r="M81" s="3">
        <v>40.840000000000003</v>
      </c>
      <c r="N81" s="3">
        <v>18.02</v>
      </c>
    </row>
    <row r="82" spans="1:14" x14ac:dyDescent="0.35">
      <c r="A82" t="s">
        <v>136</v>
      </c>
      <c r="B82" s="2">
        <v>45684</v>
      </c>
      <c r="C82" t="s">
        <v>15</v>
      </c>
      <c r="D82" t="s">
        <v>46</v>
      </c>
      <c r="E82" t="s">
        <v>27</v>
      </c>
      <c r="F82" t="s">
        <v>28</v>
      </c>
      <c r="G82" t="s">
        <v>29</v>
      </c>
      <c r="H82" t="s">
        <v>20</v>
      </c>
      <c r="I82">
        <v>2</v>
      </c>
      <c r="J82" s="3">
        <v>155.24</v>
      </c>
      <c r="K82" s="4">
        <v>0.1</v>
      </c>
      <c r="L82" s="3">
        <v>279.43</v>
      </c>
      <c r="M82" s="3">
        <v>240.26</v>
      </c>
      <c r="N82" s="3">
        <v>39.17</v>
      </c>
    </row>
    <row r="83" spans="1:14" x14ac:dyDescent="0.35">
      <c r="A83" t="s">
        <v>137</v>
      </c>
      <c r="B83" s="2">
        <v>45684</v>
      </c>
      <c r="C83" t="s">
        <v>32</v>
      </c>
      <c r="D83" t="s">
        <v>57</v>
      </c>
      <c r="E83" t="s">
        <v>53</v>
      </c>
      <c r="F83" t="s">
        <v>83</v>
      </c>
      <c r="G83" t="s">
        <v>19</v>
      </c>
      <c r="H83" t="s">
        <v>20</v>
      </c>
      <c r="I83">
        <v>11</v>
      </c>
      <c r="J83" s="3">
        <v>13.46</v>
      </c>
      <c r="K83" s="4">
        <v>0.1</v>
      </c>
      <c r="L83" s="3">
        <v>133.25</v>
      </c>
      <c r="M83" s="3">
        <v>79.959999999999994</v>
      </c>
      <c r="N83" s="3">
        <v>53.29</v>
      </c>
    </row>
    <row r="84" spans="1:14" x14ac:dyDescent="0.35">
      <c r="A84" t="s">
        <v>138</v>
      </c>
      <c r="B84" s="2">
        <v>45684</v>
      </c>
      <c r="C84" t="s">
        <v>15</v>
      </c>
      <c r="D84" t="s">
        <v>59</v>
      </c>
      <c r="E84" t="s">
        <v>53</v>
      </c>
      <c r="F84" t="s">
        <v>54</v>
      </c>
      <c r="G84" t="s">
        <v>22</v>
      </c>
      <c r="H84" t="s">
        <v>30</v>
      </c>
      <c r="I84">
        <v>10</v>
      </c>
      <c r="J84" s="3">
        <v>8.44</v>
      </c>
      <c r="K84" s="4">
        <v>0.1</v>
      </c>
      <c r="L84" s="3">
        <v>75.959999999999994</v>
      </c>
      <c r="M84" s="3">
        <v>53.39</v>
      </c>
      <c r="N84" s="3">
        <v>22.57</v>
      </c>
    </row>
    <row r="85" spans="1:14" x14ac:dyDescent="0.35">
      <c r="A85" t="s">
        <v>139</v>
      </c>
      <c r="B85" s="2">
        <v>45684</v>
      </c>
      <c r="C85" t="s">
        <v>40</v>
      </c>
      <c r="D85" t="s">
        <v>71</v>
      </c>
      <c r="E85" t="s">
        <v>27</v>
      </c>
      <c r="F85" t="s">
        <v>68</v>
      </c>
      <c r="G85" t="s">
        <v>19</v>
      </c>
      <c r="H85" t="s">
        <v>30</v>
      </c>
      <c r="I85">
        <v>5</v>
      </c>
      <c r="J85" s="3">
        <v>38.58</v>
      </c>
      <c r="K85" s="4">
        <v>0.15</v>
      </c>
      <c r="L85" s="3">
        <v>163.96</v>
      </c>
      <c r="M85" s="3">
        <v>98.42</v>
      </c>
      <c r="N85" s="3">
        <v>65.540000000000006</v>
      </c>
    </row>
    <row r="86" spans="1:14" x14ac:dyDescent="0.35">
      <c r="A86" t="s">
        <v>140</v>
      </c>
      <c r="B86" s="2">
        <v>45685</v>
      </c>
      <c r="C86" t="s">
        <v>15</v>
      </c>
      <c r="D86" t="s">
        <v>46</v>
      </c>
      <c r="E86" t="s">
        <v>53</v>
      </c>
      <c r="F86" t="s">
        <v>66</v>
      </c>
      <c r="G86" t="s">
        <v>19</v>
      </c>
      <c r="H86" t="s">
        <v>30</v>
      </c>
      <c r="I86">
        <v>9</v>
      </c>
      <c r="J86" s="3">
        <v>18.37</v>
      </c>
      <c r="K86" s="4">
        <v>0</v>
      </c>
      <c r="L86" s="3">
        <v>165.33</v>
      </c>
      <c r="M86" s="3">
        <v>124.54</v>
      </c>
      <c r="N86" s="3">
        <v>40.79</v>
      </c>
    </row>
    <row r="87" spans="1:14" x14ac:dyDescent="0.35">
      <c r="A87" t="s">
        <v>141</v>
      </c>
      <c r="B87" s="2">
        <v>45685</v>
      </c>
      <c r="C87" t="s">
        <v>25</v>
      </c>
      <c r="D87" t="s">
        <v>26</v>
      </c>
      <c r="E87" t="s">
        <v>37</v>
      </c>
      <c r="F87" t="s">
        <v>51</v>
      </c>
      <c r="G87" t="s">
        <v>19</v>
      </c>
      <c r="H87" t="s">
        <v>30</v>
      </c>
      <c r="I87">
        <v>9</v>
      </c>
      <c r="J87" s="3">
        <v>36.71</v>
      </c>
      <c r="K87" s="4">
        <v>0.1</v>
      </c>
      <c r="L87" s="3">
        <v>297.35000000000002</v>
      </c>
      <c r="M87" s="3">
        <v>244.76</v>
      </c>
      <c r="N87" s="3">
        <v>52.59</v>
      </c>
    </row>
    <row r="88" spans="1:14" x14ac:dyDescent="0.35">
      <c r="A88" t="s">
        <v>142</v>
      </c>
      <c r="B88" s="2">
        <v>45686</v>
      </c>
      <c r="C88" t="s">
        <v>15</v>
      </c>
      <c r="D88" t="s">
        <v>46</v>
      </c>
      <c r="E88" t="s">
        <v>53</v>
      </c>
      <c r="F88" t="s">
        <v>115</v>
      </c>
      <c r="G88" t="s">
        <v>19</v>
      </c>
      <c r="H88" t="s">
        <v>23</v>
      </c>
      <c r="I88">
        <v>12</v>
      </c>
      <c r="J88" s="3">
        <v>13.16</v>
      </c>
      <c r="K88" s="4">
        <v>0.1</v>
      </c>
      <c r="L88" s="3">
        <v>142.13</v>
      </c>
      <c r="M88" s="3">
        <v>110.53</v>
      </c>
      <c r="N88" s="3">
        <v>31.6</v>
      </c>
    </row>
    <row r="89" spans="1:14" x14ac:dyDescent="0.35">
      <c r="A89" t="s">
        <v>143</v>
      </c>
      <c r="B89" s="2">
        <v>45686</v>
      </c>
      <c r="C89" t="s">
        <v>40</v>
      </c>
      <c r="D89" t="s">
        <v>41</v>
      </c>
      <c r="E89" t="s">
        <v>37</v>
      </c>
      <c r="F89" t="s">
        <v>38</v>
      </c>
      <c r="G89" t="s">
        <v>29</v>
      </c>
      <c r="H89" t="s">
        <v>20</v>
      </c>
      <c r="I89">
        <v>7</v>
      </c>
      <c r="J89" s="3">
        <v>54.48</v>
      </c>
      <c r="K89" s="4">
        <v>0.15</v>
      </c>
      <c r="L89" s="3">
        <v>324.16000000000003</v>
      </c>
      <c r="M89" s="3">
        <v>269.08</v>
      </c>
      <c r="N89" s="3">
        <v>55.08</v>
      </c>
    </row>
    <row r="90" spans="1:14" x14ac:dyDescent="0.35">
      <c r="A90" t="s">
        <v>144</v>
      </c>
      <c r="B90" s="2">
        <v>45686</v>
      </c>
      <c r="C90" t="s">
        <v>32</v>
      </c>
      <c r="D90" t="s">
        <v>57</v>
      </c>
      <c r="E90" t="s">
        <v>27</v>
      </c>
      <c r="F90" t="s">
        <v>79</v>
      </c>
      <c r="G90" t="s">
        <v>19</v>
      </c>
      <c r="H90" t="s">
        <v>23</v>
      </c>
      <c r="I90">
        <v>9</v>
      </c>
      <c r="J90" s="3">
        <v>114.13</v>
      </c>
      <c r="K90" s="4">
        <v>0</v>
      </c>
      <c r="L90" s="3">
        <v>1027.17</v>
      </c>
      <c r="M90" s="3">
        <v>670.97</v>
      </c>
      <c r="N90" s="3">
        <v>356.2</v>
      </c>
    </row>
    <row r="91" spans="1:14" x14ac:dyDescent="0.35">
      <c r="A91" t="s">
        <v>145</v>
      </c>
      <c r="B91" s="2">
        <v>45686</v>
      </c>
      <c r="C91" t="s">
        <v>15</v>
      </c>
      <c r="D91" t="s">
        <v>59</v>
      </c>
      <c r="E91" t="s">
        <v>37</v>
      </c>
      <c r="F91" t="s">
        <v>75</v>
      </c>
      <c r="G91" t="s">
        <v>22</v>
      </c>
      <c r="H91" t="s">
        <v>23</v>
      </c>
      <c r="I91">
        <v>2</v>
      </c>
      <c r="J91" s="3">
        <v>23.75</v>
      </c>
      <c r="K91" s="4">
        <v>0</v>
      </c>
      <c r="L91" s="3">
        <v>47.5</v>
      </c>
      <c r="M91" s="3">
        <v>26.22</v>
      </c>
      <c r="N91" s="3">
        <v>21.28</v>
      </c>
    </row>
    <row r="92" spans="1:14" x14ac:dyDescent="0.35">
      <c r="A92" t="s">
        <v>146</v>
      </c>
      <c r="B92" s="2">
        <v>45687</v>
      </c>
      <c r="C92" t="s">
        <v>32</v>
      </c>
      <c r="D92" t="s">
        <v>33</v>
      </c>
      <c r="E92" t="s">
        <v>53</v>
      </c>
      <c r="F92" t="s">
        <v>115</v>
      </c>
      <c r="G92" t="s">
        <v>19</v>
      </c>
      <c r="H92" t="s">
        <v>30</v>
      </c>
      <c r="I92">
        <v>8</v>
      </c>
      <c r="J92" s="3">
        <v>10.41</v>
      </c>
      <c r="K92" s="4">
        <v>0.05</v>
      </c>
      <c r="L92" s="3">
        <v>79.12</v>
      </c>
      <c r="M92" s="3">
        <v>57.58</v>
      </c>
      <c r="N92" s="3">
        <v>21.54</v>
      </c>
    </row>
    <row r="93" spans="1:14" x14ac:dyDescent="0.35">
      <c r="A93" t="s">
        <v>147</v>
      </c>
      <c r="B93" s="2">
        <v>45688</v>
      </c>
      <c r="C93" t="s">
        <v>15</v>
      </c>
      <c r="D93" t="s">
        <v>16</v>
      </c>
      <c r="E93" t="s">
        <v>53</v>
      </c>
      <c r="F93" t="s">
        <v>115</v>
      </c>
      <c r="G93" t="s">
        <v>22</v>
      </c>
      <c r="H93" t="s">
        <v>20</v>
      </c>
      <c r="I93">
        <v>7</v>
      </c>
      <c r="J93" s="3">
        <v>14.03</v>
      </c>
      <c r="K93" s="4">
        <v>0.1</v>
      </c>
      <c r="L93" s="3">
        <v>88.39</v>
      </c>
      <c r="M93" s="3">
        <v>70.78</v>
      </c>
      <c r="N93" s="3">
        <v>17.61</v>
      </c>
    </row>
    <row r="94" spans="1:14" x14ac:dyDescent="0.35">
      <c r="A94" t="s">
        <v>148</v>
      </c>
      <c r="B94" s="2">
        <v>45688</v>
      </c>
      <c r="C94" t="s">
        <v>40</v>
      </c>
      <c r="D94" t="s">
        <v>50</v>
      </c>
      <c r="E94" t="s">
        <v>37</v>
      </c>
      <c r="F94" t="s">
        <v>51</v>
      </c>
      <c r="G94" t="s">
        <v>29</v>
      </c>
      <c r="H94" t="s">
        <v>23</v>
      </c>
      <c r="I94">
        <v>11</v>
      </c>
      <c r="J94" s="3">
        <v>29.56</v>
      </c>
      <c r="K94" s="4">
        <v>0</v>
      </c>
      <c r="L94" s="3">
        <v>325.16000000000003</v>
      </c>
      <c r="M94" s="3">
        <v>171.4</v>
      </c>
      <c r="N94" s="3">
        <v>153.76</v>
      </c>
    </row>
    <row r="95" spans="1:14" x14ac:dyDescent="0.35">
      <c r="A95" t="s">
        <v>149</v>
      </c>
      <c r="B95" s="2">
        <v>45688</v>
      </c>
      <c r="C95" t="s">
        <v>25</v>
      </c>
      <c r="D95" t="s">
        <v>97</v>
      </c>
      <c r="E95" t="s">
        <v>53</v>
      </c>
      <c r="F95" t="s">
        <v>66</v>
      </c>
      <c r="G95" t="s">
        <v>22</v>
      </c>
      <c r="H95" t="s">
        <v>20</v>
      </c>
      <c r="I95">
        <v>8</v>
      </c>
      <c r="J95" s="3">
        <v>20.03</v>
      </c>
      <c r="K95" s="4">
        <v>0</v>
      </c>
      <c r="L95" s="3">
        <v>160.24</v>
      </c>
      <c r="M95" s="3">
        <v>94.98</v>
      </c>
      <c r="N95" s="3">
        <v>65.260000000000005</v>
      </c>
    </row>
    <row r="96" spans="1:14" x14ac:dyDescent="0.35">
      <c r="A96" t="s">
        <v>150</v>
      </c>
      <c r="B96" s="2">
        <v>45689</v>
      </c>
      <c r="C96" t="s">
        <v>25</v>
      </c>
      <c r="D96" t="s">
        <v>97</v>
      </c>
      <c r="E96" t="s">
        <v>27</v>
      </c>
      <c r="F96" t="s">
        <v>28</v>
      </c>
      <c r="G96" t="s">
        <v>19</v>
      </c>
      <c r="H96" t="s">
        <v>20</v>
      </c>
      <c r="I96">
        <v>11</v>
      </c>
      <c r="J96" s="3">
        <v>152.81</v>
      </c>
      <c r="K96" s="4">
        <v>0</v>
      </c>
      <c r="L96" s="3">
        <v>1680.91</v>
      </c>
      <c r="M96" s="3">
        <v>855.67</v>
      </c>
      <c r="N96" s="3">
        <v>825.24</v>
      </c>
    </row>
    <row r="97" spans="1:14" x14ac:dyDescent="0.35">
      <c r="A97" t="s">
        <v>151</v>
      </c>
      <c r="B97" s="2">
        <v>45690</v>
      </c>
      <c r="C97" t="s">
        <v>25</v>
      </c>
      <c r="D97" t="s">
        <v>97</v>
      </c>
      <c r="E97" t="s">
        <v>53</v>
      </c>
      <c r="F97" t="s">
        <v>115</v>
      </c>
      <c r="G97" t="s">
        <v>19</v>
      </c>
      <c r="H97" t="s">
        <v>30</v>
      </c>
      <c r="I97">
        <v>11</v>
      </c>
      <c r="J97" s="3">
        <v>10.91</v>
      </c>
      <c r="K97" s="4">
        <v>0</v>
      </c>
      <c r="L97" s="3">
        <v>120.01</v>
      </c>
      <c r="M97" s="3">
        <v>59.19</v>
      </c>
      <c r="N97" s="3">
        <v>60.82</v>
      </c>
    </row>
    <row r="98" spans="1:14" x14ac:dyDescent="0.35">
      <c r="A98" t="s">
        <v>152</v>
      </c>
      <c r="B98" s="2">
        <v>45690</v>
      </c>
      <c r="C98" t="s">
        <v>32</v>
      </c>
      <c r="D98" t="s">
        <v>57</v>
      </c>
      <c r="E98" t="s">
        <v>17</v>
      </c>
      <c r="F98" t="s">
        <v>87</v>
      </c>
      <c r="G98" t="s">
        <v>22</v>
      </c>
      <c r="H98" t="s">
        <v>23</v>
      </c>
      <c r="I98">
        <v>8</v>
      </c>
      <c r="J98" s="3">
        <v>12.43</v>
      </c>
      <c r="K98" s="4">
        <v>0.15</v>
      </c>
      <c r="L98" s="3">
        <v>84.52</v>
      </c>
      <c r="M98" s="3">
        <v>76.430000000000007</v>
      </c>
      <c r="N98" s="3">
        <v>8.09</v>
      </c>
    </row>
    <row r="99" spans="1:14" x14ac:dyDescent="0.35">
      <c r="A99" t="s">
        <v>153</v>
      </c>
      <c r="B99" s="2">
        <v>45690</v>
      </c>
      <c r="C99" t="s">
        <v>25</v>
      </c>
      <c r="D99" t="s">
        <v>26</v>
      </c>
      <c r="E99" t="s">
        <v>17</v>
      </c>
      <c r="F99" t="s">
        <v>34</v>
      </c>
      <c r="G99" t="s">
        <v>29</v>
      </c>
      <c r="H99" t="s">
        <v>20</v>
      </c>
      <c r="I99">
        <v>10</v>
      </c>
      <c r="J99" s="3">
        <v>23.97</v>
      </c>
      <c r="K99" s="4">
        <v>0.15</v>
      </c>
      <c r="L99" s="3">
        <v>203.74</v>
      </c>
      <c r="M99" s="3">
        <v>133.13999999999999</v>
      </c>
      <c r="N99" s="3">
        <v>70.599999999999994</v>
      </c>
    </row>
    <row r="100" spans="1:14" x14ac:dyDescent="0.35">
      <c r="A100" t="s">
        <v>154</v>
      </c>
      <c r="B100" s="2">
        <v>45690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 t="s">
        <v>20</v>
      </c>
      <c r="I100">
        <v>10</v>
      </c>
      <c r="J100" s="3">
        <v>151.36000000000001</v>
      </c>
      <c r="K100" s="4">
        <v>0.15</v>
      </c>
      <c r="L100" s="3">
        <v>1286.56</v>
      </c>
      <c r="M100" s="3">
        <v>826.52</v>
      </c>
      <c r="N100" s="3">
        <v>460.04</v>
      </c>
    </row>
    <row r="101" spans="1:14" x14ac:dyDescent="0.35">
      <c r="A101" t="s">
        <v>155</v>
      </c>
      <c r="B101" s="2">
        <v>45691</v>
      </c>
      <c r="C101" t="s">
        <v>32</v>
      </c>
      <c r="D101" t="s">
        <v>57</v>
      </c>
      <c r="E101" t="s">
        <v>17</v>
      </c>
      <c r="F101" t="s">
        <v>44</v>
      </c>
      <c r="G101" t="s">
        <v>29</v>
      </c>
      <c r="H101" t="s">
        <v>20</v>
      </c>
      <c r="I101">
        <v>6</v>
      </c>
      <c r="J101" s="3">
        <v>16.28</v>
      </c>
      <c r="K101" s="4">
        <v>0</v>
      </c>
      <c r="L101" s="3">
        <v>97.68</v>
      </c>
      <c r="M101" s="3">
        <v>55.16</v>
      </c>
      <c r="N101" s="3">
        <v>42.52</v>
      </c>
    </row>
    <row r="102" spans="1:14" x14ac:dyDescent="0.35">
      <c r="A102" t="s">
        <v>156</v>
      </c>
      <c r="B102" s="2">
        <v>45691</v>
      </c>
      <c r="C102" t="s">
        <v>25</v>
      </c>
      <c r="D102" t="s">
        <v>26</v>
      </c>
      <c r="E102" t="s">
        <v>27</v>
      </c>
      <c r="F102" t="s">
        <v>48</v>
      </c>
      <c r="G102" t="s">
        <v>22</v>
      </c>
      <c r="H102" t="s">
        <v>23</v>
      </c>
      <c r="I102">
        <v>3</v>
      </c>
      <c r="J102" s="3">
        <v>292.02999999999997</v>
      </c>
      <c r="K102" s="4">
        <v>0.15</v>
      </c>
      <c r="L102" s="3">
        <v>744.68</v>
      </c>
      <c r="M102" s="3">
        <v>651.64</v>
      </c>
      <c r="N102" s="3">
        <v>93.04</v>
      </c>
    </row>
    <row r="103" spans="1:14" x14ac:dyDescent="0.35">
      <c r="A103" t="s">
        <v>157</v>
      </c>
      <c r="B103" s="2">
        <v>45691</v>
      </c>
      <c r="C103" t="s">
        <v>32</v>
      </c>
      <c r="D103" t="s">
        <v>57</v>
      </c>
      <c r="E103" t="s">
        <v>53</v>
      </c>
      <c r="F103" t="s">
        <v>66</v>
      </c>
      <c r="G103" t="s">
        <v>22</v>
      </c>
      <c r="H103" t="s">
        <v>20</v>
      </c>
      <c r="I103">
        <v>10</v>
      </c>
      <c r="J103" s="3">
        <v>24.14</v>
      </c>
      <c r="K103" s="4">
        <v>0.15</v>
      </c>
      <c r="L103" s="3">
        <v>205.19</v>
      </c>
      <c r="M103" s="3">
        <v>168.66</v>
      </c>
      <c r="N103" s="3">
        <v>36.53</v>
      </c>
    </row>
    <row r="104" spans="1:14" x14ac:dyDescent="0.35">
      <c r="A104" t="s">
        <v>158</v>
      </c>
      <c r="B104" s="2">
        <v>45692</v>
      </c>
      <c r="C104" t="s">
        <v>32</v>
      </c>
      <c r="D104" t="s">
        <v>36</v>
      </c>
      <c r="E104" t="s">
        <v>17</v>
      </c>
      <c r="F104" t="s">
        <v>44</v>
      </c>
      <c r="G104" t="s">
        <v>19</v>
      </c>
      <c r="H104" t="s">
        <v>20</v>
      </c>
      <c r="I104">
        <v>5</v>
      </c>
      <c r="J104" s="3">
        <v>16.239999999999998</v>
      </c>
      <c r="K104" s="4">
        <v>0</v>
      </c>
      <c r="L104" s="3">
        <v>81.2</v>
      </c>
      <c r="M104" s="3">
        <v>55.9</v>
      </c>
      <c r="N104" s="3">
        <v>25.3</v>
      </c>
    </row>
    <row r="105" spans="1:14" x14ac:dyDescent="0.35">
      <c r="A105" t="s">
        <v>159</v>
      </c>
      <c r="B105" s="2">
        <v>45692</v>
      </c>
      <c r="C105" t="s">
        <v>40</v>
      </c>
      <c r="D105" t="s">
        <v>41</v>
      </c>
      <c r="E105" t="s">
        <v>37</v>
      </c>
      <c r="F105" t="s">
        <v>51</v>
      </c>
      <c r="G105" t="s">
        <v>22</v>
      </c>
      <c r="H105" t="s">
        <v>23</v>
      </c>
      <c r="I105">
        <v>3</v>
      </c>
      <c r="J105" s="3">
        <v>36.979999999999997</v>
      </c>
      <c r="K105" s="4">
        <v>0</v>
      </c>
      <c r="L105" s="3">
        <v>110.94</v>
      </c>
      <c r="M105" s="3">
        <v>56.81</v>
      </c>
      <c r="N105" s="3">
        <v>54.13</v>
      </c>
    </row>
    <row r="106" spans="1:14" x14ac:dyDescent="0.35">
      <c r="A106" t="s">
        <v>160</v>
      </c>
      <c r="B106" s="2">
        <v>45692</v>
      </c>
      <c r="C106" t="s">
        <v>15</v>
      </c>
      <c r="D106" t="s">
        <v>46</v>
      </c>
      <c r="E106" t="s">
        <v>37</v>
      </c>
      <c r="F106" t="s">
        <v>38</v>
      </c>
      <c r="G106" t="s">
        <v>29</v>
      </c>
      <c r="H106" t="s">
        <v>30</v>
      </c>
      <c r="I106">
        <v>4</v>
      </c>
      <c r="J106" s="3">
        <v>47.52</v>
      </c>
      <c r="K106" s="4">
        <v>0</v>
      </c>
      <c r="L106" s="3">
        <v>190.08</v>
      </c>
      <c r="M106" s="3">
        <v>145.34</v>
      </c>
      <c r="N106" s="3">
        <v>44.74</v>
      </c>
    </row>
    <row r="107" spans="1:14" x14ac:dyDescent="0.35">
      <c r="A107" t="s">
        <v>161</v>
      </c>
      <c r="B107" s="2">
        <v>45693</v>
      </c>
      <c r="C107" t="s">
        <v>32</v>
      </c>
      <c r="D107" t="s">
        <v>33</v>
      </c>
      <c r="E107" t="s">
        <v>27</v>
      </c>
      <c r="F107" t="s">
        <v>28</v>
      </c>
      <c r="G107" t="s">
        <v>19</v>
      </c>
      <c r="H107" t="s">
        <v>23</v>
      </c>
      <c r="I107">
        <v>7</v>
      </c>
      <c r="J107" s="3">
        <v>158.69999999999999</v>
      </c>
      <c r="K107" s="4">
        <v>0</v>
      </c>
      <c r="L107" s="3">
        <v>1110.9000000000001</v>
      </c>
      <c r="M107" s="3">
        <v>774.88</v>
      </c>
      <c r="N107" s="3">
        <v>336.02</v>
      </c>
    </row>
    <row r="108" spans="1:14" x14ac:dyDescent="0.35">
      <c r="A108" t="s">
        <v>162</v>
      </c>
      <c r="B108" s="2">
        <v>45693</v>
      </c>
      <c r="C108" t="s">
        <v>40</v>
      </c>
      <c r="D108" t="s">
        <v>50</v>
      </c>
      <c r="E108" t="s">
        <v>37</v>
      </c>
      <c r="F108" t="s">
        <v>75</v>
      </c>
      <c r="G108" t="s">
        <v>29</v>
      </c>
      <c r="H108" t="s">
        <v>20</v>
      </c>
      <c r="I108">
        <v>6</v>
      </c>
      <c r="J108" s="3">
        <v>24.55</v>
      </c>
      <c r="K108" s="4">
        <v>0</v>
      </c>
      <c r="L108" s="3">
        <v>147.30000000000001</v>
      </c>
      <c r="M108" s="3">
        <v>74.7</v>
      </c>
      <c r="N108" s="3">
        <v>72.599999999999994</v>
      </c>
    </row>
    <row r="109" spans="1:14" x14ac:dyDescent="0.35">
      <c r="A109" t="s">
        <v>163</v>
      </c>
      <c r="B109" s="2">
        <v>45693</v>
      </c>
      <c r="C109" t="s">
        <v>15</v>
      </c>
      <c r="D109" t="s">
        <v>46</v>
      </c>
      <c r="E109" t="s">
        <v>37</v>
      </c>
      <c r="F109" t="s">
        <v>51</v>
      </c>
      <c r="G109" t="s">
        <v>19</v>
      </c>
      <c r="H109" t="s">
        <v>30</v>
      </c>
      <c r="I109">
        <v>5</v>
      </c>
      <c r="J109" s="3">
        <v>38.229999999999997</v>
      </c>
      <c r="K109" s="4">
        <v>0</v>
      </c>
      <c r="L109" s="3">
        <v>191.15</v>
      </c>
      <c r="M109" s="3">
        <v>141.44</v>
      </c>
      <c r="N109" s="3">
        <v>49.71</v>
      </c>
    </row>
    <row r="110" spans="1:14" x14ac:dyDescent="0.35">
      <c r="A110" t="s">
        <v>164</v>
      </c>
      <c r="B110" s="2">
        <v>45693</v>
      </c>
      <c r="C110" t="s">
        <v>15</v>
      </c>
      <c r="D110" t="s">
        <v>46</v>
      </c>
      <c r="E110" t="s">
        <v>17</v>
      </c>
      <c r="F110" t="s">
        <v>18</v>
      </c>
      <c r="G110" t="s">
        <v>19</v>
      </c>
      <c r="H110" t="s">
        <v>20</v>
      </c>
      <c r="I110">
        <v>3</v>
      </c>
      <c r="J110" s="3">
        <v>61.52</v>
      </c>
      <c r="K110" s="4">
        <v>0.1</v>
      </c>
      <c r="L110" s="3">
        <v>166.1</v>
      </c>
      <c r="M110" s="3">
        <v>125.8</v>
      </c>
      <c r="N110" s="3">
        <v>40.299999999999997</v>
      </c>
    </row>
    <row r="111" spans="1:14" x14ac:dyDescent="0.35">
      <c r="A111" t="s">
        <v>165</v>
      </c>
      <c r="B111" s="2">
        <v>45693</v>
      </c>
      <c r="C111" t="s">
        <v>15</v>
      </c>
      <c r="D111" t="s">
        <v>46</v>
      </c>
      <c r="E111" t="s">
        <v>53</v>
      </c>
      <c r="F111" t="s">
        <v>54</v>
      </c>
      <c r="G111" t="s">
        <v>22</v>
      </c>
      <c r="H111" t="s">
        <v>20</v>
      </c>
      <c r="I111">
        <v>11</v>
      </c>
      <c r="J111" s="3">
        <v>8.1300000000000008</v>
      </c>
      <c r="K111" s="4">
        <v>0.15</v>
      </c>
      <c r="L111" s="3">
        <v>76.02</v>
      </c>
      <c r="M111" s="3">
        <v>47.36</v>
      </c>
      <c r="N111" s="3">
        <v>28.66</v>
      </c>
    </row>
    <row r="112" spans="1:14" x14ac:dyDescent="0.35">
      <c r="A112" t="s">
        <v>166</v>
      </c>
      <c r="B112" s="2">
        <v>45693</v>
      </c>
      <c r="C112" t="s">
        <v>25</v>
      </c>
      <c r="D112" t="s">
        <v>97</v>
      </c>
      <c r="E112" t="s">
        <v>53</v>
      </c>
      <c r="F112" t="s">
        <v>66</v>
      </c>
      <c r="G112" t="s">
        <v>19</v>
      </c>
      <c r="H112" t="s">
        <v>23</v>
      </c>
      <c r="I112">
        <v>4</v>
      </c>
      <c r="J112" s="3">
        <v>23.34</v>
      </c>
      <c r="K112" s="4">
        <v>0.1</v>
      </c>
      <c r="L112" s="3">
        <v>84.02</v>
      </c>
      <c r="M112" s="3">
        <v>72.209999999999994</v>
      </c>
      <c r="N112" s="3">
        <v>11.81</v>
      </c>
    </row>
    <row r="113" spans="1:14" x14ac:dyDescent="0.35">
      <c r="A113" t="s">
        <v>167</v>
      </c>
      <c r="B113" s="2">
        <v>45693</v>
      </c>
      <c r="C113" t="s">
        <v>32</v>
      </c>
      <c r="D113" t="s">
        <v>36</v>
      </c>
      <c r="E113" t="s">
        <v>53</v>
      </c>
      <c r="F113" t="s">
        <v>115</v>
      </c>
      <c r="G113" t="s">
        <v>19</v>
      </c>
      <c r="H113" t="s">
        <v>20</v>
      </c>
      <c r="I113">
        <v>7</v>
      </c>
      <c r="J113" s="3">
        <v>14.21</v>
      </c>
      <c r="K113" s="4">
        <v>0.1</v>
      </c>
      <c r="L113" s="3">
        <v>89.52</v>
      </c>
      <c r="M113" s="3">
        <v>51.36</v>
      </c>
      <c r="N113" s="3">
        <v>38.159999999999997</v>
      </c>
    </row>
    <row r="114" spans="1:14" x14ac:dyDescent="0.35">
      <c r="A114" t="s">
        <v>168</v>
      </c>
      <c r="B114" s="2">
        <v>45694</v>
      </c>
      <c r="C114" t="s">
        <v>25</v>
      </c>
      <c r="D114" t="s">
        <v>97</v>
      </c>
      <c r="E114" t="s">
        <v>37</v>
      </c>
      <c r="F114" t="s">
        <v>51</v>
      </c>
      <c r="G114" t="s">
        <v>19</v>
      </c>
      <c r="H114" t="s">
        <v>20</v>
      </c>
      <c r="I114">
        <v>11</v>
      </c>
      <c r="J114" s="3">
        <v>32.700000000000003</v>
      </c>
      <c r="K114" s="4">
        <v>0</v>
      </c>
      <c r="L114" s="3">
        <v>359.7</v>
      </c>
      <c r="M114" s="3">
        <v>223.16</v>
      </c>
      <c r="N114" s="3">
        <v>136.54</v>
      </c>
    </row>
    <row r="115" spans="1:14" x14ac:dyDescent="0.35">
      <c r="A115" t="s">
        <v>169</v>
      </c>
      <c r="B115" s="2">
        <v>45694</v>
      </c>
      <c r="C115" t="s">
        <v>25</v>
      </c>
      <c r="D115" t="s">
        <v>26</v>
      </c>
      <c r="E115" t="s">
        <v>17</v>
      </c>
      <c r="F115" t="s">
        <v>87</v>
      </c>
      <c r="G115" t="s">
        <v>22</v>
      </c>
      <c r="H115" t="s">
        <v>20</v>
      </c>
      <c r="I115">
        <v>4</v>
      </c>
      <c r="J115" s="3">
        <v>16.29</v>
      </c>
      <c r="K115" s="4">
        <v>0.05</v>
      </c>
      <c r="L115" s="3">
        <v>61.9</v>
      </c>
      <c r="M115" s="3">
        <v>47.25</v>
      </c>
      <c r="N115" s="3">
        <v>14.65</v>
      </c>
    </row>
    <row r="116" spans="1:14" x14ac:dyDescent="0.35">
      <c r="A116" t="s">
        <v>170</v>
      </c>
      <c r="B116" s="2">
        <v>45695</v>
      </c>
      <c r="C116" t="s">
        <v>25</v>
      </c>
      <c r="D116" t="s">
        <v>74</v>
      </c>
      <c r="E116" t="s">
        <v>17</v>
      </c>
      <c r="F116" t="s">
        <v>34</v>
      </c>
      <c r="G116" t="s">
        <v>22</v>
      </c>
      <c r="H116" t="s">
        <v>23</v>
      </c>
      <c r="I116">
        <v>9</v>
      </c>
      <c r="J116" s="3">
        <v>18.96</v>
      </c>
      <c r="K116" s="4">
        <v>0.15</v>
      </c>
      <c r="L116" s="3">
        <v>145.04</v>
      </c>
      <c r="M116" s="3">
        <v>116.74</v>
      </c>
      <c r="N116" s="3">
        <v>28.3</v>
      </c>
    </row>
    <row r="117" spans="1:14" x14ac:dyDescent="0.35">
      <c r="A117" t="s">
        <v>171</v>
      </c>
      <c r="B117" s="2">
        <v>45695</v>
      </c>
      <c r="C117" t="s">
        <v>25</v>
      </c>
      <c r="D117" t="s">
        <v>74</v>
      </c>
      <c r="E117" t="s">
        <v>17</v>
      </c>
      <c r="F117" t="s">
        <v>44</v>
      </c>
      <c r="G117" t="s">
        <v>22</v>
      </c>
      <c r="H117" t="s">
        <v>30</v>
      </c>
      <c r="I117">
        <v>11</v>
      </c>
      <c r="J117" s="3">
        <v>16.100000000000001</v>
      </c>
      <c r="K117" s="4">
        <v>0</v>
      </c>
      <c r="L117" s="3">
        <v>177.1</v>
      </c>
      <c r="M117" s="3">
        <v>89.55</v>
      </c>
      <c r="N117" s="3">
        <v>87.55</v>
      </c>
    </row>
    <row r="118" spans="1:14" x14ac:dyDescent="0.35">
      <c r="A118" t="s">
        <v>172</v>
      </c>
      <c r="B118" s="2">
        <v>45696</v>
      </c>
      <c r="C118" t="s">
        <v>40</v>
      </c>
      <c r="D118" t="s">
        <v>71</v>
      </c>
      <c r="E118" t="s">
        <v>17</v>
      </c>
      <c r="F118" t="s">
        <v>18</v>
      </c>
      <c r="G118" t="s">
        <v>29</v>
      </c>
      <c r="H118" t="s">
        <v>20</v>
      </c>
      <c r="I118">
        <v>9</v>
      </c>
      <c r="J118" s="3">
        <v>81.39</v>
      </c>
      <c r="K118" s="4">
        <v>0</v>
      </c>
      <c r="L118" s="3">
        <v>732.51</v>
      </c>
      <c r="M118" s="3">
        <v>560.98</v>
      </c>
      <c r="N118" s="3">
        <v>171.53</v>
      </c>
    </row>
    <row r="119" spans="1:14" x14ac:dyDescent="0.35">
      <c r="A119" t="s">
        <v>173</v>
      </c>
      <c r="B119" s="2">
        <v>45697</v>
      </c>
      <c r="C119" t="s">
        <v>25</v>
      </c>
      <c r="D119" t="s">
        <v>26</v>
      </c>
      <c r="E119" t="s">
        <v>27</v>
      </c>
      <c r="F119" t="s">
        <v>79</v>
      </c>
      <c r="G119" t="s">
        <v>22</v>
      </c>
      <c r="H119" t="s">
        <v>20</v>
      </c>
      <c r="I119">
        <v>1</v>
      </c>
      <c r="J119" s="3">
        <v>102.72</v>
      </c>
      <c r="K119" s="4">
        <v>0</v>
      </c>
      <c r="L119" s="3">
        <v>102.72</v>
      </c>
      <c r="M119" s="3">
        <v>65.989999999999995</v>
      </c>
      <c r="N119" s="3">
        <v>36.729999999999997</v>
      </c>
    </row>
    <row r="120" spans="1:14" x14ac:dyDescent="0.35">
      <c r="A120" t="s">
        <v>174</v>
      </c>
      <c r="B120" s="2">
        <v>45697</v>
      </c>
      <c r="C120" t="s">
        <v>40</v>
      </c>
      <c r="D120" t="s">
        <v>50</v>
      </c>
      <c r="E120" t="s">
        <v>27</v>
      </c>
      <c r="F120" t="s">
        <v>79</v>
      </c>
      <c r="G120" t="s">
        <v>19</v>
      </c>
      <c r="H120" t="s">
        <v>23</v>
      </c>
      <c r="I120">
        <v>4</v>
      </c>
      <c r="J120" s="3">
        <v>121.25</v>
      </c>
      <c r="K120" s="4">
        <v>0.1</v>
      </c>
      <c r="L120" s="3">
        <v>436.5</v>
      </c>
      <c r="M120" s="3">
        <v>319.2</v>
      </c>
      <c r="N120" s="3">
        <v>117.3</v>
      </c>
    </row>
    <row r="121" spans="1:14" x14ac:dyDescent="0.35">
      <c r="A121" t="s">
        <v>175</v>
      </c>
      <c r="B121" s="2">
        <v>45697</v>
      </c>
      <c r="C121" t="s">
        <v>15</v>
      </c>
      <c r="D121" t="s">
        <v>46</v>
      </c>
      <c r="E121" t="s">
        <v>53</v>
      </c>
      <c r="F121" t="s">
        <v>115</v>
      </c>
      <c r="G121" t="s">
        <v>22</v>
      </c>
      <c r="H121" t="s">
        <v>30</v>
      </c>
      <c r="I121">
        <v>3</v>
      </c>
      <c r="J121" s="3">
        <v>12.62</v>
      </c>
      <c r="K121" s="4">
        <v>0</v>
      </c>
      <c r="L121" s="3">
        <v>37.86</v>
      </c>
      <c r="M121" s="3">
        <v>26.62</v>
      </c>
      <c r="N121" s="3">
        <v>11.24</v>
      </c>
    </row>
    <row r="122" spans="1:14" x14ac:dyDescent="0.35">
      <c r="A122" t="s">
        <v>176</v>
      </c>
      <c r="B122" s="2">
        <v>45697</v>
      </c>
      <c r="C122" t="s">
        <v>32</v>
      </c>
      <c r="D122" t="s">
        <v>36</v>
      </c>
      <c r="E122" t="s">
        <v>53</v>
      </c>
      <c r="F122" t="s">
        <v>66</v>
      </c>
      <c r="G122" t="s">
        <v>19</v>
      </c>
      <c r="H122" t="s">
        <v>23</v>
      </c>
      <c r="I122">
        <v>6</v>
      </c>
      <c r="J122" s="3">
        <v>19.079999999999998</v>
      </c>
      <c r="K122" s="4">
        <v>0</v>
      </c>
      <c r="L122" s="3">
        <v>114.48</v>
      </c>
      <c r="M122" s="3">
        <v>83.17</v>
      </c>
      <c r="N122" s="3">
        <v>31.31</v>
      </c>
    </row>
    <row r="123" spans="1:14" x14ac:dyDescent="0.35">
      <c r="A123" t="s">
        <v>177</v>
      </c>
      <c r="B123" s="2">
        <v>45698</v>
      </c>
      <c r="C123" t="s">
        <v>15</v>
      </c>
      <c r="D123" t="s">
        <v>46</v>
      </c>
      <c r="E123" t="s">
        <v>17</v>
      </c>
      <c r="F123" t="s">
        <v>18</v>
      </c>
      <c r="G123" t="s">
        <v>29</v>
      </c>
      <c r="H123" t="s">
        <v>20</v>
      </c>
      <c r="I123">
        <v>2</v>
      </c>
      <c r="J123" s="3">
        <v>74.7</v>
      </c>
      <c r="K123" s="4">
        <v>0</v>
      </c>
      <c r="L123" s="3">
        <v>149.4</v>
      </c>
      <c r="M123" s="3">
        <v>74.02</v>
      </c>
      <c r="N123" s="3">
        <v>75.38</v>
      </c>
    </row>
    <row r="124" spans="1:14" x14ac:dyDescent="0.35">
      <c r="A124" t="s">
        <v>178</v>
      </c>
      <c r="B124" s="2">
        <v>45698</v>
      </c>
      <c r="C124" t="s">
        <v>32</v>
      </c>
      <c r="D124" t="s">
        <v>36</v>
      </c>
      <c r="E124" t="s">
        <v>17</v>
      </c>
      <c r="F124" t="s">
        <v>44</v>
      </c>
      <c r="G124" t="s">
        <v>19</v>
      </c>
      <c r="H124" t="s">
        <v>20</v>
      </c>
      <c r="I124">
        <v>9</v>
      </c>
      <c r="J124" s="3">
        <v>18.96</v>
      </c>
      <c r="K124" s="4">
        <v>0.1</v>
      </c>
      <c r="L124" s="3">
        <v>153.58000000000001</v>
      </c>
      <c r="M124" s="3">
        <v>100.91</v>
      </c>
      <c r="N124" s="3">
        <v>52.67</v>
      </c>
    </row>
    <row r="125" spans="1:14" x14ac:dyDescent="0.35">
      <c r="A125" t="s">
        <v>179</v>
      </c>
      <c r="B125" s="2">
        <v>45698</v>
      </c>
      <c r="C125" t="s">
        <v>25</v>
      </c>
      <c r="D125" t="s">
        <v>74</v>
      </c>
      <c r="E125" t="s">
        <v>53</v>
      </c>
      <c r="F125" t="s">
        <v>54</v>
      </c>
      <c r="G125" t="s">
        <v>19</v>
      </c>
      <c r="H125" t="s">
        <v>20</v>
      </c>
      <c r="I125">
        <v>9</v>
      </c>
      <c r="J125" s="3">
        <v>7.71</v>
      </c>
      <c r="K125" s="4">
        <v>0.15</v>
      </c>
      <c r="L125" s="3">
        <v>58.98</v>
      </c>
      <c r="M125" s="3">
        <v>46.51</v>
      </c>
      <c r="N125" s="3">
        <v>12.47</v>
      </c>
    </row>
    <row r="126" spans="1:14" x14ac:dyDescent="0.35">
      <c r="A126" t="s">
        <v>180</v>
      </c>
      <c r="B126" s="2">
        <v>45698</v>
      </c>
      <c r="C126" t="s">
        <v>15</v>
      </c>
      <c r="D126" t="s">
        <v>59</v>
      </c>
      <c r="E126" t="s">
        <v>17</v>
      </c>
      <c r="F126" t="s">
        <v>18</v>
      </c>
      <c r="G126" t="s">
        <v>19</v>
      </c>
      <c r="H126" t="s">
        <v>20</v>
      </c>
      <c r="I126">
        <v>3</v>
      </c>
      <c r="J126" s="3">
        <v>86</v>
      </c>
      <c r="K126" s="4">
        <v>0.05</v>
      </c>
      <c r="L126" s="3">
        <v>245.1</v>
      </c>
      <c r="M126" s="3">
        <v>188.98</v>
      </c>
      <c r="N126" s="3">
        <v>56.12</v>
      </c>
    </row>
    <row r="127" spans="1:14" x14ac:dyDescent="0.35">
      <c r="A127" t="s">
        <v>181</v>
      </c>
      <c r="B127" s="2">
        <v>45699</v>
      </c>
      <c r="C127" t="s">
        <v>25</v>
      </c>
      <c r="D127" t="s">
        <v>97</v>
      </c>
      <c r="E127" t="s">
        <v>37</v>
      </c>
      <c r="F127" t="s">
        <v>38</v>
      </c>
      <c r="G127" t="s">
        <v>19</v>
      </c>
      <c r="H127" t="s">
        <v>20</v>
      </c>
      <c r="I127">
        <v>11</v>
      </c>
      <c r="J127" s="3">
        <v>50.81</v>
      </c>
      <c r="K127" s="4">
        <v>0.15</v>
      </c>
      <c r="L127" s="3">
        <v>475.07</v>
      </c>
      <c r="M127" s="3">
        <v>338.13</v>
      </c>
      <c r="N127" s="3">
        <v>136.94</v>
      </c>
    </row>
    <row r="128" spans="1:14" x14ac:dyDescent="0.35">
      <c r="A128" t="s">
        <v>182</v>
      </c>
      <c r="B128" s="2">
        <v>45699</v>
      </c>
      <c r="C128" t="s">
        <v>25</v>
      </c>
      <c r="D128" t="s">
        <v>97</v>
      </c>
      <c r="E128" t="s">
        <v>17</v>
      </c>
      <c r="F128" t="s">
        <v>34</v>
      </c>
      <c r="G128" t="s">
        <v>19</v>
      </c>
      <c r="H128" t="s">
        <v>23</v>
      </c>
      <c r="I128">
        <v>8</v>
      </c>
      <c r="J128" s="3">
        <v>21.4</v>
      </c>
      <c r="K128" s="4">
        <v>0.05</v>
      </c>
      <c r="L128" s="3">
        <v>162.63999999999999</v>
      </c>
      <c r="M128" s="3">
        <v>112.69</v>
      </c>
      <c r="N128" s="3">
        <v>49.95</v>
      </c>
    </row>
    <row r="129" spans="1:14" x14ac:dyDescent="0.35">
      <c r="A129" t="s">
        <v>183</v>
      </c>
      <c r="B129" s="2">
        <v>45699</v>
      </c>
      <c r="C129" t="s">
        <v>40</v>
      </c>
      <c r="D129" t="s">
        <v>50</v>
      </c>
      <c r="E129" t="s">
        <v>17</v>
      </c>
      <c r="F129" t="s">
        <v>18</v>
      </c>
      <c r="G129" t="s">
        <v>29</v>
      </c>
      <c r="H129" t="s">
        <v>20</v>
      </c>
      <c r="I129">
        <v>2</v>
      </c>
      <c r="J129" s="3">
        <v>84.31</v>
      </c>
      <c r="K129" s="4">
        <v>0</v>
      </c>
      <c r="L129" s="3">
        <v>168.62</v>
      </c>
      <c r="M129" s="3">
        <v>84.06</v>
      </c>
      <c r="N129" s="3">
        <v>84.56</v>
      </c>
    </row>
    <row r="130" spans="1:14" x14ac:dyDescent="0.35">
      <c r="A130" t="s">
        <v>184</v>
      </c>
      <c r="B130" s="2">
        <v>45701</v>
      </c>
      <c r="C130" t="s">
        <v>15</v>
      </c>
      <c r="D130" t="s">
        <v>46</v>
      </c>
      <c r="E130" t="s">
        <v>27</v>
      </c>
      <c r="F130" t="s">
        <v>28</v>
      </c>
      <c r="G130" t="s">
        <v>19</v>
      </c>
      <c r="H130" t="s">
        <v>23</v>
      </c>
      <c r="I130">
        <v>9</v>
      </c>
      <c r="J130" s="3">
        <v>150.86000000000001</v>
      </c>
      <c r="K130" s="4">
        <v>0.15</v>
      </c>
      <c r="L130" s="3">
        <v>1154.08</v>
      </c>
      <c r="M130" s="3">
        <v>877.43</v>
      </c>
      <c r="N130" s="3">
        <v>276.64999999999998</v>
      </c>
    </row>
    <row r="131" spans="1:14" x14ac:dyDescent="0.35">
      <c r="A131" t="s">
        <v>185</v>
      </c>
      <c r="B131" s="2">
        <v>45702</v>
      </c>
      <c r="C131" t="s">
        <v>25</v>
      </c>
      <c r="D131" t="s">
        <v>26</v>
      </c>
      <c r="E131" t="s">
        <v>53</v>
      </c>
      <c r="F131" t="s">
        <v>54</v>
      </c>
      <c r="G131" t="s">
        <v>29</v>
      </c>
      <c r="H131" t="s">
        <v>30</v>
      </c>
      <c r="I131">
        <v>5</v>
      </c>
      <c r="J131" s="3">
        <v>8.1300000000000008</v>
      </c>
      <c r="K131" s="4">
        <v>0.15</v>
      </c>
      <c r="L131" s="3">
        <v>34.549999999999997</v>
      </c>
      <c r="M131" s="3">
        <v>31.54</v>
      </c>
      <c r="N131" s="3">
        <v>3.01</v>
      </c>
    </row>
    <row r="132" spans="1:14" x14ac:dyDescent="0.35">
      <c r="A132" t="s">
        <v>186</v>
      </c>
      <c r="B132" s="2">
        <v>45702</v>
      </c>
      <c r="C132" t="s">
        <v>15</v>
      </c>
      <c r="D132" t="s">
        <v>59</v>
      </c>
      <c r="E132" t="s">
        <v>17</v>
      </c>
      <c r="F132" t="s">
        <v>44</v>
      </c>
      <c r="G132" t="s">
        <v>22</v>
      </c>
      <c r="H132" t="s">
        <v>20</v>
      </c>
      <c r="I132">
        <v>4</v>
      </c>
      <c r="J132" s="3">
        <v>14.78</v>
      </c>
      <c r="K132" s="4">
        <v>0.15</v>
      </c>
      <c r="L132" s="3">
        <v>50.25</v>
      </c>
      <c r="M132" s="3">
        <v>40.6</v>
      </c>
      <c r="N132" s="3">
        <v>9.65</v>
      </c>
    </row>
    <row r="133" spans="1:14" x14ac:dyDescent="0.35">
      <c r="A133" t="s">
        <v>187</v>
      </c>
      <c r="B133" s="2">
        <v>45702</v>
      </c>
      <c r="C133" t="s">
        <v>25</v>
      </c>
      <c r="D133" t="s">
        <v>97</v>
      </c>
      <c r="E133" t="s">
        <v>17</v>
      </c>
      <c r="F133" t="s">
        <v>44</v>
      </c>
      <c r="G133" t="s">
        <v>29</v>
      </c>
      <c r="H133" t="s">
        <v>23</v>
      </c>
      <c r="I133">
        <v>1</v>
      </c>
      <c r="J133" s="3">
        <v>14.12</v>
      </c>
      <c r="K133" s="4">
        <v>0</v>
      </c>
      <c r="L133" s="3">
        <v>14.12</v>
      </c>
      <c r="M133" s="3">
        <v>8.92</v>
      </c>
      <c r="N133" s="3">
        <v>5.2</v>
      </c>
    </row>
    <row r="134" spans="1:14" x14ac:dyDescent="0.35">
      <c r="A134" t="s">
        <v>188</v>
      </c>
      <c r="B134" s="2">
        <v>45703</v>
      </c>
      <c r="C134" t="s">
        <v>25</v>
      </c>
      <c r="D134" t="s">
        <v>74</v>
      </c>
      <c r="E134" t="s">
        <v>17</v>
      </c>
      <c r="F134" t="s">
        <v>18</v>
      </c>
      <c r="G134" t="s">
        <v>29</v>
      </c>
      <c r="H134" t="s">
        <v>23</v>
      </c>
      <c r="I134">
        <v>6</v>
      </c>
      <c r="J134" s="3">
        <v>71.59</v>
      </c>
      <c r="K134" s="4">
        <v>0</v>
      </c>
      <c r="L134" s="3">
        <v>429.54</v>
      </c>
      <c r="M134" s="3">
        <v>245.3</v>
      </c>
      <c r="N134" s="3">
        <v>184.24</v>
      </c>
    </row>
    <row r="135" spans="1:14" x14ac:dyDescent="0.35">
      <c r="A135" t="s">
        <v>189</v>
      </c>
      <c r="B135" s="2">
        <v>45703</v>
      </c>
      <c r="C135" t="s">
        <v>25</v>
      </c>
      <c r="D135" t="s">
        <v>26</v>
      </c>
      <c r="E135" t="s">
        <v>53</v>
      </c>
      <c r="F135" t="s">
        <v>115</v>
      </c>
      <c r="G135" t="s">
        <v>29</v>
      </c>
      <c r="H135" t="s">
        <v>20</v>
      </c>
      <c r="I135">
        <v>10</v>
      </c>
      <c r="J135" s="3">
        <v>12.85</v>
      </c>
      <c r="K135" s="4">
        <v>0.05</v>
      </c>
      <c r="L135" s="3">
        <v>122.07</v>
      </c>
      <c r="M135" s="3">
        <v>83.31</v>
      </c>
      <c r="N135" s="3">
        <v>38.76</v>
      </c>
    </row>
    <row r="136" spans="1:14" x14ac:dyDescent="0.35">
      <c r="A136" t="s">
        <v>190</v>
      </c>
      <c r="B136" s="2">
        <v>45703</v>
      </c>
      <c r="C136" t="s">
        <v>32</v>
      </c>
      <c r="D136" t="s">
        <v>33</v>
      </c>
      <c r="E136" t="s">
        <v>53</v>
      </c>
      <c r="F136" t="s">
        <v>66</v>
      </c>
      <c r="G136" t="s">
        <v>19</v>
      </c>
      <c r="H136" t="s">
        <v>30</v>
      </c>
      <c r="I136">
        <v>4</v>
      </c>
      <c r="J136" s="3">
        <v>23.32</v>
      </c>
      <c r="K136" s="4">
        <v>0.05</v>
      </c>
      <c r="L136" s="3">
        <v>88.62</v>
      </c>
      <c r="M136" s="3">
        <v>56.54</v>
      </c>
      <c r="N136" s="3">
        <v>32.08</v>
      </c>
    </row>
    <row r="137" spans="1:14" x14ac:dyDescent="0.35">
      <c r="A137" t="s">
        <v>191</v>
      </c>
      <c r="B137" s="2">
        <v>45703</v>
      </c>
      <c r="C137" t="s">
        <v>15</v>
      </c>
      <c r="D137" t="s">
        <v>46</v>
      </c>
      <c r="E137" t="s">
        <v>17</v>
      </c>
      <c r="F137" t="s">
        <v>34</v>
      </c>
      <c r="G137" t="s">
        <v>29</v>
      </c>
      <c r="H137" t="s">
        <v>30</v>
      </c>
      <c r="I137">
        <v>4</v>
      </c>
      <c r="J137" s="3">
        <v>23.3</v>
      </c>
      <c r="K137" s="4">
        <v>0.05</v>
      </c>
      <c r="L137" s="3">
        <v>88.54</v>
      </c>
      <c r="M137" s="3">
        <v>59.86</v>
      </c>
      <c r="N137" s="3">
        <v>28.68</v>
      </c>
    </row>
    <row r="138" spans="1:14" x14ac:dyDescent="0.35">
      <c r="A138" t="s">
        <v>192</v>
      </c>
      <c r="B138" s="2">
        <v>45704</v>
      </c>
      <c r="C138" t="s">
        <v>40</v>
      </c>
      <c r="D138" t="s">
        <v>71</v>
      </c>
      <c r="E138" t="s">
        <v>53</v>
      </c>
      <c r="F138" t="s">
        <v>66</v>
      </c>
      <c r="G138" t="s">
        <v>22</v>
      </c>
      <c r="H138" t="s">
        <v>30</v>
      </c>
      <c r="I138">
        <v>7</v>
      </c>
      <c r="J138" s="3">
        <v>21.62</v>
      </c>
      <c r="K138" s="4">
        <v>0.05</v>
      </c>
      <c r="L138" s="3">
        <v>143.77000000000001</v>
      </c>
      <c r="M138" s="3">
        <v>84.46</v>
      </c>
      <c r="N138" s="3">
        <v>59.31</v>
      </c>
    </row>
    <row r="139" spans="1:14" x14ac:dyDescent="0.35">
      <c r="A139" t="s">
        <v>193</v>
      </c>
      <c r="B139" s="2">
        <v>45704</v>
      </c>
      <c r="C139" t="s">
        <v>25</v>
      </c>
      <c r="D139" t="s">
        <v>74</v>
      </c>
      <c r="E139" t="s">
        <v>17</v>
      </c>
      <c r="F139" t="s">
        <v>87</v>
      </c>
      <c r="G139" t="s">
        <v>19</v>
      </c>
      <c r="H139" t="s">
        <v>30</v>
      </c>
      <c r="I139">
        <v>6</v>
      </c>
      <c r="J139" s="3">
        <v>16.239999999999998</v>
      </c>
      <c r="K139" s="4">
        <v>0.05</v>
      </c>
      <c r="L139" s="3">
        <v>92.57</v>
      </c>
      <c r="M139" s="3">
        <v>52.23</v>
      </c>
      <c r="N139" s="3">
        <v>40.340000000000003</v>
      </c>
    </row>
    <row r="140" spans="1:14" x14ac:dyDescent="0.35">
      <c r="A140" t="s">
        <v>194</v>
      </c>
      <c r="B140" s="2">
        <v>45705</v>
      </c>
      <c r="C140" t="s">
        <v>32</v>
      </c>
      <c r="D140" t="s">
        <v>36</v>
      </c>
      <c r="E140" t="s">
        <v>17</v>
      </c>
      <c r="F140" t="s">
        <v>44</v>
      </c>
      <c r="G140" t="s">
        <v>29</v>
      </c>
      <c r="H140" t="s">
        <v>23</v>
      </c>
      <c r="I140">
        <v>12</v>
      </c>
      <c r="J140" s="3">
        <v>17.739999999999998</v>
      </c>
      <c r="K140" s="4">
        <v>0</v>
      </c>
      <c r="L140" s="3">
        <v>212.88</v>
      </c>
      <c r="M140" s="3">
        <v>137.71</v>
      </c>
      <c r="N140" s="3">
        <v>75.17</v>
      </c>
    </row>
    <row r="141" spans="1:14" x14ac:dyDescent="0.35">
      <c r="A141" t="s">
        <v>195</v>
      </c>
      <c r="B141" s="2">
        <v>45705</v>
      </c>
      <c r="C141" t="s">
        <v>40</v>
      </c>
      <c r="D141" t="s">
        <v>71</v>
      </c>
      <c r="E141" t="s">
        <v>17</v>
      </c>
      <c r="F141" t="s">
        <v>44</v>
      </c>
      <c r="G141" t="s">
        <v>22</v>
      </c>
      <c r="H141" t="s">
        <v>20</v>
      </c>
      <c r="I141">
        <v>8</v>
      </c>
      <c r="J141" s="3">
        <v>15.34</v>
      </c>
      <c r="K141" s="4">
        <v>0.1</v>
      </c>
      <c r="L141" s="3">
        <v>110.45</v>
      </c>
      <c r="M141" s="3">
        <v>76.23</v>
      </c>
      <c r="N141" s="3">
        <v>34.22</v>
      </c>
    </row>
    <row r="142" spans="1:14" x14ac:dyDescent="0.35">
      <c r="A142" t="s">
        <v>196</v>
      </c>
      <c r="B142" s="2">
        <v>45705</v>
      </c>
      <c r="C142" t="s">
        <v>25</v>
      </c>
      <c r="D142" t="s">
        <v>97</v>
      </c>
      <c r="E142" t="s">
        <v>37</v>
      </c>
      <c r="F142" t="s">
        <v>51</v>
      </c>
      <c r="G142" t="s">
        <v>29</v>
      </c>
      <c r="H142" t="s">
        <v>23</v>
      </c>
      <c r="I142">
        <v>9</v>
      </c>
      <c r="J142" s="3">
        <v>31.83</v>
      </c>
      <c r="K142" s="4">
        <v>0.05</v>
      </c>
      <c r="L142" s="3">
        <v>272.14999999999998</v>
      </c>
      <c r="M142" s="3">
        <v>176.91</v>
      </c>
      <c r="N142" s="3">
        <v>95.24</v>
      </c>
    </row>
    <row r="143" spans="1:14" x14ac:dyDescent="0.35">
      <c r="A143" t="s">
        <v>197</v>
      </c>
      <c r="B143" s="2">
        <v>45706</v>
      </c>
      <c r="C143" t="s">
        <v>15</v>
      </c>
      <c r="D143" t="s">
        <v>59</v>
      </c>
      <c r="E143" t="s">
        <v>27</v>
      </c>
      <c r="F143" t="s">
        <v>48</v>
      </c>
      <c r="G143" t="s">
        <v>22</v>
      </c>
      <c r="H143" t="s">
        <v>23</v>
      </c>
      <c r="I143">
        <v>6</v>
      </c>
      <c r="J143" s="3">
        <v>281.52</v>
      </c>
      <c r="K143" s="4">
        <v>0.05</v>
      </c>
      <c r="L143" s="3">
        <v>1604.66</v>
      </c>
      <c r="M143" s="3">
        <v>1294</v>
      </c>
      <c r="N143" s="3">
        <v>310.66000000000003</v>
      </c>
    </row>
    <row r="144" spans="1:14" x14ac:dyDescent="0.35">
      <c r="A144" t="s">
        <v>198</v>
      </c>
      <c r="B144" s="2">
        <v>45706</v>
      </c>
      <c r="C144" t="s">
        <v>25</v>
      </c>
      <c r="D144" t="s">
        <v>74</v>
      </c>
      <c r="E144" t="s">
        <v>37</v>
      </c>
      <c r="F144" t="s">
        <v>51</v>
      </c>
      <c r="G144" t="s">
        <v>22</v>
      </c>
      <c r="H144" t="s">
        <v>20</v>
      </c>
      <c r="I144">
        <v>4</v>
      </c>
      <c r="J144" s="3">
        <v>37.29</v>
      </c>
      <c r="K144" s="4">
        <v>0.15</v>
      </c>
      <c r="L144" s="3">
        <v>126.79</v>
      </c>
      <c r="M144" s="3">
        <v>92.87</v>
      </c>
      <c r="N144" s="3">
        <v>33.92</v>
      </c>
    </row>
    <row r="145" spans="1:14" x14ac:dyDescent="0.35">
      <c r="A145" t="s">
        <v>199</v>
      </c>
      <c r="B145" s="2">
        <v>45707</v>
      </c>
      <c r="C145" t="s">
        <v>40</v>
      </c>
      <c r="D145" t="s">
        <v>50</v>
      </c>
      <c r="E145" t="s">
        <v>37</v>
      </c>
      <c r="F145" t="s">
        <v>75</v>
      </c>
      <c r="G145" t="s">
        <v>22</v>
      </c>
      <c r="H145" t="s">
        <v>30</v>
      </c>
      <c r="I145">
        <v>9</v>
      </c>
      <c r="J145" s="3">
        <v>23.9</v>
      </c>
      <c r="K145" s="4">
        <v>0.05</v>
      </c>
      <c r="L145" s="3">
        <v>204.34</v>
      </c>
      <c r="M145" s="3">
        <v>150.55000000000001</v>
      </c>
      <c r="N145" s="3">
        <v>53.79</v>
      </c>
    </row>
    <row r="146" spans="1:14" x14ac:dyDescent="0.35">
      <c r="A146" t="s">
        <v>200</v>
      </c>
      <c r="B146" s="2">
        <v>45707</v>
      </c>
      <c r="C146" t="s">
        <v>40</v>
      </c>
      <c r="D146" t="s">
        <v>50</v>
      </c>
      <c r="E146" t="s">
        <v>37</v>
      </c>
      <c r="F146" t="s">
        <v>51</v>
      </c>
      <c r="G146" t="s">
        <v>29</v>
      </c>
      <c r="H146" t="s">
        <v>20</v>
      </c>
      <c r="I146">
        <v>9</v>
      </c>
      <c r="J146" s="3">
        <v>31.52</v>
      </c>
      <c r="K146" s="4">
        <v>0</v>
      </c>
      <c r="L146" s="3">
        <v>283.68</v>
      </c>
      <c r="M146" s="3">
        <v>180.95</v>
      </c>
      <c r="N146" s="3">
        <v>102.73</v>
      </c>
    </row>
    <row r="147" spans="1:14" x14ac:dyDescent="0.35">
      <c r="A147" t="s">
        <v>201</v>
      </c>
      <c r="B147" s="2">
        <v>45707</v>
      </c>
      <c r="C147" t="s">
        <v>32</v>
      </c>
      <c r="D147" t="s">
        <v>33</v>
      </c>
      <c r="E147" t="s">
        <v>27</v>
      </c>
      <c r="F147" t="s">
        <v>48</v>
      </c>
      <c r="G147" t="s">
        <v>22</v>
      </c>
      <c r="H147" t="s">
        <v>30</v>
      </c>
      <c r="I147">
        <v>10</v>
      </c>
      <c r="J147" s="3">
        <v>304.54000000000002</v>
      </c>
      <c r="K147" s="4">
        <v>0.05</v>
      </c>
      <c r="L147" s="3">
        <v>2893.13</v>
      </c>
      <c r="M147" s="3">
        <v>1767.82</v>
      </c>
      <c r="N147" s="3">
        <v>1125.31</v>
      </c>
    </row>
    <row r="148" spans="1:14" x14ac:dyDescent="0.35">
      <c r="A148" t="s">
        <v>202</v>
      </c>
      <c r="B148" s="2">
        <v>45708</v>
      </c>
      <c r="C148" t="s">
        <v>40</v>
      </c>
      <c r="D148" t="s">
        <v>50</v>
      </c>
      <c r="E148" t="s">
        <v>17</v>
      </c>
      <c r="F148" t="s">
        <v>18</v>
      </c>
      <c r="G148" t="s">
        <v>29</v>
      </c>
      <c r="H148" t="s">
        <v>23</v>
      </c>
      <c r="I148">
        <v>4</v>
      </c>
      <c r="J148" s="3">
        <v>70.540000000000006</v>
      </c>
      <c r="K148" s="4">
        <v>0.1</v>
      </c>
      <c r="L148" s="3">
        <v>253.94</v>
      </c>
      <c r="M148" s="3">
        <v>139.31</v>
      </c>
      <c r="N148" s="3">
        <v>114.63</v>
      </c>
    </row>
    <row r="149" spans="1:14" x14ac:dyDescent="0.35">
      <c r="A149" t="s">
        <v>203</v>
      </c>
      <c r="B149" s="2">
        <v>45709</v>
      </c>
      <c r="C149" t="s">
        <v>32</v>
      </c>
      <c r="D149" t="s">
        <v>57</v>
      </c>
      <c r="E149" t="s">
        <v>53</v>
      </c>
      <c r="F149" t="s">
        <v>66</v>
      </c>
      <c r="G149" t="s">
        <v>19</v>
      </c>
      <c r="H149" t="s">
        <v>20</v>
      </c>
      <c r="I149">
        <v>9</v>
      </c>
      <c r="J149" s="3">
        <v>18.34</v>
      </c>
      <c r="K149" s="4">
        <v>0.1</v>
      </c>
      <c r="L149" s="3">
        <v>148.55000000000001</v>
      </c>
      <c r="M149" s="3">
        <v>109.04</v>
      </c>
      <c r="N149" s="3">
        <v>39.51</v>
      </c>
    </row>
    <row r="150" spans="1:14" x14ac:dyDescent="0.35">
      <c r="A150" t="s">
        <v>204</v>
      </c>
      <c r="B150" s="2">
        <v>45709</v>
      </c>
      <c r="C150" t="s">
        <v>25</v>
      </c>
      <c r="D150" t="s">
        <v>26</v>
      </c>
      <c r="E150" t="s">
        <v>17</v>
      </c>
      <c r="F150" t="s">
        <v>34</v>
      </c>
      <c r="G150" t="s">
        <v>22</v>
      </c>
      <c r="H150" t="s">
        <v>23</v>
      </c>
      <c r="I150">
        <v>1</v>
      </c>
      <c r="J150" s="3">
        <v>17.77</v>
      </c>
      <c r="K150" s="4">
        <v>0</v>
      </c>
      <c r="L150" s="3">
        <v>17.77</v>
      </c>
      <c r="M150" s="3">
        <v>12.6</v>
      </c>
      <c r="N150" s="3">
        <v>5.17</v>
      </c>
    </row>
    <row r="151" spans="1:14" x14ac:dyDescent="0.35">
      <c r="A151" t="s">
        <v>205</v>
      </c>
      <c r="B151" s="2">
        <v>45710</v>
      </c>
      <c r="C151" t="s">
        <v>40</v>
      </c>
      <c r="D151" t="s">
        <v>50</v>
      </c>
      <c r="E151" t="s">
        <v>27</v>
      </c>
      <c r="F151" t="s">
        <v>48</v>
      </c>
      <c r="G151" t="s">
        <v>19</v>
      </c>
      <c r="H151" t="s">
        <v>23</v>
      </c>
      <c r="I151">
        <v>10</v>
      </c>
      <c r="J151" s="3">
        <v>289.2</v>
      </c>
      <c r="K151" s="4">
        <v>0</v>
      </c>
      <c r="L151" s="3">
        <v>2892</v>
      </c>
      <c r="M151" s="3">
        <v>2138.29</v>
      </c>
      <c r="N151" s="3">
        <v>753.71</v>
      </c>
    </row>
    <row r="152" spans="1:14" x14ac:dyDescent="0.35">
      <c r="A152" t="s">
        <v>206</v>
      </c>
      <c r="B152" s="2">
        <v>45712</v>
      </c>
      <c r="C152" t="s">
        <v>40</v>
      </c>
      <c r="D152" t="s">
        <v>50</v>
      </c>
      <c r="E152" t="s">
        <v>37</v>
      </c>
      <c r="F152" t="s">
        <v>75</v>
      </c>
      <c r="G152" t="s">
        <v>22</v>
      </c>
      <c r="H152" t="s">
        <v>23</v>
      </c>
      <c r="I152">
        <v>10</v>
      </c>
      <c r="J152" s="3">
        <v>27.71</v>
      </c>
      <c r="K152" s="4">
        <v>0</v>
      </c>
      <c r="L152" s="3">
        <v>277.10000000000002</v>
      </c>
      <c r="M152" s="3">
        <v>145.22</v>
      </c>
      <c r="N152" s="3">
        <v>131.88</v>
      </c>
    </row>
    <row r="153" spans="1:14" x14ac:dyDescent="0.35">
      <c r="A153" t="s">
        <v>207</v>
      </c>
      <c r="B153" s="2">
        <v>45712</v>
      </c>
      <c r="C153" t="s">
        <v>25</v>
      </c>
      <c r="D153" t="s">
        <v>74</v>
      </c>
      <c r="E153" t="s">
        <v>27</v>
      </c>
      <c r="F153" t="s">
        <v>68</v>
      </c>
      <c r="G153" t="s">
        <v>29</v>
      </c>
      <c r="H153" t="s">
        <v>30</v>
      </c>
      <c r="I153">
        <v>3</v>
      </c>
      <c r="J153" s="3">
        <v>37.270000000000003</v>
      </c>
      <c r="K153" s="4">
        <v>0</v>
      </c>
      <c r="L153" s="3">
        <v>111.81</v>
      </c>
      <c r="M153" s="3">
        <v>71.760000000000005</v>
      </c>
      <c r="N153" s="3">
        <v>40.049999999999997</v>
      </c>
    </row>
    <row r="154" spans="1:14" x14ac:dyDescent="0.35">
      <c r="A154" t="s">
        <v>208</v>
      </c>
      <c r="B154" s="2">
        <v>45712</v>
      </c>
      <c r="C154" t="s">
        <v>32</v>
      </c>
      <c r="D154" t="s">
        <v>36</v>
      </c>
      <c r="E154" t="s">
        <v>37</v>
      </c>
      <c r="F154" t="s">
        <v>42</v>
      </c>
      <c r="G154" t="s">
        <v>22</v>
      </c>
      <c r="H154" t="s">
        <v>20</v>
      </c>
      <c r="I154">
        <v>9</v>
      </c>
      <c r="J154" s="3">
        <v>15.96</v>
      </c>
      <c r="K154" s="4">
        <v>0</v>
      </c>
      <c r="L154" s="3">
        <v>143.63999999999999</v>
      </c>
      <c r="M154" s="3">
        <v>106.47</v>
      </c>
      <c r="N154" s="3">
        <v>37.17</v>
      </c>
    </row>
    <row r="155" spans="1:14" x14ac:dyDescent="0.35">
      <c r="A155" t="s">
        <v>209</v>
      </c>
      <c r="B155" s="2">
        <v>45713</v>
      </c>
      <c r="C155" t="s">
        <v>32</v>
      </c>
      <c r="D155" t="s">
        <v>57</v>
      </c>
      <c r="E155" t="s">
        <v>37</v>
      </c>
      <c r="F155" t="s">
        <v>42</v>
      </c>
      <c r="G155" t="s">
        <v>19</v>
      </c>
      <c r="H155" t="s">
        <v>20</v>
      </c>
      <c r="I155">
        <v>12</v>
      </c>
      <c r="J155" s="3">
        <v>16.03</v>
      </c>
      <c r="K155" s="4">
        <v>0.1</v>
      </c>
      <c r="L155" s="3">
        <v>173.12</v>
      </c>
      <c r="M155" s="3">
        <v>114.28</v>
      </c>
      <c r="N155" s="3">
        <v>58.84</v>
      </c>
    </row>
    <row r="156" spans="1:14" x14ac:dyDescent="0.35">
      <c r="A156" t="s">
        <v>210</v>
      </c>
      <c r="B156" s="2">
        <v>45713</v>
      </c>
      <c r="C156" t="s">
        <v>15</v>
      </c>
      <c r="D156" t="s">
        <v>46</v>
      </c>
      <c r="E156" t="s">
        <v>17</v>
      </c>
      <c r="F156" t="s">
        <v>34</v>
      </c>
      <c r="G156" t="s">
        <v>22</v>
      </c>
      <c r="H156" t="s">
        <v>20</v>
      </c>
      <c r="I156">
        <v>4</v>
      </c>
      <c r="J156" s="3">
        <v>19.809999999999999</v>
      </c>
      <c r="K156" s="4">
        <v>0</v>
      </c>
      <c r="L156" s="3">
        <v>79.239999999999995</v>
      </c>
      <c r="M156" s="3">
        <v>45.58</v>
      </c>
      <c r="N156" s="3">
        <v>33.659999999999997</v>
      </c>
    </row>
    <row r="157" spans="1:14" x14ac:dyDescent="0.35">
      <c r="A157" t="s">
        <v>211</v>
      </c>
      <c r="B157" s="2">
        <v>45713</v>
      </c>
      <c r="C157" t="s">
        <v>32</v>
      </c>
      <c r="D157" t="s">
        <v>57</v>
      </c>
      <c r="E157" t="s">
        <v>37</v>
      </c>
      <c r="F157" t="s">
        <v>42</v>
      </c>
      <c r="G157" t="s">
        <v>29</v>
      </c>
      <c r="H157" t="s">
        <v>23</v>
      </c>
      <c r="I157">
        <v>8</v>
      </c>
      <c r="J157" s="3">
        <v>16.05</v>
      </c>
      <c r="K157" s="4">
        <v>0.05</v>
      </c>
      <c r="L157" s="3">
        <v>121.98</v>
      </c>
      <c r="M157" s="3">
        <v>63.3</v>
      </c>
      <c r="N157" s="3">
        <v>58.68</v>
      </c>
    </row>
    <row r="158" spans="1:14" x14ac:dyDescent="0.35">
      <c r="A158" t="s">
        <v>212</v>
      </c>
      <c r="B158" s="2">
        <v>45713</v>
      </c>
      <c r="C158" t="s">
        <v>40</v>
      </c>
      <c r="D158" t="s">
        <v>71</v>
      </c>
      <c r="E158" t="s">
        <v>17</v>
      </c>
      <c r="F158" t="s">
        <v>34</v>
      </c>
      <c r="G158" t="s">
        <v>22</v>
      </c>
      <c r="H158" t="s">
        <v>23</v>
      </c>
      <c r="I158">
        <v>3</v>
      </c>
      <c r="J158" s="3">
        <v>17.98</v>
      </c>
      <c r="K158" s="4">
        <v>0.1</v>
      </c>
      <c r="L158" s="3">
        <v>48.55</v>
      </c>
      <c r="M158" s="3">
        <v>25.99</v>
      </c>
      <c r="N158" s="3">
        <v>22.56</v>
      </c>
    </row>
    <row r="159" spans="1:14" x14ac:dyDescent="0.35">
      <c r="A159" t="s">
        <v>213</v>
      </c>
      <c r="B159" s="2">
        <v>45713</v>
      </c>
      <c r="C159" t="s">
        <v>25</v>
      </c>
      <c r="D159" t="s">
        <v>97</v>
      </c>
      <c r="E159" t="s">
        <v>17</v>
      </c>
      <c r="F159" t="s">
        <v>34</v>
      </c>
      <c r="G159" t="s">
        <v>22</v>
      </c>
      <c r="H159" t="s">
        <v>30</v>
      </c>
      <c r="I159">
        <v>2</v>
      </c>
      <c r="J159" s="3">
        <v>23.29</v>
      </c>
      <c r="K159" s="4">
        <v>0.05</v>
      </c>
      <c r="L159" s="3">
        <v>44.25</v>
      </c>
      <c r="M159" s="3">
        <v>30.86</v>
      </c>
      <c r="N159" s="3">
        <v>13.39</v>
      </c>
    </row>
    <row r="160" spans="1:14" x14ac:dyDescent="0.35">
      <c r="A160" t="s">
        <v>214</v>
      </c>
      <c r="B160" s="2">
        <v>45714</v>
      </c>
      <c r="C160" t="s">
        <v>15</v>
      </c>
      <c r="D160" t="s">
        <v>16</v>
      </c>
      <c r="E160" t="s">
        <v>53</v>
      </c>
      <c r="F160" t="s">
        <v>54</v>
      </c>
      <c r="G160" t="s">
        <v>19</v>
      </c>
      <c r="H160" t="s">
        <v>30</v>
      </c>
      <c r="I160">
        <v>9</v>
      </c>
      <c r="J160" s="3">
        <v>8.8000000000000007</v>
      </c>
      <c r="K160" s="4">
        <v>0</v>
      </c>
      <c r="L160" s="3">
        <v>79.2</v>
      </c>
      <c r="M160" s="3">
        <v>58.14</v>
      </c>
      <c r="N160" s="3">
        <v>21.06</v>
      </c>
    </row>
    <row r="161" spans="1:14" x14ac:dyDescent="0.35">
      <c r="A161" t="s">
        <v>215</v>
      </c>
      <c r="B161" s="2">
        <v>45714</v>
      </c>
      <c r="C161" t="s">
        <v>40</v>
      </c>
      <c r="D161" t="s">
        <v>71</v>
      </c>
      <c r="E161" t="s">
        <v>53</v>
      </c>
      <c r="F161" t="s">
        <v>83</v>
      </c>
      <c r="G161" t="s">
        <v>22</v>
      </c>
      <c r="H161" t="s">
        <v>23</v>
      </c>
      <c r="I161">
        <v>8</v>
      </c>
      <c r="J161" s="3">
        <v>16.649999999999999</v>
      </c>
      <c r="K161" s="4">
        <v>0.1</v>
      </c>
      <c r="L161" s="3">
        <v>119.88</v>
      </c>
      <c r="M161" s="3">
        <v>102.1</v>
      </c>
      <c r="N161" s="3">
        <v>17.78</v>
      </c>
    </row>
    <row r="162" spans="1:14" x14ac:dyDescent="0.35">
      <c r="A162" t="s">
        <v>216</v>
      </c>
      <c r="B162" s="2">
        <v>45714</v>
      </c>
      <c r="C162" t="s">
        <v>32</v>
      </c>
      <c r="D162" t="s">
        <v>57</v>
      </c>
      <c r="E162" t="s">
        <v>27</v>
      </c>
      <c r="F162" t="s">
        <v>28</v>
      </c>
      <c r="G162" t="s">
        <v>19</v>
      </c>
      <c r="H162" t="s">
        <v>30</v>
      </c>
      <c r="I162">
        <v>6</v>
      </c>
      <c r="J162" s="3">
        <v>159.01</v>
      </c>
      <c r="K162" s="4">
        <v>0.1</v>
      </c>
      <c r="L162" s="3">
        <v>858.65</v>
      </c>
      <c r="M162" s="3">
        <v>625.67999999999995</v>
      </c>
      <c r="N162" s="3">
        <v>232.97</v>
      </c>
    </row>
    <row r="163" spans="1:14" x14ac:dyDescent="0.35">
      <c r="A163" t="s">
        <v>217</v>
      </c>
      <c r="B163" s="2">
        <v>45714</v>
      </c>
      <c r="C163" t="s">
        <v>25</v>
      </c>
      <c r="D163" t="s">
        <v>26</v>
      </c>
      <c r="E163" t="s">
        <v>27</v>
      </c>
      <c r="F163" t="s">
        <v>79</v>
      </c>
      <c r="G163" t="s">
        <v>22</v>
      </c>
      <c r="H163" t="s">
        <v>23</v>
      </c>
      <c r="I163">
        <v>5</v>
      </c>
      <c r="J163" s="3">
        <v>129.81</v>
      </c>
      <c r="K163" s="4">
        <v>0.1</v>
      </c>
      <c r="L163" s="3">
        <v>584.14</v>
      </c>
      <c r="M163" s="3">
        <v>359.63</v>
      </c>
      <c r="N163" s="3">
        <v>224.51</v>
      </c>
    </row>
    <row r="164" spans="1:14" x14ac:dyDescent="0.35">
      <c r="A164" t="s">
        <v>218</v>
      </c>
      <c r="B164" s="2">
        <v>45715</v>
      </c>
      <c r="C164" t="s">
        <v>32</v>
      </c>
      <c r="D164" t="s">
        <v>36</v>
      </c>
      <c r="E164" t="s">
        <v>53</v>
      </c>
      <c r="F164" t="s">
        <v>83</v>
      </c>
      <c r="G164" t="s">
        <v>19</v>
      </c>
      <c r="H164" t="s">
        <v>23</v>
      </c>
      <c r="I164">
        <v>8</v>
      </c>
      <c r="J164" s="3">
        <v>13.68</v>
      </c>
      <c r="K164" s="4">
        <v>0</v>
      </c>
      <c r="L164" s="3">
        <v>109.44</v>
      </c>
      <c r="M164" s="3">
        <v>54.31</v>
      </c>
      <c r="N164" s="3">
        <v>55.13</v>
      </c>
    </row>
    <row r="165" spans="1:14" x14ac:dyDescent="0.35">
      <c r="A165" t="s">
        <v>219</v>
      </c>
      <c r="B165" s="2">
        <v>45715</v>
      </c>
      <c r="C165" t="s">
        <v>40</v>
      </c>
      <c r="D165" t="s">
        <v>41</v>
      </c>
      <c r="E165" t="s">
        <v>53</v>
      </c>
      <c r="F165" t="s">
        <v>54</v>
      </c>
      <c r="G165" t="s">
        <v>19</v>
      </c>
      <c r="H165" t="s">
        <v>23</v>
      </c>
      <c r="I165">
        <v>11</v>
      </c>
      <c r="J165" s="3">
        <v>8.0500000000000007</v>
      </c>
      <c r="K165" s="4">
        <v>0</v>
      </c>
      <c r="L165" s="3">
        <v>88.55</v>
      </c>
      <c r="M165" s="3">
        <v>49.44</v>
      </c>
      <c r="N165" s="3">
        <v>39.11</v>
      </c>
    </row>
    <row r="166" spans="1:14" x14ac:dyDescent="0.35">
      <c r="A166" t="s">
        <v>220</v>
      </c>
      <c r="B166" s="2">
        <v>45716</v>
      </c>
      <c r="C166" t="s">
        <v>32</v>
      </c>
      <c r="D166" t="s">
        <v>36</v>
      </c>
      <c r="E166" t="s">
        <v>27</v>
      </c>
      <c r="F166" t="s">
        <v>48</v>
      </c>
      <c r="G166" t="s">
        <v>22</v>
      </c>
      <c r="H166" t="s">
        <v>23</v>
      </c>
      <c r="I166">
        <v>2</v>
      </c>
      <c r="J166" s="3">
        <v>246.78</v>
      </c>
      <c r="K166" s="4">
        <v>0.15</v>
      </c>
      <c r="L166" s="3">
        <v>419.53</v>
      </c>
      <c r="M166" s="3">
        <v>308.95999999999998</v>
      </c>
      <c r="N166" s="3">
        <v>110.57</v>
      </c>
    </row>
    <row r="167" spans="1:14" x14ac:dyDescent="0.35">
      <c r="A167" t="s">
        <v>221</v>
      </c>
      <c r="B167" s="2">
        <v>45716</v>
      </c>
      <c r="C167" t="s">
        <v>25</v>
      </c>
      <c r="D167" t="s">
        <v>26</v>
      </c>
      <c r="E167" t="s">
        <v>53</v>
      </c>
      <c r="F167" t="s">
        <v>83</v>
      </c>
      <c r="G167" t="s">
        <v>22</v>
      </c>
      <c r="H167" t="s">
        <v>30</v>
      </c>
      <c r="I167">
        <v>12</v>
      </c>
      <c r="J167" s="3">
        <v>14.1</v>
      </c>
      <c r="K167" s="4">
        <v>0.05</v>
      </c>
      <c r="L167" s="3">
        <v>160.74</v>
      </c>
      <c r="M167" s="3">
        <v>89.73</v>
      </c>
      <c r="N167" s="3">
        <v>71.010000000000005</v>
      </c>
    </row>
    <row r="168" spans="1:14" x14ac:dyDescent="0.35">
      <c r="A168" t="s">
        <v>222</v>
      </c>
      <c r="B168" s="2">
        <v>45717</v>
      </c>
      <c r="C168" t="s">
        <v>15</v>
      </c>
      <c r="D168" t="s">
        <v>16</v>
      </c>
      <c r="E168" t="s">
        <v>53</v>
      </c>
      <c r="F168" t="s">
        <v>115</v>
      </c>
      <c r="G168" t="s">
        <v>29</v>
      </c>
      <c r="H168" t="s">
        <v>20</v>
      </c>
      <c r="I168">
        <v>8</v>
      </c>
      <c r="J168" s="3">
        <v>11.66</v>
      </c>
      <c r="K168" s="4">
        <v>0.05</v>
      </c>
      <c r="L168" s="3">
        <v>88.62</v>
      </c>
      <c r="M168" s="3">
        <v>48.66</v>
      </c>
      <c r="N168" s="3">
        <v>39.96</v>
      </c>
    </row>
    <row r="169" spans="1:14" x14ac:dyDescent="0.35">
      <c r="A169" t="s">
        <v>223</v>
      </c>
      <c r="B169" s="2">
        <v>45717</v>
      </c>
      <c r="C169" t="s">
        <v>25</v>
      </c>
      <c r="D169" t="s">
        <v>26</v>
      </c>
      <c r="E169" t="s">
        <v>27</v>
      </c>
      <c r="F169" t="s">
        <v>28</v>
      </c>
      <c r="G169" t="s">
        <v>29</v>
      </c>
      <c r="H169" t="s">
        <v>30</v>
      </c>
      <c r="I169">
        <v>2</v>
      </c>
      <c r="J169" s="3">
        <v>127.77</v>
      </c>
      <c r="K169" s="4">
        <v>0.15</v>
      </c>
      <c r="L169" s="3">
        <v>217.21</v>
      </c>
      <c r="M169" s="3">
        <v>194.51</v>
      </c>
      <c r="N169" s="3">
        <v>22.7</v>
      </c>
    </row>
    <row r="170" spans="1:14" x14ac:dyDescent="0.35">
      <c r="A170" t="s">
        <v>224</v>
      </c>
      <c r="B170" s="2">
        <v>45718</v>
      </c>
      <c r="C170" t="s">
        <v>15</v>
      </c>
      <c r="D170" t="s">
        <v>46</v>
      </c>
      <c r="E170" t="s">
        <v>17</v>
      </c>
      <c r="F170" t="s">
        <v>34</v>
      </c>
      <c r="G170" t="s">
        <v>29</v>
      </c>
      <c r="H170" t="s">
        <v>20</v>
      </c>
      <c r="I170">
        <v>9</v>
      </c>
      <c r="J170" s="3">
        <v>20.47</v>
      </c>
      <c r="K170" s="4">
        <v>0</v>
      </c>
      <c r="L170" s="3">
        <v>184.23</v>
      </c>
      <c r="M170" s="3">
        <v>106.39</v>
      </c>
      <c r="N170" s="3">
        <v>77.84</v>
      </c>
    </row>
    <row r="171" spans="1:14" x14ac:dyDescent="0.35">
      <c r="A171" t="s">
        <v>225</v>
      </c>
      <c r="B171" s="2">
        <v>45718</v>
      </c>
      <c r="C171" t="s">
        <v>40</v>
      </c>
      <c r="D171" t="s">
        <v>71</v>
      </c>
      <c r="E171" t="s">
        <v>37</v>
      </c>
      <c r="F171" t="s">
        <v>75</v>
      </c>
      <c r="G171" t="s">
        <v>22</v>
      </c>
      <c r="H171" t="s">
        <v>30</v>
      </c>
      <c r="I171">
        <v>8</v>
      </c>
      <c r="J171" s="3">
        <v>27.35</v>
      </c>
      <c r="K171" s="4">
        <v>0.1</v>
      </c>
      <c r="L171" s="3">
        <v>196.92</v>
      </c>
      <c r="M171" s="3">
        <v>112.8</v>
      </c>
      <c r="N171" s="3">
        <v>84.12</v>
      </c>
    </row>
    <row r="172" spans="1:14" x14ac:dyDescent="0.35">
      <c r="A172" t="s">
        <v>226</v>
      </c>
      <c r="B172" s="2">
        <v>45718</v>
      </c>
      <c r="C172" t="s">
        <v>40</v>
      </c>
      <c r="D172" t="s">
        <v>50</v>
      </c>
      <c r="E172" t="s">
        <v>37</v>
      </c>
      <c r="F172" t="s">
        <v>38</v>
      </c>
      <c r="G172" t="s">
        <v>19</v>
      </c>
      <c r="H172" t="s">
        <v>23</v>
      </c>
      <c r="I172">
        <v>9</v>
      </c>
      <c r="J172" s="3">
        <v>56.52</v>
      </c>
      <c r="K172" s="4">
        <v>0.1</v>
      </c>
      <c r="L172" s="3">
        <v>457.81</v>
      </c>
      <c r="M172" s="3">
        <v>361.72</v>
      </c>
      <c r="N172" s="3">
        <v>96.09</v>
      </c>
    </row>
    <row r="173" spans="1:14" x14ac:dyDescent="0.35">
      <c r="A173" t="s">
        <v>227</v>
      </c>
      <c r="B173" s="2">
        <v>45718</v>
      </c>
      <c r="C173" t="s">
        <v>32</v>
      </c>
      <c r="D173" t="s">
        <v>33</v>
      </c>
      <c r="E173" t="s">
        <v>37</v>
      </c>
      <c r="F173" t="s">
        <v>38</v>
      </c>
      <c r="G173" t="s">
        <v>19</v>
      </c>
      <c r="H173" t="s">
        <v>30</v>
      </c>
      <c r="I173">
        <v>1</v>
      </c>
      <c r="J173" s="3">
        <v>57.26</v>
      </c>
      <c r="K173" s="4">
        <v>0.05</v>
      </c>
      <c r="L173" s="3">
        <v>54.4</v>
      </c>
      <c r="M173" s="3">
        <v>30.86</v>
      </c>
      <c r="N173" s="3">
        <v>23.54</v>
      </c>
    </row>
    <row r="174" spans="1:14" x14ac:dyDescent="0.35">
      <c r="A174" t="s">
        <v>228</v>
      </c>
      <c r="B174" s="2">
        <v>45719</v>
      </c>
      <c r="C174" t="s">
        <v>25</v>
      </c>
      <c r="D174" t="s">
        <v>74</v>
      </c>
      <c r="E174" t="s">
        <v>17</v>
      </c>
      <c r="F174" t="s">
        <v>87</v>
      </c>
      <c r="G174" t="s">
        <v>22</v>
      </c>
      <c r="H174" t="s">
        <v>30</v>
      </c>
      <c r="I174">
        <v>8</v>
      </c>
      <c r="J174" s="3">
        <v>12.25</v>
      </c>
      <c r="K174" s="4">
        <v>0.1</v>
      </c>
      <c r="L174" s="3">
        <v>88.2</v>
      </c>
      <c r="M174" s="3">
        <v>49.67</v>
      </c>
      <c r="N174" s="3">
        <v>38.53</v>
      </c>
    </row>
    <row r="175" spans="1:14" x14ac:dyDescent="0.35">
      <c r="A175" t="s">
        <v>229</v>
      </c>
      <c r="B175" s="2">
        <v>45719</v>
      </c>
      <c r="C175" t="s">
        <v>40</v>
      </c>
      <c r="D175" t="s">
        <v>41</v>
      </c>
      <c r="E175" t="s">
        <v>17</v>
      </c>
      <c r="F175" t="s">
        <v>18</v>
      </c>
      <c r="G175" t="s">
        <v>19</v>
      </c>
      <c r="H175" t="s">
        <v>30</v>
      </c>
      <c r="I175">
        <v>7</v>
      </c>
      <c r="J175" s="3">
        <v>62.56</v>
      </c>
      <c r="K175" s="4">
        <v>0</v>
      </c>
      <c r="L175" s="3">
        <v>437.92</v>
      </c>
      <c r="M175" s="3">
        <v>228.25</v>
      </c>
      <c r="N175" s="3">
        <v>209.67</v>
      </c>
    </row>
    <row r="176" spans="1:14" x14ac:dyDescent="0.35">
      <c r="A176" t="s">
        <v>230</v>
      </c>
      <c r="B176" s="2">
        <v>45720</v>
      </c>
      <c r="C176" t="s">
        <v>25</v>
      </c>
      <c r="D176" t="s">
        <v>97</v>
      </c>
      <c r="E176" t="s">
        <v>27</v>
      </c>
      <c r="F176" t="s">
        <v>48</v>
      </c>
      <c r="G176" t="s">
        <v>22</v>
      </c>
      <c r="H176" t="s">
        <v>30</v>
      </c>
      <c r="I176">
        <v>8</v>
      </c>
      <c r="J176" s="3">
        <v>242</v>
      </c>
      <c r="K176" s="4">
        <v>0</v>
      </c>
      <c r="L176" s="3">
        <v>1936</v>
      </c>
      <c r="M176" s="3">
        <v>946.54</v>
      </c>
      <c r="N176" s="3">
        <v>989.46</v>
      </c>
    </row>
    <row r="177" spans="1:14" x14ac:dyDescent="0.35">
      <c r="A177" t="s">
        <v>231</v>
      </c>
      <c r="B177" s="2">
        <v>45720</v>
      </c>
      <c r="C177" t="s">
        <v>40</v>
      </c>
      <c r="D177" t="s">
        <v>71</v>
      </c>
      <c r="E177" t="s">
        <v>17</v>
      </c>
      <c r="F177" t="s">
        <v>34</v>
      </c>
      <c r="G177" t="s">
        <v>22</v>
      </c>
      <c r="H177" t="s">
        <v>30</v>
      </c>
      <c r="I177">
        <v>6</v>
      </c>
      <c r="J177" s="3">
        <v>20.62</v>
      </c>
      <c r="K177" s="4">
        <v>0</v>
      </c>
      <c r="L177" s="3">
        <v>123.72</v>
      </c>
      <c r="M177" s="3">
        <v>92.19</v>
      </c>
      <c r="N177" s="3">
        <v>31.53</v>
      </c>
    </row>
    <row r="178" spans="1:14" x14ac:dyDescent="0.35">
      <c r="A178" t="s">
        <v>232</v>
      </c>
      <c r="B178" s="2">
        <v>45721</v>
      </c>
      <c r="C178" t="s">
        <v>25</v>
      </c>
      <c r="D178" t="s">
        <v>97</v>
      </c>
      <c r="E178" t="s">
        <v>27</v>
      </c>
      <c r="F178" t="s">
        <v>28</v>
      </c>
      <c r="G178" t="s">
        <v>29</v>
      </c>
      <c r="H178" t="s">
        <v>23</v>
      </c>
      <c r="I178">
        <v>7</v>
      </c>
      <c r="J178" s="3">
        <v>167.73</v>
      </c>
      <c r="K178" s="4">
        <v>0.05</v>
      </c>
      <c r="L178" s="3">
        <v>1115.4000000000001</v>
      </c>
      <c r="M178" s="3">
        <v>835.23</v>
      </c>
      <c r="N178" s="3">
        <v>280.17</v>
      </c>
    </row>
    <row r="179" spans="1:14" x14ac:dyDescent="0.35">
      <c r="A179" t="s">
        <v>233</v>
      </c>
      <c r="B179" s="2">
        <v>45721</v>
      </c>
      <c r="C179" t="s">
        <v>32</v>
      </c>
      <c r="D179" t="s">
        <v>36</v>
      </c>
      <c r="E179" t="s">
        <v>53</v>
      </c>
      <c r="F179" t="s">
        <v>54</v>
      </c>
      <c r="G179" t="s">
        <v>29</v>
      </c>
      <c r="H179" t="s">
        <v>30</v>
      </c>
      <c r="I179">
        <v>3</v>
      </c>
      <c r="J179" s="3">
        <v>8.68</v>
      </c>
      <c r="K179" s="4">
        <v>0</v>
      </c>
      <c r="L179" s="3">
        <v>26.04</v>
      </c>
      <c r="M179" s="3">
        <v>13.21</v>
      </c>
      <c r="N179" s="3">
        <v>12.83</v>
      </c>
    </row>
    <row r="180" spans="1:14" x14ac:dyDescent="0.35">
      <c r="A180" t="s">
        <v>234</v>
      </c>
      <c r="B180" s="2">
        <v>45722</v>
      </c>
      <c r="C180" t="s">
        <v>25</v>
      </c>
      <c r="D180" t="s">
        <v>26</v>
      </c>
      <c r="E180" t="s">
        <v>17</v>
      </c>
      <c r="F180" t="s">
        <v>44</v>
      </c>
      <c r="G180" t="s">
        <v>19</v>
      </c>
      <c r="H180" t="s">
        <v>20</v>
      </c>
      <c r="I180">
        <v>12</v>
      </c>
      <c r="J180" s="3">
        <v>13.96</v>
      </c>
      <c r="K180" s="4">
        <v>0.1</v>
      </c>
      <c r="L180" s="3">
        <v>150.77000000000001</v>
      </c>
      <c r="M180" s="3">
        <v>119.51</v>
      </c>
      <c r="N180" s="3">
        <v>31.26</v>
      </c>
    </row>
    <row r="181" spans="1:14" x14ac:dyDescent="0.35">
      <c r="A181" t="s">
        <v>235</v>
      </c>
      <c r="B181" s="2">
        <v>45722</v>
      </c>
      <c r="C181" t="s">
        <v>15</v>
      </c>
      <c r="D181" t="s">
        <v>59</v>
      </c>
      <c r="E181" t="s">
        <v>53</v>
      </c>
      <c r="F181" t="s">
        <v>54</v>
      </c>
      <c r="G181" t="s">
        <v>19</v>
      </c>
      <c r="H181" t="s">
        <v>23</v>
      </c>
      <c r="I181">
        <v>2</v>
      </c>
      <c r="J181" s="3">
        <v>7.99</v>
      </c>
      <c r="K181" s="4">
        <v>0</v>
      </c>
      <c r="L181" s="3">
        <v>15.98</v>
      </c>
      <c r="M181" s="3">
        <v>8.0399999999999991</v>
      </c>
      <c r="N181" s="3">
        <v>7.94</v>
      </c>
    </row>
    <row r="182" spans="1:14" x14ac:dyDescent="0.35">
      <c r="A182" t="s">
        <v>236</v>
      </c>
      <c r="B182" s="2">
        <v>45722</v>
      </c>
      <c r="C182" t="s">
        <v>40</v>
      </c>
      <c r="D182" t="s">
        <v>50</v>
      </c>
      <c r="E182" t="s">
        <v>53</v>
      </c>
      <c r="F182" t="s">
        <v>54</v>
      </c>
      <c r="G182" t="s">
        <v>29</v>
      </c>
      <c r="H182" t="s">
        <v>20</v>
      </c>
      <c r="I182">
        <v>11</v>
      </c>
      <c r="J182" s="3">
        <v>7.56</v>
      </c>
      <c r="K182" s="4">
        <v>0.1</v>
      </c>
      <c r="L182" s="3">
        <v>74.84</v>
      </c>
      <c r="M182" s="3">
        <v>50.2</v>
      </c>
      <c r="N182" s="3">
        <v>24.64</v>
      </c>
    </row>
    <row r="183" spans="1:14" x14ac:dyDescent="0.35">
      <c r="A183" t="s">
        <v>237</v>
      </c>
      <c r="B183" s="2">
        <v>45723</v>
      </c>
      <c r="C183" t="s">
        <v>40</v>
      </c>
      <c r="D183" t="s">
        <v>50</v>
      </c>
      <c r="E183" t="s">
        <v>17</v>
      </c>
      <c r="F183" t="s">
        <v>44</v>
      </c>
      <c r="G183" t="s">
        <v>19</v>
      </c>
      <c r="H183" t="s">
        <v>30</v>
      </c>
      <c r="I183">
        <v>9</v>
      </c>
      <c r="J183" s="3">
        <v>15.03</v>
      </c>
      <c r="K183" s="4">
        <v>0.1</v>
      </c>
      <c r="L183" s="3">
        <v>121.74</v>
      </c>
      <c r="M183" s="3">
        <v>91.3</v>
      </c>
      <c r="N183" s="3">
        <v>30.44</v>
      </c>
    </row>
    <row r="184" spans="1:14" x14ac:dyDescent="0.35">
      <c r="A184" t="s">
        <v>238</v>
      </c>
      <c r="B184" s="2">
        <v>45723</v>
      </c>
      <c r="C184" t="s">
        <v>32</v>
      </c>
      <c r="D184" t="s">
        <v>57</v>
      </c>
      <c r="E184" t="s">
        <v>27</v>
      </c>
      <c r="F184" t="s">
        <v>28</v>
      </c>
      <c r="G184" t="s">
        <v>22</v>
      </c>
      <c r="H184" t="s">
        <v>30</v>
      </c>
      <c r="I184">
        <v>6</v>
      </c>
      <c r="J184" s="3">
        <v>168.98</v>
      </c>
      <c r="K184" s="4">
        <v>0</v>
      </c>
      <c r="L184" s="3">
        <v>1013.88</v>
      </c>
      <c r="M184" s="3">
        <v>486.92</v>
      </c>
      <c r="N184" s="3">
        <v>526.96</v>
      </c>
    </row>
    <row r="185" spans="1:14" x14ac:dyDescent="0.35">
      <c r="A185" t="s">
        <v>239</v>
      </c>
      <c r="B185" s="2">
        <v>45723</v>
      </c>
      <c r="C185" t="s">
        <v>15</v>
      </c>
      <c r="D185" t="s">
        <v>16</v>
      </c>
      <c r="E185" t="s">
        <v>37</v>
      </c>
      <c r="F185" t="s">
        <v>38</v>
      </c>
      <c r="G185" t="s">
        <v>29</v>
      </c>
      <c r="H185" t="s">
        <v>30</v>
      </c>
      <c r="I185">
        <v>2</v>
      </c>
      <c r="J185" s="3">
        <v>47.57</v>
      </c>
      <c r="K185" s="4">
        <v>0.1</v>
      </c>
      <c r="L185" s="3">
        <v>85.63</v>
      </c>
      <c r="M185" s="3">
        <v>47.11</v>
      </c>
      <c r="N185" s="3">
        <v>38.520000000000003</v>
      </c>
    </row>
    <row r="186" spans="1:14" x14ac:dyDescent="0.35">
      <c r="A186" t="s">
        <v>240</v>
      </c>
      <c r="B186" s="2">
        <v>45723</v>
      </c>
      <c r="C186" t="s">
        <v>40</v>
      </c>
      <c r="D186" t="s">
        <v>71</v>
      </c>
      <c r="E186" t="s">
        <v>27</v>
      </c>
      <c r="F186" t="s">
        <v>48</v>
      </c>
      <c r="G186" t="s">
        <v>22</v>
      </c>
      <c r="H186" t="s">
        <v>30</v>
      </c>
      <c r="I186">
        <v>9</v>
      </c>
      <c r="J186" s="3">
        <v>308.33999999999997</v>
      </c>
      <c r="K186" s="4">
        <v>0.05</v>
      </c>
      <c r="L186" s="3">
        <v>2636.31</v>
      </c>
      <c r="M186" s="3">
        <v>1591.1</v>
      </c>
      <c r="N186" s="3">
        <v>1045.21</v>
      </c>
    </row>
    <row r="187" spans="1:14" x14ac:dyDescent="0.35">
      <c r="A187" t="s">
        <v>241</v>
      </c>
      <c r="B187" s="2">
        <v>45724</v>
      </c>
      <c r="C187" t="s">
        <v>40</v>
      </c>
      <c r="D187" t="s">
        <v>50</v>
      </c>
      <c r="E187" t="s">
        <v>27</v>
      </c>
      <c r="F187" t="s">
        <v>28</v>
      </c>
      <c r="G187" t="s">
        <v>22</v>
      </c>
      <c r="H187" t="s">
        <v>23</v>
      </c>
      <c r="I187">
        <v>6</v>
      </c>
      <c r="J187" s="3">
        <v>135.52000000000001</v>
      </c>
      <c r="K187" s="4">
        <v>0</v>
      </c>
      <c r="L187" s="3">
        <v>813.12</v>
      </c>
      <c r="M187" s="3">
        <v>455.54</v>
      </c>
      <c r="N187" s="3">
        <v>357.58</v>
      </c>
    </row>
    <row r="188" spans="1:14" x14ac:dyDescent="0.35">
      <c r="A188" t="s">
        <v>242</v>
      </c>
      <c r="B188" s="2">
        <v>45725</v>
      </c>
      <c r="C188" t="s">
        <v>25</v>
      </c>
      <c r="D188" t="s">
        <v>74</v>
      </c>
      <c r="E188" t="s">
        <v>27</v>
      </c>
      <c r="F188" t="s">
        <v>68</v>
      </c>
      <c r="G188" t="s">
        <v>22</v>
      </c>
      <c r="H188" t="s">
        <v>30</v>
      </c>
      <c r="I188">
        <v>5</v>
      </c>
      <c r="J188" s="3">
        <v>35.32</v>
      </c>
      <c r="K188" s="4">
        <v>0.05</v>
      </c>
      <c r="L188" s="3">
        <v>167.77</v>
      </c>
      <c r="M188" s="3">
        <v>136.19999999999999</v>
      </c>
      <c r="N188" s="3">
        <v>31.57</v>
      </c>
    </row>
    <row r="189" spans="1:14" x14ac:dyDescent="0.35">
      <c r="A189" t="s">
        <v>243</v>
      </c>
      <c r="B189" s="2">
        <v>45725</v>
      </c>
      <c r="C189" t="s">
        <v>40</v>
      </c>
      <c r="D189" t="s">
        <v>50</v>
      </c>
      <c r="E189" t="s">
        <v>17</v>
      </c>
      <c r="F189" t="s">
        <v>87</v>
      </c>
      <c r="G189" t="s">
        <v>29</v>
      </c>
      <c r="H189" t="s">
        <v>30</v>
      </c>
      <c r="I189">
        <v>3</v>
      </c>
      <c r="J189" s="3">
        <v>12.79</v>
      </c>
      <c r="K189" s="4">
        <v>0.15</v>
      </c>
      <c r="L189" s="3">
        <v>32.61</v>
      </c>
      <c r="M189" s="3">
        <v>27.73</v>
      </c>
      <c r="N189" s="3">
        <v>4.88</v>
      </c>
    </row>
    <row r="190" spans="1:14" x14ac:dyDescent="0.35">
      <c r="A190" t="s">
        <v>244</v>
      </c>
      <c r="B190" s="2">
        <v>45725</v>
      </c>
      <c r="C190" t="s">
        <v>15</v>
      </c>
      <c r="D190" t="s">
        <v>46</v>
      </c>
      <c r="E190" t="s">
        <v>53</v>
      </c>
      <c r="F190" t="s">
        <v>54</v>
      </c>
      <c r="G190" t="s">
        <v>19</v>
      </c>
      <c r="H190" t="s">
        <v>23</v>
      </c>
      <c r="I190">
        <v>12</v>
      </c>
      <c r="J190" s="3">
        <v>7.7</v>
      </c>
      <c r="K190" s="4">
        <v>0</v>
      </c>
      <c r="L190" s="3">
        <v>92.4</v>
      </c>
      <c r="M190" s="3">
        <v>65.459999999999994</v>
      </c>
      <c r="N190" s="3">
        <v>26.94</v>
      </c>
    </row>
    <row r="191" spans="1:14" x14ac:dyDescent="0.35">
      <c r="A191" t="s">
        <v>245</v>
      </c>
      <c r="B191" s="2">
        <v>45725</v>
      </c>
      <c r="C191" t="s">
        <v>40</v>
      </c>
      <c r="D191" t="s">
        <v>50</v>
      </c>
      <c r="E191" t="s">
        <v>37</v>
      </c>
      <c r="F191" t="s">
        <v>42</v>
      </c>
      <c r="G191" t="s">
        <v>29</v>
      </c>
      <c r="H191" t="s">
        <v>23</v>
      </c>
      <c r="I191">
        <v>4</v>
      </c>
      <c r="J191" s="3">
        <v>18.59</v>
      </c>
      <c r="K191" s="4">
        <v>0.15</v>
      </c>
      <c r="L191" s="3">
        <v>63.21</v>
      </c>
      <c r="M191" s="3">
        <v>50.96</v>
      </c>
      <c r="N191" s="3">
        <v>12.25</v>
      </c>
    </row>
    <row r="192" spans="1:14" x14ac:dyDescent="0.35">
      <c r="A192" t="s">
        <v>246</v>
      </c>
      <c r="B192" s="2">
        <v>45726</v>
      </c>
      <c r="C192" t="s">
        <v>15</v>
      </c>
      <c r="D192" t="s">
        <v>46</v>
      </c>
      <c r="E192" t="s">
        <v>37</v>
      </c>
      <c r="F192" t="s">
        <v>38</v>
      </c>
      <c r="G192" t="s">
        <v>29</v>
      </c>
      <c r="H192" t="s">
        <v>30</v>
      </c>
      <c r="I192">
        <v>9</v>
      </c>
      <c r="J192" s="3">
        <v>53.27</v>
      </c>
      <c r="K192" s="4">
        <v>0</v>
      </c>
      <c r="L192" s="3">
        <v>479.43</v>
      </c>
      <c r="M192" s="3">
        <v>349.56</v>
      </c>
      <c r="N192" s="3">
        <v>129.87</v>
      </c>
    </row>
    <row r="193" spans="1:14" x14ac:dyDescent="0.35">
      <c r="A193" t="s">
        <v>247</v>
      </c>
      <c r="B193" s="2">
        <v>45726</v>
      </c>
      <c r="C193" t="s">
        <v>40</v>
      </c>
      <c r="D193" t="s">
        <v>71</v>
      </c>
      <c r="E193" t="s">
        <v>27</v>
      </c>
      <c r="F193" t="s">
        <v>68</v>
      </c>
      <c r="G193" t="s">
        <v>22</v>
      </c>
      <c r="H193" t="s">
        <v>30</v>
      </c>
      <c r="I193">
        <v>11</v>
      </c>
      <c r="J193" s="3">
        <v>40.19</v>
      </c>
      <c r="K193" s="4">
        <v>0.05</v>
      </c>
      <c r="L193" s="3">
        <v>419.99</v>
      </c>
      <c r="M193" s="3">
        <v>318.24</v>
      </c>
      <c r="N193" s="3">
        <v>101.75</v>
      </c>
    </row>
    <row r="194" spans="1:14" x14ac:dyDescent="0.35">
      <c r="A194" t="s">
        <v>248</v>
      </c>
      <c r="B194" s="2">
        <v>45726</v>
      </c>
      <c r="C194" t="s">
        <v>40</v>
      </c>
      <c r="D194" t="s">
        <v>71</v>
      </c>
      <c r="E194" t="s">
        <v>17</v>
      </c>
      <c r="F194" t="s">
        <v>44</v>
      </c>
      <c r="G194" t="s">
        <v>22</v>
      </c>
      <c r="H194" t="s">
        <v>30</v>
      </c>
      <c r="I194">
        <v>10</v>
      </c>
      <c r="J194" s="3">
        <v>16.78</v>
      </c>
      <c r="K194" s="4">
        <v>0.1</v>
      </c>
      <c r="L194" s="3">
        <v>151.02000000000001</v>
      </c>
      <c r="M194" s="3">
        <v>113.89</v>
      </c>
      <c r="N194" s="3">
        <v>37.130000000000003</v>
      </c>
    </row>
    <row r="195" spans="1:14" x14ac:dyDescent="0.35">
      <c r="A195" t="s">
        <v>249</v>
      </c>
      <c r="B195" s="2">
        <v>45726</v>
      </c>
      <c r="C195" t="s">
        <v>40</v>
      </c>
      <c r="D195" t="s">
        <v>41</v>
      </c>
      <c r="E195" t="s">
        <v>37</v>
      </c>
      <c r="F195" t="s">
        <v>42</v>
      </c>
      <c r="G195" t="s">
        <v>22</v>
      </c>
      <c r="H195" t="s">
        <v>23</v>
      </c>
      <c r="I195">
        <v>11</v>
      </c>
      <c r="J195" s="3">
        <v>15.4</v>
      </c>
      <c r="K195" s="4">
        <v>0.1</v>
      </c>
      <c r="L195" s="3">
        <v>152.46</v>
      </c>
      <c r="M195" s="3">
        <v>114.75</v>
      </c>
      <c r="N195" s="3">
        <v>37.71</v>
      </c>
    </row>
    <row r="196" spans="1:14" x14ac:dyDescent="0.35">
      <c r="A196" t="s">
        <v>250</v>
      </c>
      <c r="B196" s="2">
        <v>45726</v>
      </c>
      <c r="C196" t="s">
        <v>25</v>
      </c>
      <c r="D196" t="s">
        <v>26</v>
      </c>
      <c r="E196" t="s">
        <v>27</v>
      </c>
      <c r="F196" t="s">
        <v>48</v>
      </c>
      <c r="G196" t="s">
        <v>29</v>
      </c>
      <c r="H196" t="s">
        <v>23</v>
      </c>
      <c r="I196">
        <v>5</v>
      </c>
      <c r="J196" s="3">
        <v>243.84</v>
      </c>
      <c r="K196" s="4">
        <v>0.15</v>
      </c>
      <c r="L196" s="3">
        <v>1036.32</v>
      </c>
      <c r="M196" s="3">
        <v>602.66999999999996</v>
      </c>
      <c r="N196" s="3">
        <v>433.65</v>
      </c>
    </row>
    <row r="197" spans="1:14" x14ac:dyDescent="0.35">
      <c r="A197" t="s">
        <v>251</v>
      </c>
      <c r="B197" s="2">
        <v>45726</v>
      </c>
      <c r="C197" t="s">
        <v>15</v>
      </c>
      <c r="D197" t="s">
        <v>16</v>
      </c>
      <c r="E197" t="s">
        <v>37</v>
      </c>
      <c r="F197" t="s">
        <v>38</v>
      </c>
      <c r="G197" t="s">
        <v>29</v>
      </c>
      <c r="H197" t="s">
        <v>20</v>
      </c>
      <c r="I197">
        <v>8</v>
      </c>
      <c r="J197" s="3">
        <v>56.74</v>
      </c>
      <c r="K197" s="4">
        <v>0</v>
      </c>
      <c r="L197" s="3">
        <v>453.92</v>
      </c>
      <c r="M197" s="3">
        <v>297.39999999999998</v>
      </c>
      <c r="N197" s="3">
        <v>156.52000000000001</v>
      </c>
    </row>
    <row r="198" spans="1:14" x14ac:dyDescent="0.35">
      <c r="A198" t="s">
        <v>252</v>
      </c>
      <c r="B198" s="2">
        <v>45727</v>
      </c>
      <c r="C198" t="s">
        <v>32</v>
      </c>
      <c r="D198" t="s">
        <v>36</v>
      </c>
      <c r="E198" t="s">
        <v>17</v>
      </c>
      <c r="F198" t="s">
        <v>87</v>
      </c>
      <c r="G198" t="s">
        <v>19</v>
      </c>
      <c r="H198" t="s">
        <v>30</v>
      </c>
      <c r="I198">
        <v>1</v>
      </c>
      <c r="J198" s="3">
        <v>13.17</v>
      </c>
      <c r="K198" s="4">
        <v>0.05</v>
      </c>
      <c r="L198" s="3">
        <v>12.51</v>
      </c>
      <c r="M198" s="3">
        <v>7.16</v>
      </c>
      <c r="N198" s="3">
        <v>5.35</v>
      </c>
    </row>
    <row r="199" spans="1:14" x14ac:dyDescent="0.35">
      <c r="A199" t="s">
        <v>253</v>
      </c>
      <c r="B199" s="2">
        <v>45727</v>
      </c>
      <c r="C199" t="s">
        <v>40</v>
      </c>
      <c r="D199" t="s">
        <v>50</v>
      </c>
      <c r="E199" t="s">
        <v>17</v>
      </c>
      <c r="F199" t="s">
        <v>34</v>
      </c>
      <c r="G199" t="s">
        <v>19</v>
      </c>
      <c r="H199" t="s">
        <v>20</v>
      </c>
      <c r="I199">
        <v>6</v>
      </c>
      <c r="J199" s="3">
        <v>21.69</v>
      </c>
      <c r="K199" s="4">
        <v>0.15</v>
      </c>
      <c r="L199" s="3">
        <v>110.62</v>
      </c>
      <c r="M199" s="3">
        <v>78.83</v>
      </c>
      <c r="N199" s="3">
        <v>31.79</v>
      </c>
    </row>
    <row r="200" spans="1:14" x14ac:dyDescent="0.35">
      <c r="A200" t="s">
        <v>254</v>
      </c>
      <c r="B200" s="2">
        <v>45727</v>
      </c>
      <c r="C200" t="s">
        <v>25</v>
      </c>
      <c r="D200" t="s">
        <v>97</v>
      </c>
      <c r="E200" t="s">
        <v>27</v>
      </c>
      <c r="F200" t="s">
        <v>28</v>
      </c>
      <c r="G200" t="s">
        <v>29</v>
      </c>
      <c r="H200" t="s">
        <v>30</v>
      </c>
      <c r="I200">
        <v>5</v>
      </c>
      <c r="J200" s="3">
        <v>173.21</v>
      </c>
      <c r="K200" s="4">
        <v>0</v>
      </c>
      <c r="L200" s="3">
        <v>866.05</v>
      </c>
      <c r="M200" s="3">
        <v>638.03</v>
      </c>
      <c r="N200" s="3">
        <v>228.02</v>
      </c>
    </row>
    <row r="201" spans="1:14" x14ac:dyDescent="0.35">
      <c r="A201" t="s">
        <v>255</v>
      </c>
      <c r="B201" s="2">
        <v>45729</v>
      </c>
      <c r="C201" t="s">
        <v>25</v>
      </c>
      <c r="D201" t="s">
        <v>74</v>
      </c>
      <c r="E201" t="s">
        <v>17</v>
      </c>
      <c r="F201" t="s">
        <v>34</v>
      </c>
      <c r="G201" t="s">
        <v>29</v>
      </c>
      <c r="H201" t="s">
        <v>20</v>
      </c>
      <c r="I201">
        <v>3</v>
      </c>
      <c r="J201" s="3">
        <v>19.149999999999999</v>
      </c>
      <c r="K201" s="4">
        <v>0.1</v>
      </c>
      <c r="L201" s="3">
        <v>51.7</v>
      </c>
      <c r="M201" s="3">
        <v>30.24</v>
      </c>
      <c r="N201" s="3">
        <v>21.46</v>
      </c>
    </row>
    <row r="202" spans="1:14" x14ac:dyDescent="0.35">
      <c r="A202" t="s">
        <v>256</v>
      </c>
      <c r="B202" s="2">
        <v>45729</v>
      </c>
      <c r="C202" t="s">
        <v>40</v>
      </c>
      <c r="D202" t="s">
        <v>41</v>
      </c>
      <c r="E202" t="s">
        <v>17</v>
      </c>
      <c r="F202" t="s">
        <v>18</v>
      </c>
      <c r="G202" t="s">
        <v>29</v>
      </c>
      <c r="H202" t="s">
        <v>23</v>
      </c>
      <c r="I202">
        <v>9</v>
      </c>
      <c r="J202" s="3">
        <v>84.15</v>
      </c>
      <c r="K202" s="4">
        <v>0.05</v>
      </c>
      <c r="L202" s="3">
        <v>719.48</v>
      </c>
      <c r="M202" s="3">
        <v>501.25</v>
      </c>
      <c r="N202" s="3">
        <v>218.23</v>
      </c>
    </row>
    <row r="203" spans="1:14" x14ac:dyDescent="0.35">
      <c r="A203" t="s">
        <v>257</v>
      </c>
      <c r="B203" s="2">
        <v>45729</v>
      </c>
      <c r="C203" t="s">
        <v>40</v>
      </c>
      <c r="D203" t="s">
        <v>41</v>
      </c>
      <c r="E203" t="s">
        <v>37</v>
      </c>
      <c r="F203" t="s">
        <v>75</v>
      </c>
      <c r="G203" t="s">
        <v>19</v>
      </c>
      <c r="H203" t="s">
        <v>30</v>
      </c>
      <c r="I203">
        <v>1</v>
      </c>
      <c r="J203" s="3">
        <v>23.45</v>
      </c>
      <c r="K203" s="4">
        <v>0.05</v>
      </c>
      <c r="L203" s="3">
        <v>22.28</v>
      </c>
      <c r="M203" s="3">
        <v>14.08</v>
      </c>
      <c r="N203" s="3">
        <v>8.1999999999999993</v>
      </c>
    </row>
    <row r="204" spans="1:14" x14ac:dyDescent="0.35">
      <c r="A204" t="s">
        <v>258</v>
      </c>
      <c r="B204" s="2">
        <v>45729</v>
      </c>
      <c r="C204" t="s">
        <v>25</v>
      </c>
      <c r="D204" t="s">
        <v>97</v>
      </c>
      <c r="E204" t="s">
        <v>37</v>
      </c>
      <c r="F204" t="s">
        <v>75</v>
      </c>
      <c r="G204" t="s">
        <v>29</v>
      </c>
      <c r="H204" t="s">
        <v>20</v>
      </c>
      <c r="I204">
        <v>5</v>
      </c>
      <c r="J204" s="3">
        <v>22.58</v>
      </c>
      <c r="K204" s="4">
        <v>0.1</v>
      </c>
      <c r="L204" s="3">
        <v>101.61</v>
      </c>
      <c r="M204" s="3">
        <v>67.900000000000006</v>
      </c>
      <c r="N204" s="3">
        <v>33.71</v>
      </c>
    </row>
    <row r="205" spans="1:14" x14ac:dyDescent="0.35">
      <c r="A205" t="s">
        <v>259</v>
      </c>
      <c r="B205" s="2">
        <v>45729</v>
      </c>
      <c r="C205" t="s">
        <v>25</v>
      </c>
      <c r="D205" t="s">
        <v>97</v>
      </c>
      <c r="E205" t="s">
        <v>37</v>
      </c>
      <c r="F205" t="s">
        <v>38</v>
      </c>
      <c r="G205" t="s">
        <v>19</v>
      </c>
      <c r="H205" t="s">
        <v>23</v>
      </c>
      <c r="I205">
        <v>1</v>
      </c>
      <c r="J205" s="3">
        <v>54.48</v>
      </c>
      <c r="K205" s="4">
        <v>0</v>
      </c>
      <c r="L205" s="3">
        <v>54.48</v>
      </c>
      <c r="M205" s="3">
        <v>33.44</v>
      </c>
      <c r="N205" s="3">
        <v>21.04</v>
      </c>
    </row>
    <row r="206" spans="1:14" x14ac:dyDescent="0.35">
      <c r="A206" t="s">
        <v>260</v>
      </c>
      <c r="B206" s="2">
        <v>45729</v>
      </c>
      <c r="C206" t="s">
        <v>32</v>
      </c>
      <c r="D206" t="s">
        <v>36</v>
      </c>
      <c r="E206" t="s">
        <v>27</v>
      </c>
      <c r="F206" t="s">
        <v>79</v>
      </c>
      <c r="G206" t="s">
        <v>19</v>
      </c>
      <c r="H206" t="s">
        <v>30</v>
      </c>
      <c r="I206">
        <v>5</v>
      </c>
      <c r="J206" s="3">
        <v>112.49</v>
      </c>
      <c r="K206" s="4">
        <v>0</v>
      </c>
      <c r="L206" s="3">
        <v>562.45000000000005</v>
      </c>
      <c r="M206" s="3">
        <v>298.19</v>
      </c>
      <c r="N206" s="3">
        <v>264.26</v>
      </c>
    </row>
    <row r="207" spans="1:14" x14ac:dyDescent="0.35">
      <c r="A207" t="s">
        <v>261</v>
      </c>
      <c r="B207" s="2">
        <v>45729</v>
      </c>
      <c r="C207" t="s">
        <v>15</v>
      </c>
      <c r="D207" t="s">
        <v>59</v>
      </c>
      <c r="E207" t="s">
        <v>27</v>
      </c>
      <c r="F207" t="s">
        <v>48</v>
      </c>
      <c r="G207" t="s">
        <v>22</v>
      </c>
      <c r="H207" t="s">
        <v>23</v>
      </c>
      <c r="I207">
        <v>3</v>
      </c>
      <c r="J207" s="3">
        <v>297.01</v>
      </c>
      <c r="K207" s="4">
        <v>0.15</v>
      </c>
      <c r="L207" s="3">
        <v>757.38</v>
      </c>
      <c r="M207" s="3">
        <v>687.47</v>
      </c>
      <c r="N207" s="3">
        <v>69.91</v>
      </c>
    </row>
    <row r="208" spans="1:14" x14ac:dyDescent="0.35">
      <c r="A208" t="s">
        <v>262</v>
      </c>
      <c r="B208" s="2">
        <v>45729</v>
      </c>
      <c r="C208" t="s">
        <v>25</v>
      </c>
      <c r="D208" t="s">
        <v>74</v>
      </c>
      <c r="E208" t="s">
        <v>27</v>
      </c>
      <c r="F208" t="s">
        <v>68</v>
      </c>
      <c r="G208" t="s">
        <v>19</v>
      </c>
      <c r="H208" t="s">
        <v>20</v>
      </c>
      <c r="I208">
        <v>5</v>
      </c>
      <c r="J208" s="3">
        <v>41.06</v>
      </c>
      <c r="K208" s="4">
        <v>0.1</v>
      </c>
      <c r="L208" s="3">
        <v>184.77</v>
      </c>
      <c r="M208" s="3">
        <v>147.13999999999999</v>
      </c>
      <c r="N208" s="3">
        <v>37.630000000000003</v>
      </c>
    </row>
    <row r="209" spans="1:14" x14ac:dyDescent="0.35">
      <c r="A209" t="s">
        <v>263</v>
      </c>
      <c r="B209" s="2">
        <v>45729</v>
      </c>
      <c r="C209" t="s">
        <v>40</v>
      </c>
      <c r="D209" t="s">
        <v>50</v>
      </c>
      <c r="E209" t="s">
        <v>37</v>
      </c>
      <c r="F209" t="s">
        <v>75</v>
      </c>
      <c r="G209" t="s">
        <v>19</v>
      </c>
      <c r="H209" t="s">
        <v>20</v>
      </c>
      <c r="I209">
        <v>6</v>
      </c>
      <c r="J209" s="3">
        <v>28.49</v>
      </c>
      <c r="K209" s="4">
        <v>0.05</v>
      </c>
      <c r="L209" s="3">
        <v>162.38999999999999</v>
      </c>
      <c r="M209" s="3">
        <v>122.62</v>
      </c>
      <c r="N209" s="3">
        <v>39.770000000000003</v>
      </c>
    </row>
    <row r="210" spans="1:14" x14ac:dyDescent="0.35">
      <c r="A210" t="s">
        <v>264</v>
      </c>
      <c r="B210" s="2">
        <v>45731</v>
      </c>
      <c r="C210" t="s">
        <v>15</v>
      </c>
      <c r="D210" t="s">
        <v>46</v>
      </c>
      <c r="E210" t="s">
        <v>17</v>
      </c>
      <c r="F210" t="s">
        <v>44</v>
      </c>
      <c r="G210" t="s">
        <v>19</v>
      </c>
      <c r="H210" t="s">
        <v>30</v>
      </c>
      <c r="I210">
        <v>7</v>
      </c>
      <c r="J210" s="3">
        <v>16.989999999999998</v>
      </c>
      <c r="K210" s="4">
        <v>0</v>
      </c>
      <c r="L210" s="3">
        <v>118.93</v>
      </c>
      <c r="M210" s="3">
        <v>75.849999999999994</v>
      </c>
      <c r="N210" s="3">
        <v>43.08</v>
      </c>
    </row>
    <row r="211" spans="1:14" x14ac:dyDescent="0.35">
      <c r="A211" t="s">
        <v>265</v>
      </c>
      <c r="B211" s="2">
        <v>45731</v>
      </c>
      <c r="C211" t="s">
        <v>25</v>
      </c>
      <c r="D211" t="s">
        <v>26</v>
      </c>
      <c r="E211" t="s">
        <v>53</v>
      </c>
      <c r="F211" t="s">
        <v>66</v>
      </c>
      <c r="G211" t="s">
        <v>29</v>
      </c>
      <c r="H211" t="s">
        <v>30</v>
      </c>
      <c r="I211">
        <v>2</v>
      </c>
      <c r="J211" s="3">
        <v>18.98</v>
      </c>
      <c r="K211" s="4">
        <v>0.1</v>
      </c>
      <c r="L211" s="3">
        <v>34.159999999999997</v>
      </c>
      <c r="M211" s="3">
        <v>25.95</v>
      </c>
      <c r="N211" s="3">
        <v>8.2100000000000009</v>
      </c>
    </row>
    <row r="212" spans="1:14" x14ac:dyDescent="0.35">
      <c r="A212" t="s">
        <v>266</v>
      </c>
      <c r="B212" s="2">
        <v>45731</v>
      </c>
      <c r="C212" t="s">
        <v>25</v>
      </c>
      <c r="D212" t="s">
        <v>74</v>
      </c>
      <c r="E212" t="s">
        <v>53</v>
      </c>
      <c r="F212" t="s">
        <v>66</v>
      </c>
      <c r="G212" t="s">
        <v>22</v>
      </c>
      <c r="H212" t="s">
        <v>30</v>
      </c>
      <c r="I212">
        <v>3</v>
      </c>
      <c r="J212" s="3">
        <v>23.17</v>
      </c>
      <c r="K212" s="4">
        <v>0.05</v>
      </c>
      <c r="L212" s="3">
        <v>66.03</v>
      </c>
      <c r="M212" s="3">
        <v>52.6</v>
      </c>
      <c r="N212" s="3">
        <v>13.43</v>
      </c>
    </row>
    <row r="213" spans="1:14" x14ac:dyDescent="0.35">
      <c r="A213" t="s">
        <v>267</v>
      </c>
      <c r="B213" s="2">
        <v>45731</v>
      </c>
      <c r="C213" t="s">
        <v>25</v>
      </c>
      <c r="D213" t="s">
        <v>74</v>
      </c>
      <c r="E213" t="s">
        <v>53</v>
      </c>
      <c r="F213" t="s">
        <v>83</v>
      </c>
      <c r="G213" t="s">
        <v>29</v>
      </c>
      <c r="H213" t="s">
        <v>23</v>
      </c>
      <c r="I213">
        <v>12</v>
      </c>
      <c r="J213" s="3">
        <v>15.15</v>
      </c>
      <c r="K213" s="4">
        <v>0.15</v>
      </c>
      <c r="L213" s="3">
        <v>154.53</v>
      </c>
      <c r="M213" s="3">
        <v>134.35</v>
      </c>
      <c r="N213" s="3">
        <v>20.18</v>
      </c>
    </row>
    <row r="214" spans="1:14" x14ac:dyDescent="0.35">
      <c r="A214" t="s">
        <v>268</v>
      </c>
      <c r="B214" s="2">
        <v>45731</v>
      </c>
      <c r="C214" t="s">
        <v>25</v>
      </c>
      <c r="D214" t="s">
        <v>26</v>
      </c>
      <c r="E214" t="s">
        <v>17</v>
      </c>
      <c r="F214" t="s">
        <v>87</v>
      </c>
      <c r="G214" t="s">
        <v>22</v>
      </c>
      <c r="H214" t="s">
        <v>23</v>
      </c>
      <c r="I214">
        <v>10</v>
      </c>
      <c r="J214" s="3">
        <v>15.05</v>
      </c>
      <c r="K214" s="4">
        <v>0.1</v>
      </c>
      <c r="L214" s="3">
        <v>135.44999999999999</v>
      </c>
      <c r="M214" s="3">
        <v>104.54</v>
      </c>
      <c r="N214" s="3">
        <v>30.91</v>
      </c>
    </row>
    <row r="215" spans="1:14" x14ac:dyDescent="0.35">
      <c r="A215" t="s">
        <v>269</v>
      </c>
      <c r="B215" s="2">
        <v>45732</v>
      </c>
      <c r="C215" t="s">
        <v>15</v>
      </c>
      <c r="D215" t="s">
        <v>46</v>
      </c>
      <c r="E215" t="s">
        <v>37</v>
      </c>
      <c r="F215" t="s">
        <v>38</v>
      </c>
      <c r="G215" t="s">
        <v>22</v>
      </c>
      <c r="H215" t="s">
        <v>20</v>
      </c>
      <c r="I215">
        <v>4</v>
      </c>
      <c r="J215" s="3">
        <v>61.26</v>
      </c>
      <c r="K215" s="4">
        <v>0</v>
      </c>
      <c r="L215" s="3">
        <v>245.04</v>
      </c>
      <c r="M215" s="3">
        <v>143.99</v>
      </c>
      <c r="N215" s="3">
        <v>101.05</v>
      </c>
    </row>
    <row r="216" spans="1:14" x14ac:dyDescent="0.35">
      <c r="A216" t="s">
        <v>270</v>
      </c>
      <c r="B216" s="2">
        <v>45733</v>
      </c>
      <c r="C216" t="s">
        <v>25</v>
      </c>
      <c r="D216" t="s">
        <v>74</v>
      </c>
      <c r="E216" t="s">
        <v>53</v>
      </c>
      <c r="F216" t="s">
        <v>115</v>
      </c>
      <c r="G216" t="s">
        <v>22</v>
      </c>
      <c r="H216" t="s">
        <v>20</v>
      </c>
      <c r="I216">
        <v>3</v>
      </c>
      <c r="J216" s="3">
        <v>11.28</v>
      </c>
      <c r="K216" s="4">
        <v>0</v>
      </c>
      <c r="L216" s="3">
        <v>33.840000000000003</v>
      </c>
      <c r="M216" s="3">
        <v>22.36</v>
      </c>
      <c r="N216" s="3">
        <v>11.48</v>
      </c>
    </row>
    <row r="217" spans="1:14" x14ac:dyDescent="0.35">
      <c r="A217" t="s">
        <v>271</v>
      </c>
      <c r="B217" s="2">
        <v>45733</v>
      </c>
      <c r="C217" t="s">
        <v>40</v>
      </c>
      <c r="D217" t="s">
        <v>71</v>
      </c>
      <c r="E217" t="s">
        <v>53</v>
      </c>
      <c r="F217" t="s">
        <v>83</v>
      </c>
      <c r="G217" t="s">
        <v>22</v>
      </c>
      <c r="H217" t="s">
        <v>20</v>
      </c>
      <c r="I217">
        <v>9</v>
      </c>
      <c r="J217" s="3">
        <v>14.28</v>
      </c>
      <c r="K217" s="4">
        <v>0.15</v>
      </c>
      <c r="L217" s="3">
        <v>109.24</v>
      </c>
      <c r="M217" s="3">
        <v>83.97</v>
      </c>
      <c r="N217" s="3">
        <v>25.27</v>
      </c>
    </row>
    <row r="218" spans="1:14" x14ac:dyDescent="0.35">
      <c r="A218" t="s">
        <v>272</v>
      </c>
      <c r="B218" s="2">
        <v>45733</v>
      </c>
      <c r="C218" t="s">
        <v>15</v>
      </c>
      <c r="D218" t="s">
        <v>59</v>
      </c>
      <c r="E218" t="s">
        <v>17</v>
      </c>
      <c r="F218" t="s">
        <v>34</v>
      </c>
      <c r="G218" t="s">
        <v>22</v>
      </c>
      <c r="H218" t="s">
        <v>30</v>
      </c>
      <c r="I218">
        <v>2</v>
      </c>
      <c r="J218" s="3">
        <v>17.649999999999999</v>
      </c>
      <c r="K218" s="4">
        <v>0.1</v>
      </c>
      <c r="L218" s="3">
        <v>31.77</v>
      </c>
      <c r="M218" s="3">
        <v>26.35</v>
      </c>
      <c r="N218" s="3">
        <v>5.42</v>
      </c>
    </row>
    <row r="219" spans="1:14" x14ac:dyDescent="0.35">
      <c r="A219" t="s">
        <v>273</v>
      </c>
      <c r="B219" s="2">
        <v>45733</v>
      </c>
      <c r="C219" t="s">
        <v>32</v>
      </c>
      <c r="D219" t="s">
        <v>57</v>
      </c>
      <c r="E219" t="s">
        <v>17</v>
      </c>
      <c r="F219" t="s">
        <v>18</v>
      </c>
      <c r="G219" t="s">
        <v>19</v>
      </c>
      <c r="H219" t="s">
        <v>20</v>
      </c>
      <c r="I219">
        <v>7</v>
      </c>
      <c r="J219" s="3">
        <v>70.599999999999994</v>
      </c>
      <c r="K219" s="4">
        <v>0.05</v>
      </c>
      <c r="L219" s="3">
        <v>469.49</v>
      </c>
      <c r="M219" s="3">
        <v>288.35000000000002</v>
      </c>
      <c r="N219" s="3">
        <v>181.14</v>
      </c>
    </row>
    <row r="220" spans="1:14" x14ac:dyDescent="0.35">
      <c r="A220" t="s">
        <v>274</v>
      </c>
      <c r="B220" s="2">
        <v>45733</v>
      </c>
      <c r="C220" t="s">
        <v>40</v>
      </c>
      <c r="D220" t="s">
        <v>50</v>
      </c>
      <c r="E220" t="s">
        <v>37</v>
      </c>
      <c r="F220" t="s">
        <v>42</v>
      </c>
      <c r="G220" t="s">
        <v>22</v>
      </c>
      <c r="H220" t="s">
        <v>30</v>
      </c>
      <c r="I220">
        <v>7</v>
      </c>
      <c r="J220" s="3">
        <v>16.68</v>
      </c>
      <c r="K220" s="4">
        <v>0.15</v>
      </c>
      <c r="L220" s="3">
        <v>99.25</v>
      </c>
      <c r="M220" s="3">
        <v>72.319999999999993</v>
      </c>
      <c r="N220" s="3">
        <v>26.93</v>
      </c>
    </row>
    <row r="221" spans="1:14" x14ac:dyDescent="0.35">
      <c r="A221" t="s">
        <v>275</v>
      </c>
      <c r="B221" s="2">
        <v>45733</v>
      </c>
      <c r="C221" t="s">
        <v>25</v>
      </c>
      <c r="D221" t="s">
        <v>26</v>
      </c>
      <c r="E221" t="s">
        <v>27</v>
      </c>
      <c r="F221" t="s">
        <v>48</v>
      </c>
      <c r="G221" t="s">
        <v>19</v>
      </c>
      <c r="H221" t="s">
        <v>30</v>
      </c>
      <c r="I221">
        <v>9</v>
      </c>
      <c r="J221" s="3">
        <v>309.77</v>
      </c>
      <c r="K221" s="4">
        <v>0.15</v>
      </c>
      <c r="L221" s="3">
        <v>2369.7399999999998</v>
      </c>
      <c r="M221" s="3">
        <v>1590.42</v>
      </c>
      <c r="N221" s="3">
        <v>779.32</v>
      </c>
    </row>
    <row r="222" spans="1:14" x14ac:dyDescent="0.35">
      <c r="A222" t="s">
        <v>276</v>
      </c>
      <c r="B222" s="2">
        <v>45734</v>
      </c>
      <c r="C222" t="s">
        <v>15</v>
      </c>
      <c r="D222" t="s">
        <v>16</v>
      </c>
      <c r="E222" t="s">
        <v>53</v>
      </c>
      <c r="F222" t="s">
        <v>54</v>
      </c>
      <c r="G222" t="s">
        <v>22</v>
      </c>
      <c r="H222" t="s">
        <v>30</v>
      </c>
      <c r="I222">
        <v>10</v>
      </c>
      <c r="J222" s="3">
        <v>8.27</v>
      </c>
      <c r="K222" s="4">
        <v>0.05</v>
      </c>
      <c r="L222" s="3">
        <v>78.56</v>
      </c>
      <c r="M222" s="3">
        <v>46.33</v>
      </c>
      <c r="N222" s="3">
        <v>32.229999999999997</v>
      </c>
    </row>
    <row r="223" spans="1:14" x14ac:dyDescent="0.35">
      <c r="A223" t="s">
        <v>277</v>
      </c>
      <c r="B223" s="2">
        <v>45734</v>
      </c>
      <c r="C223" t="s">
        <v>25</v>
      </c>
      <c r="D223" t="s">
        <v>74</v>
      </c>
      <c r="E223" t="s">
        <v>53</v>
      </c>
      <c r="F223" t="s">
        <v>66</v>
      </c>
      <c r="G223" t="s">
        <v>22</v>
      </c>
      <c r="H223" t="s">
        <v>20</v>
      </c>
      <c r="I223">
        <v>2</v>
      </c>
      <c r="J223" s="3">
        <v>17.96</v>
      </c>
      <c r="K223" s="4">
        <v>0.15</v>
      </c>
      <c r="L223" s="3">
        <v>30.53</v>
      </c>
      <c r="M223" s="3">
        <v>23.27</v>
      </c>
      <c r="N223" s="3">
        <v>7.26</v>
      </c>
    </row>
    <row r="224" spans="1:14" x14ac:dyDescent="0.35">
      <c r="A224" t="s">
        <v>278</v>
      </c>
      <c r="B224" s="2">
        <v>45734</v>
      </c>
      <c r="C224" t="s">
        <v>25</v>
      </c>
      <c r="D224" t="s">
        <v>97</v>
      </c>
      <c r="E224" t="s">
        <v>53</v>
      </c>
      <c r="F224" t="s">
        <v>66</v>
      </c>
      <c r="G224" t="s">
        <v>29</v>
      </c>
      <c r="H224" t="s">
        <v>30</v>
      </c>
      <c r="I224">
        <v>3</v>
      </c>
      <c r="J224" s="3">
        <v>20.72</v>
      </c>
      <c r="K224" s="4">
        <v>0.1</v>
      </c>
      <c r="L224" s="3">
        <v>55.94</v>
      </c>
      <c r="M224" s="3">
        <v>45.03</v>
      </c>
      <c r="N224" s="3">
        <v>10.91</v>
      </c>
    </row>
    <row r="225" spans="1:14" x14ac:dyDescent="0.35">
      <c r="A225" t="s">
        <v>279</v>
      </c>
      <c r="B225" s="2">
        <v>45736</v>
      </c>
      <c r="C225" t="s">
        <v>25</v>
      </c>
      <c r="D225" t="s">
        <v>74</v>
      </c>
      <c r="E225" t="s">
        <v>53</v>
      </c>
      <c r="F225" t="s">
        <v>115</v>
      </c>
      <c r="G225" t="s">
        <v>22</v>
      </c>
      <c r="H225" t="s">
        <v>30</v>
      </c>
      <c r="I225">
        <v>7</v>
      </c>
      <c r="J225" s="3">
        <v>11.91</v>
      </c>
      <c r="K225" s="4">
        <v>0.15</v>
      </c>
      <c r="L225" s="3">
        <v>70.86</v>
      </c>
      <c r="M225" s="3">
        <v>51.67</v>
      </c>
      <c r="N225" s="3">
        <v>19.190000000000001</v>
      </c>
    </row>
    <row r="226" spans="1:14" x14ac:dyDescent="0.35">
      <c r="A226" t="s">
        <v>280</v>
      </c>
      <c r="B226" s="2">
        <v>45736</v>
      </c>
      <c r="C226" t="s">
        <v>15</v>
      </c>
      <c r="D226" t="s">
        <v>59</v>
      </c>
      <c r="E226" t="s">
        <v>53</v>
      </c>
      <c r="F226" t="s">
        <v>66</v>
      </c>
      <c r="G226" t="s">
        <v>22</v>
      </c>
      <c r="H226" t="s">
        <v>30</v>
      </c>
      <c r="I226">
        <v>7</v>
      </c>
      <c r="J226" s="3">
        <v>21.26</v>
      </c>
      <c r="K226" s="4">
        <v>0.1</v>
      </c>
      <c r="L226" s="3">
        <v>133.94</v>
      </c>
      <c r="M226" s="3">
        <v>84.08</v>
      </c>
      <c r="N226" s="3">
        <v>49.86</v>
      </c>
    </row>
    <row r="227" spans="1:14" x14ac:dyDescent="0.35">
      <c r="A227" t="s">
        <v>281</v>
      </c>
      <c r="B227" s="2">
        <v>45736</v>
      </c>
      <c r="C227" t="s">
        <v>32</v>
      </c>
      <c r="D227" t="s">
        <v>36</v>
      </c>
      <c r="E227" t="s">
        <v>27</v>
      </c>
      <c r="F227" t="s">
        <v>79</v>
      </c>
      <c r="G227" t="s">
        <v>19</v>
      </c>
      <c r="H227" t="s">
        <v>23</v>
      </c>
      <c r="I227">
        <v>11</v>
      </c>
      <c r="J227" s="3">
        <v>125.62</v>
      </c>
      <c r="K227" s="4">
        <v>0.1</v>
      </c>
      <c r="L227" s="3">
        <v>1243.6400000000001</v>
      </c>
      <c r="M227" s="3">
        <v>714.75</v>
      </c>
      <c r="N227" s="3">
        <v>528.89</v>
      </c>
    </row>
    <row r="228" spans="1:14" x14ac:dyDescent="0.35">
      <c r="A228" t="s">
        <v>282</v>
      </c>
      <c r="B228" s="2">
        <v>45736</v>
      </c>
      <c r="C228" t="s">
        <v>40</v>
      </c>
      <c r="D228" t="s">
        <v>41</v>
      </c>
      <c r="E228" t="s">
        <v>17</v>
      </c>
      <c r="F228" t="s">
        <v>18</v>
      </c>
      <c r="G228" t="s">
        <v>22</v>
      </c>
      <c r="H228" t="s">
        <v>20</v>
      </c>
      <c r="I228">
        <v>7</v>
      </c>
      <c r="J228" s="3">
        <v>78.89</v>
      </c>
      <c r="K228" s="4">
        <v>0.1</v>
      </c>
      <c r="L228" s="3">
        <v>497.01</v>
      </c>
      <c r="M228" s="3">
        <v>390.54</v>
      </c>
      <c r="N228" s="3">
        <v>106.47</v>
      </c>
    </row>
    <row r="229" spans="1:14" x14ac:dyDescent="0.35">
      <c r="A229" t="s">
        <v>283</v>
      </c>
      <c r="B229" s="2">
        <v>45737</v>
      </c>
      <c r="C229" t="s">
        <v>25</v>
      </c>
      <c r="D229" t="s">
        <v>97</v>
      </c>
      <c r="E229" t="s">
        <v>37</v>
      </c>
      <c r="F229" t="s">
        <v>38</v>
      </c>
      <c r="G229" t="s">
        <v>29</v>
      </c>
      <c r="H229" t="s">
        <v>30</v>
      </c>
      <c r="I229">
        <v>2</v>
      </c>
      <c r="J229" s="3">
        <v>56.52</v>
      </c>
      <c r="K229" s="4">
        <v>0.15</v>
      </c>
      <c r="L229" s="3">
        <v>96.08</v>
      </c>
      <c r="M229" s="3">
        <v>82.58</v>
      </c>
      <c r="N229" s="3">
        <v>13.5</v>
      </c>
    </row>
    <row r="230" spans="1:14" x14ac:dyDescent="0.35">
      <c r="A230" t="s">
        <v>284</v>
      </c>
      <c r="B230" s="2">
        <v>45737</v>
      </c>
      <c r="C230" t="s">
        <v>32</v>
      </c>
      <c r="D230" t="s">
        <v>36</v>
      </c>
      <c r="E230" t="s">
        <v>37</v>
      </c>
      <c r="F230" t="s">
        <v>51</v>
      </c>
      <c r="G230" t="s">
        <v>22</v>
      </c>
      <c r="H230" t="s">
        <v>30</v>
      </c>
      <c r="I230">
        <v>8</v>
      </c>
      <c r="J230" s="3">
        <v>32.42</v>
      </c>
      <c r="K230" s="4">
        <v>0.1</v>
      </c>
      <c r="L230" s="3">
        <v>233.42</v>
      </c>
      <c r="M230" s="3">
        <v>133.88999999999999</v>
      </c>
      <c r="N230" s="3">
        <v>99.53</v>
      </c>
    </row>
    <row r="231" spans="1:14" x14ac:dyDescent="0.35">
      <c r="A231" t="s">
        <v>285</v>
      </c>
      <c r="B231" s="2">
        <v>45738</v>
      </c>
      <c r="C231" t="s">
        <v>32</v>
      </c>
      <c r="D231" t="s">
        <v>33</v>
      </c>
      <c r="E231" t="s">
        <v>17</v>
      </c>
      <c r="F231" t="s">
        <v>34</v>
      </c>
      <c r="G231" t="s">
        <v>22</v>
      </c>
      <c r="H231" t="s">
        <v>20</v>
      </c>
      <c r="I231">
        <v>11</v>
      </c>
      <c r="J231" s="3">
        <v>19.22</v>
      </c>
      <c r="K231" s="4">
        <v>0.15</v>
      </c>
      <c r="L231" s="3">
        <v>179.71</v>
      </c>
      <c r="M231" s="3">
        <v>145.47</v>
      </c>
      <c r="N231" s="3">
        <v>34.24</v>
      </c>
    </row>
    <row r="232" spans="1:14" x14ac:dyDescent="0.35">
      <c r="A232" t="s">
        <v>286</v>
      </c>
      <c r="B232" s="2">
        <v>45738</v>
      </c>
      <c r="C232" t="s">
        <v>15</v>
      </c>
      <c r="D232" t="s">
        <v>16</v>
      </c>
      <c r="E232" t="s">
        <v>27</v>
      </c>
      <c r="F232" t="s">
        <v>28</v>
      </c>
      <c r="G232" t="s">
        <v>29</v>
      </c>
      <c r="H232" t="s">
        <v>30</v>
      </c>
      <c r="I232">
        <v>11</v>
      </c>
      <c r="J232" s="3">
        <v>134.94</v>
      </c>
      <c r="K232" s="4">
        <v>0.05</v>
      </c>
      <c r="L232" s="3">
        <v>1410.12</v>
      </c>
      <c r="M232" s="3">
        <v>1033.21</v>
      </c>
      <c r="N232" s="3">
        <v>376.91</v>
      </c>
    </row>
    <row r="233" spans="1:14" x14ac:dyDescent="0.35">
      <c r="A233" t="s">
        <v>287</v>
      </c>
      <c r="B233" s="2">
        <v>45738</v>
      </c>
      <c r="C233" t="s">
        <v>15</v>
      </c>
      <c r="D233" t="s">
        <v>16</v>
      </c>
      <c r="E233" t="s">
        <v>37</v>
      </c>
      <c r="F233" t="s">
        <v>75</v>
      </c>
      <c r="G233" t="s">
        <v>29</v>
      </c>
      <c r="H233" t="s">
        <v>30</v>
      </c>
      <c r="I233">
        <v>6</v>
      </c>
      <c r="J233" s="3">
        <v>28.7</v>
      </c>
      <c r="K233" s="4">
        <v>0.05</v>
      </c>
      <c r="L233" s="3">
        <v>163.59</v>
      </c>
      <c r="M233" s="3">
        <v>115.66</v>
      </c>
      <c r="N233" s="3">
        <v>47.93</v>
      </c>
    </row>
    <row r="234" spans="1:14" x14ac:dyDescent="0.35">
      <c r="A234" t="s">
        <v>288</v>
      </c>
      <c r="B234" s="2">
        <v>45738</v>
      </c>
      <c r="C234" t="s">
        <v>40</v>
      </c>
      <c r="D234" t="s">
        <v>71</v>
      </c>
      <c r="E234" t="s">
        <v>27</v>
      </c>
      <c r="F234" t="s">
        <v>28</v>
      </c>
      <c r="G234" t="s">
        <v>29</v>
      </c>
      <c r="H234" t="s">
        <v>23</v>
      </c>
      <c r="I234">
        <v>9</v>
      </c>
      <c r="J234" s="3">
        <v>150.30000000000001</v>
      </c>
      <c r="K234" s="4">
        <v>0</v>
      </c>
      <c r="L234" s="3">
        <v>1352.7</v>
      </c>
      <c r="M234" s="3">
        <v>724.02</v>
      </c>
      <c r="N234" s="3">
        <v>628.67999999999995</v>
      </c>
    </row>
    <row r="235" spans="1:14" x14ac:dyDescent="0.35">
      <c r="A235" t="s">
        <v>289</v>
      </c>
      <c r="B235" s="2">
        <v>45739</v>
      </c>
      <c r="C235" t="s">
        <v>15</v>
      </c>
      <c r="D235" t="s">
        <v>16</v>
      </c>
      <c r="E235" t="s">
        <v>53</v>
      </c>
      <c r="F235" t="s">
        <v>54</v>
      </c>
      <c r="G235" t="s">
        <v>22</v>
      </c>
      <c r="H235" t="s">
        <v>23</v>
      </c>
      <c r="I235">
        <v>12</v>
      </c>
      <c r="J235" s="3">
        <v>8.85</v>
      </c>
      <c r="K235" s="4">
        <v>0.05</v>
      </c>
      <c r="L235" s="3">
        <v>100.89</v>
      </c>
      <c r="M235" s="3">
        <v>52.26</v>
      </c>
      <c r="N235" s="3">
        <v>48.63</v>
      </c>
    </row>
    <row r="236" spans="1:14" x14ac:dyDescent="0.35">
      <c r="A236" t="s">
        <v>290</v>
      </c>
      <c r="B236" s="2">
        <v>45740</v>
      </c>
      <c r="C236" t="s">
        <v>32</v>
      </c>
      <c r="D236" t="s">
        <v>36</v>
      </c>
      <c r="E236" t="s">
        <v>37</v>
      </c>
      <c r="F236" t="s">
        <v>75</v>
      </c>
      <c r="G236" t="s">
        <v>29</v>
      </c>
      <c r="H236" t="s">
        <v>20</v>
      </c>
      <c r="I236">
        <v>7</v>
      </c>
      <c r="J236" s="3">
        <v>26.11</v>
      </c>
      <c r="K236" s="4">
        <v>0.1</v>
      </c>
      <c r="L236" s="3">
        <v>164.49</v>
      </c>
      <c r="M236" s="3">
        <v>118.11</v>
      </c>
      <c r="N236" s="3">
        <v>46.38</v>
      </c>
    </row>
    <row r="237" spans="1:14" x14ac:dyDescent="0.35">
      <c r="A237" t="s">
        <v>291</v>
      </c>
      <c r="B237" s="2">
        <v>45740</v>
      </c>
      <c r="C237" t="s">
        <v>15</v>
      </c>
      <c r="D237" t="s">
        <v>46</v>
      </c>
      <c r="E237" t="s">
        <v>53</v>
      </c>
      <c r="F237" t="s">
        <v>115</v>
      </c>
      <c r="G237" t="s">
        <v>22</v>
      </c>
      <c r="H237" t="s">
        <v>23</v>
      </c>
      <c r="I237">
        <v>10</v>
      </c>
      <c r="J237" s="3">
        <v>10.62</v>
      </c>
      <c r="K237" s="4">
        <v>0.05</v>
      </c>
      <c r="L237" s="3">
        <v>100.89</v>
      </c>
      <c r="M237" s="3">
        <v>54.93</v>
      </c>
      <c r="N237" s="3">
        <v>45.96</v>
      </c>
    </row>
    <row r="238" spans="1:14" x14ac:dyDescent="0.35">
      <c r="A238" t="s">
        <v>292</v>
      </c>
      <c r="B238" s="2">
        <v>45740</v>
      </c>
      <c r="C238" t="s">
        <v>40</v>
      </c>
      <c r="D238" t="s">
        <v>41</v>
      </c>
      <c r="E238" t="s">
        <v>53</v>
      </c>
      <c r="F238" t="s">
        <v>115</v>
      </c>
      <c r="G238" t="s">
        <v>19</v>
      </c>
      <c r="H238" t="s">
        <v>23</v>
      </c>
      <c r="I238">
        <v>2</v>
      </c>
      <c r="J238" s="3">
        <v>13.64</v>
      </c>
      <c r="K238" s="4">
        <v>0</v>
      </c>
      <c r="L238" s="3">
        <v>27.28</v>
      </c>
      <c r="M238" s="3">
        <v>17.420000000000002</v>
      </c>
      <c r="N238" s="3">
        <v>9.86</v>
      </c>
    </row>
    <row r="239" spans="1:14" x14ac:dyDescent="0.35">
      <c r="A239" t="s">
        <v>293</v>
      </c>
      <c r="B239" s="2">
        <v>45740</v>
      </c>
      <c r="C239" t="s">
        <v>32</v>
      </c>
      <c r="D239" t="s">
        <v>36</v>
      </c>
      <c r="E239" t="s">
        <v>37</v>
      </c>
      <c r="F239" t="s">
        <v>38</v>
      </c>
      <c r="G239" t="s">
        <v>29</v>
      </c>
      <c r="H239" t="s">
        <v>23</v>
      </c>
      <c r="I239">
        <v>1</v>
      </c>
      <c r="J239" s="3">
        <v>48.38</v>
      </c>
      <c r="K239" s="4">
        <v>0</v>
      </c>
      <c r="L239" s="3">
        <v>48.38</v>
      </c>
      <c r="M239" s="3">
        <v>30.57</v>
      </c>
      <c r="N239" s="3">
        <v>17.809999999999999</v>
      </c>
    </row>
    <row r="240" spans="1:14" x14ac:dyDescent="0.35">
      <c r="A240" t="s">
        <v>294</v>
      </c>
      <c r="B240" s="2">
        <v>45740</v>
      </c>
      <c r="C240" t="s">
        <v>15</v>
      </c>
      <c r="D240" t="s">
        <v>46</v>
      </c>
      <c r="E240" t="s">
        <v>37</v>
      </c>
      <c r="F240" t="s">
        <v>51</v>
      </c>
      <c r="G240" t="s">
        <v>22</v>
      </c>
      <c r="H240" t="s">
        <v>20</v>
      </c>
      <c r="I240">
        <v>8</v>
      </c>
      <c r="J240" s="3">
        <v>30.51</v>
      </c>
      <c r="K240" s="4">
        <v>0.05</v>
      </c>
      <c r="L240" s="3">
        <v>231.88</v>
      </c>
      <c r="M240" s="3">
        <v>156.82</v>
      </c>
      <c r="N240" s="3">
        <v>75.06</v>
      </c>
    </row>
    <row r="241" spans="1:14" x14ac:dyDescent="0.35">
      <c r="A241" t="s">
        <v>295</v>
      </c>
      <c r="B241" s="2">
        <v>45741</v>
      </c>
      <c r="C241" t="s">
        <v>15</v>
      </c>
      <c r="D241" t="s">
        <v>16</v>
      </c>
      <c r="E241" t="s">
        <v>53</v>
      </c>
      <c r="F241" t="s">
        <v>83</v>
      </c>
      <c r="G241" t="s">
        <v>29</v>
      </c>
      <c r="H241" t="s">
        <v>20</v>
      </c>
      <c r="I241">
        <v>5</v>
      </c>
      <c r="J241" s="3">
        <v>16.8</v>
      </c>
      <c r="K241" s="4">
        <v>0.05</v>
      </c>
      <c r="L241" s="3">
        <v>79.8</v>
      </c>
      <c r="M241" s="3">
        <v>53.16</v>
      </c>
      <c r="N241" s="3">
        <v>26.64</v>
      </c>
    </row>
    <row r="242" spans="1:14" x14ac:dyDescent="0.35">
      <c r="A242" t="s">
        <v>296</v>
      </c>
      <c r="B242" s="2">
        <v>45741</v>
      </c>
      <c r="C242" t="s">
        <v>15</v>
      </c>
      <c r="D242" t="s">
        <v>16</v>
      </c>
      <c r="E242" t="s">
        <v>17</v>
      </c>
      <c r="F242" t="s">
        <v>34</v>
      </c>
      <c r="G242" t="s">
        <v>19</v>
      </c>
      <c r="H242" t="s">
        <v>20</v>
      </c>
      <c r="I242">
        <v>5</v>
      </c>
      <c r="J242" s="3">
        <v>21.53</v>
      </c>
      <c r="K242" s="4">
        <v>0</v>
      </c>
      <c r="L242" s="3">
        <v>107.65</v>
      </c>
      <c r="M242" s="3">
        <v>55.57</v>
      </c>
      <c r="N242" s="3">
        <v>52.08</v>
      </c>
    </row>
    <row r="243" spans="1:14" x14ac:dyDescent="0.35">
      <c r="A243" t="s">
        <v>297</v>
      </c>
      <c r="B243" s="2">
        <v>45742</v>
      </c>
      <c r="C243" t="s">
        <v>15</v>
      </c>
      <c r="D243" t="s">
        <v>59</v>
      </c>
      <c r="E243" t="s">
        <v>27</v>
      </c>
      <c r="F243" t="s">
        <v>48</v>
      </c>
      <c r="G243" t="s">
        <v>22</v>
      </c>
      <c r="H243" t="s">
        <v>30</v>
      </c>
      <c r="I243">
        <v>2</v>
      </c>
      <c r="J243" s="3">
        <v>282.91000000000003</v>
      </c>
      <c r="K243" s="4">
        <v>0.15</v>
      </c>
      <c r="L243" s="3">
        <v>480.95</v>
      </c>
      <c r="M243" s="3">
        <v>354.57</v>
      </c>
      <c r="N243" s="3">
        <v>126.38</v>
      </c>
    </row>
    <row r="244" spans="1:14" x14ac:dyDescent="0.35">
      <c r="A244" t="s">
        <v>298</v>
      </c>
      <c r="B244" s="2">
        <v>45742</v>
      </c>
      <c r="C244" t="s">
        <v>25</v>
      </c>
      <c r="D244" t="s">
        <v>74</v>
      </c>
      <c r="E244" t="s">
        <v>17</v>
      </c>
      <c r="F244" t="s">
        <v>87</v>
      </c>
      <c r="G244" t="s">
        <v>22</v>
      </c>
      <c r="H244" t="s">
        <v>20</v>
      </c>
      <c r="I244">
        <v>10</v>
      </c>
      <c r="J244" s="3">
        <v>14.52</v>
      </c>
      <c r="K244" s="4">
        <v>0.1</v>
      </c>
      <c r="L244" s="3">
        <v>130.68</v>
      </c>
      <c r="M244" s="3">
        <v>95.48</v>
      </c>
      <c r="N244" s="3">
        <v>35.200000000000003</v>
      </c>
    </row>
    <row r="245" spans="1:14" x14ac:dyDescent="0.35">
      <c r="A245" t="s">
        <v>299</v>
      </c>
      <c r="B245" s="2">
        <v>45742</v>
      </c>
      <c r="C245" t="s">
        <v>15</v>
      </c>
      <c r="D245" t="s">
        <v>46</v>
      </c>
      <c r="E245" t="s">
        <v>53</v>
      </c>
      <c r="F245" t="s">
        <v>54</v>
      </c>
      <c r="G245" t="s">
        <v>22</v>
      </c>
      <c r="H245" t="s">
        <v>30</v>
      </c>
      <c r="I245">
        <v>9</v>
      </c>
      <c r="J245" s="3">
        <v>7.25</v>
      </c>
      <c r="K245" s="4">
        <v>0.15</v>
      </c>
      <c r="L245" s="3">
        <v>55.46</v>
      </c>
      <c r="M245" s="3">
        <v>39.67</v>
      </c>
      <c r="N245" s="3">
        <v>15.79</v>
      </c>
    </row>
    <row r="246" spans="1:14" x14ac:dyDescent="0.35">
      <c r="A246" t="s">
        <v>300</v>
      </c>
      <c r="B246" s="2">
        <v>45743</v>
      </c>
      <c r="C246" t="s">
        <v>15</v>
      </c>
      <c r="D246" t="s">
        <v>59</v>
      </c>
      <c r="E246" t="s">
        <v>53</v>
      </c>
      <c r="F246" t="s">
        <v>54</v>
      </c>
      <c r="G246" t="s">
        <v>22</v>
      </c>
      <c r="H246" t="s">
        <v>20</v>
      </c>
      <c r="I246">
        <v>3</v>
      </c>
      <c r="J246" s="3">
        <v>6.92</v>
      </c>
      <c r="K246" s="4">
        <v>0</v>
      </c>
      <c r="L246" s="3">
        <v>20.76</v>
      </c>
      <c r="M246" s="3">
        <v>16.12</v>
      </c>
      <c r="N246" s="3">
        <v>4.6399999999999997</v>
      </c>
    </row>
    <row r="247" spans="1:14" x14ac:dyDescent="0.35">
      <c r="A247" t="s">
        <v>301</v>
      </c>
      <c r="B247" s="2">
        <v>45743</v>
      </c>
      <c r="C247" t="s">
        <v>25</v>
      </c>
      <c r="D247" t="s">
        <v>97</v>
      </c>
      <c r="E247" t="s">
        <v>27</v>
      </c>
      <c r="F247" t="s">
        <v>68</v>
      </c>
      <c r="G247" t="s">
        <v>22</v>
      </c>
      <c r="H247" t="s">
        <v>20</v>
      </c>
      <c r="I247">
        <v>5</v>
      </c>
      <c r="J247" s="3">
        <v>42.59</v>
      </c>
      <c r="K247" s="4">
        <v>0.15</v>
      </c>
      <c r="L247" s="3">
        <v>181.01</v>
      </c>
      <c r="M247" s="3">
        <v>145.28</v>
      </c>
      <c r="N247" s="3">
        <v>35.729999999999997</v>
      </c>
    </row>
    <row r="248" spans="1:14" x14ac:dyDescent="0.35">
      <c r="A248" t="s">
        <v>302</v>
      </c>
      <c r="B248" s="2">
        <v>45744</v>
      </c>
      <c r="C248" t="s">
        <v>25</v>
      </c>
      <c r="D248" t="s">
        <v>74</v>
      </c>
      <c r="E248" t="s">
        <v>37</v>
      </c>
      <c r="F248" t="s">
        <v>42</v>
      </c>
      <c r="G248" t="s">
        <v>29</v>
      </c>
      <c r="H248" t="s">
        <v>20</v>
      </c>
      <c r="I248">
        <v>6</v>
      </c>
      <c r="J248" s="3">
        <v>21.44</v>
      </c>
      <c r="K248" s="4">
        <v>0</v>
      </c>
      <c r="L248" s="3">
        <v>128.63999999999999</v>
      </c>
      <c r="M248" s="3">
        <v>98.22</v>
      </c>
      <c r="N248" s="3">
        <v>30.42</v>
      </c>
    </row>
    <row r="249" spans="1:14" x14ac:dyDescent="0.35">
      <c r="A249" t="s">
        <v>303</v>
      </c>
      <c r="B249" s="2">
        <v>45745</v>
      </c>
      <c r="C249" t="s">
        <v>25</v>
      </c>
      <c r="D249" t="s">
        <v>74</v>
      </c>
      <c r="E249" t="s">
        <v>27</v>
      </c>
      <c r="F249" t="s">
        <v>28</v>
      </c>
      <c r="G249" t="s">
        <v>19</v>
      </c>
      <c r="H249" t="s">
        <v>30</v>
      </c>
      <c r="I249">
        <v>6</v>
      </c>
      <c r="J249" s="3">
        <v>169.64</v>
      </c>
      <c r="K249" s="4">
        <v>0</v>
      </c>
      <c r="L249" s="3">
        <v>1017.84</v>
      </c>
      <c r="M249" s="3">
        <v>742.53</v>
      </c>
      <c r="N249" s="3">
        <v>275.31</v>
      </c>
    </row>
    <row r="250" spans="1:14" x14ac:dyDescent="0.35">
      <c r="A250" t="s">
        <v>304</v>
      </c>
      <c r="B250" s="2">
        <v>45745</v>
      </c>
      <c r="C250" t="s">
        <v>15</v>
      </c>
      <c r="D250" t="s">
        <v>59</v>
      </c>
      <c r="E250" t="s">
        <v>27</v>
      </c>
      <c r="F250" t="s">
        <v>48</v>
      </c>
      <c r="G250" t="s">
        <v>19</v>
      </c>
      <c r="H250" t="s">
        <v>20</v>
      </c>
      <c r="I250">
        <v>3</v>
      </c>
      <c r="J250" s="3">
        <v>252.41</v>
      </c>
      <c r="K250" s="4">
        <v>0.15</v>
      </c>
      <c r="L250" s="3">
        <v>643.65</v>
      </c>
      <c r="M250" s="3">
        <v>488.79</v>
      </c>
      <c r="N250" s="3">
        <v>154.86000000000001</v>
      </c>
    </row>
    <row r="251" spans="1:14" x14ac:dyDescent="0.35">
      <c r="A251" t="s">
        <v>305</v>
      </c>
      <c r="B251" s="2">
        <v>45746</v>
      </c>
      <c r="C251" t="s">
        <v>32</v>
      </c>
      <c r="D251" t="s">
        <v>36</v>
      </c>
      <c r="E251" t="s">
        <v>27</v>
      </c>
      <c r="F251" t="s">
        <v>28</v>
      </c>
      <c r="G251" t="s">
        <v>29</v>
      </c>
      <c r="H251" t="s">
        <v>23</v>
      </c>
      <c r="I251">
        <v>2</v>
      </c>
      <c r="J251" s="3">
        <v>137.15</v>
      </c>
      <c r="K251" s="4">
        <v>0.1</v>
      </c>
      <c r="L251" s="3">
        <v>246.87</v>
      </c>
      <c r="M251" s="3">
        <v>145.49</v>
      </c>
      <c r="N251" s="3">
        <v>101.38</v>
      </c>
    </row>
    <row r="252" spans="1:14" x14ac:dyDescent="0.35">
      <c r="A252" t="s">
        <v>306</v>
      </c>
      <c r="B252" s="2">
        <v>45746</v>
      </c>
      <c r="C252" t="s">
        <v>40</v>
      </c>
      <c r="D252" t="s">
        <v>71</v>
      </c>
      <c r="E252" t="s">
        <v>27</v>
      </c>
      <c r="F252" t="s">
        <v>28</v>
      </c>
      <c r="G252" t="s">
        <v>29</v>
      </c>
      <c r="H252" t="s">
        <v>23</v>
      </c>
      <c r="I252">
        <v>12</v>
      </c>
      <c r="J252" s="3">
        <v>164.59</v>
      </c>
      <c r="K252" s="4">
        <v>0</v>
      </c>
      <c r="L252" s="3">
        <v>1975.08</v>
      </c>
      <c r="M252" s="3">
        <v>1024.3</v>
      </c>
      <c r="N252" s="3">
        <v>950.78</v>
      </c>
    </row>
    <row r="253" spans="1:14" x14ac:dyDescent="0.35">
      <c r="A253" t="s">
        <v>307</v>
      </c>
      <c r="B253" s="2">
        <v>45746</v>
      </c>
      <c r="C253" t="s">
        <v>15</v>
      </c>
      <c r="D253" t="s">
        <v>59</v>
      </c>
      <c r="E253" t="s">
        <v>53</v>
      </c>
      <c r="F253" t="s">
        <v>54</v>
      </c>
      <c r="G253" t="s">
        <v>19</v>
      </c>
      <c r="H253" t="s">
        <v>23</v>
      </c>
      <c r="I253">
        <v>10</v>
      </c>
      <c r="J253" s="3">
        <v>8.18</v>
      </c>
      <c r="K253" s="4">
        <v>0.1</v>
      </c>
      <c r="L253" s="3">
        <v>73.62</v>
      </c>
      <c r="M253" s="3">
        <v>62.41</v>
      </c>
      <c r="N253" s="3">
        <v>11.21</v>
      </c>
    </row>
    <row r="254" spans="1:14" x14ac:dyDescent="0.35">
      <c r="A254" t="s">
        <v>308</v>
      </c>
      <c r="B254" s="2">
        <v>45746</v>
      </c>
      <c r="C254" t="s">
        <v>40</v>
      </c>
      <c r="D254" t="s">
        <v>71</v>
      </c>
      <c r="E254" t="s">
        <v>37</v>
      </c>
      <c r="F254" t="s">
        <v>75</v>
      </c>
      <c r="G254" t="s">
        <v>22</v>
      </c>
      <c r="H254" t="s">
        <v>20</v>
      </c>
      <c r="I254">
        <v>11</v>
      </c>
      <c r="J254" s="3">
        <v>23.06</v>
      </c>
      <c r="K254" s="4">
        <v>0.1</v>
      </c>
      <c r="L254" s="3">
        <v>228.29</v>
      </c>
      <c r="M254" s="3">
        <v>137.94999999999999</v>
      </c>
      <c r="N254" s="3">
        <v>90.34</v>
      </c>
    </row>
    <row r="255" spans="1:14" x14ac:dyDescent="0.35">
      <c r="A255" t="s">
        <v>309</v>
      </c>
      <c r="B255" s="2">
        <v>45746</v>
      </c>
      <c r="C255" t="s">
        <v>40</v>
      </c>
      <c r="D255" t="s">
        <v>50</v>
      </c>
      <c r="E255" t="s">
        <v>17</v>
      </c>
      <c r="F255" t="s">
        <v>87</v>
      </c>
      <c r="G255" t="s">
        <v>19</v>
      </c>
      <c r="H255" t="s">
        <v>20</v>
      </c>
      <c r="I255">
        <v>4</v>
      </c>
      <c r="J255" s="3">
        <v>14.62</v>
      </c>
      <c r="K255" s="4">
        <v>0.05</v>
      </c>
      <c r="L255" s="3">
        <v>55.56</v>
      </c>
      <c r="M255" s="3">
        <v>42.81</v>
      </c>
      <c r="N255" s="3">
        <v>12.75</v>
      </c>
    </row>
    <row r="256" spans="1:14" x14ac:dyDescent="0.35">
      <c r="A256" t="s">
        <v>310</v>
      </c>
      <c r="B256" s="2">
        <v>45746</v>
      </c>
      <c r="C256" t="s">
        <v>32</v>
      </c>
      <c r="D256" t="s">
        <v>36</v>
      </c>
      <c r="E256" t="s">
        <v>37</v>
      </c>
      <c r="F256" t="s">
        <v>51</v>
      </c>
      <c r="G256" t="s">
        <v>19</v>
      </c>
      <c r="H256" t="s">
        <v>30</v>
      </c>
      <c r="I256">
        <v>5</v>
      </c>
      <c r="J256" s="3">
        <v>34.01</v>
      </c>
      <c r="K256" s="4">
        <v>0.05</v>
      </c>
      <c r="L256" s="3">
        <v>161.55000000000001</v>
      </c>
      <c r="M256" s="3">
        <v>117.98</v>
      </c>
      <c r="N256" s="3">
        <v>43.57</v>
      </c>
    </row>
    <row r="257" spans="1:14" x14ac:dyDescent="0.35">
      <c r="A257" t="s">
        <v>311</v>
      </c>
      <c r="B257" s="2">
        <v>45747</v>
      </c>
      <c r="C257" t="s">
        <v>15</v>
      </c>
      <c r="D257" t="s">
        <v>46</v>
      </c>
      <c r="E257" t="s">
        <v>27</v>
      </c>
      <c r="F257" t="s">
        <v>48</v>
      </c>
      <c r="G257" t="s">
        <v>29</v>
      </c>
      <c r="H257" t="s">
        <v>20</v>
      </c>
      <c r="I257">
        <v>9</v>
      </c>
      <c r="J257" s="3">
        <v>296.87</v>
      </c>
      <c r="K257" s="4">
        <v>0.05</v>
      </c>
      <c r="L257" s="3">
        <v>2538.2399999999998</v>
      </c>
      <c r="M257" s="3">
        <v>1512.45</v>
      </c>
      <c r="N257" s="3">
        <v>1025.79</v>
      </c>
    </row>
    <row r="258" spans="1:14" x14ac:dyDescent="0.35">
      <c r="A258" t="s">
        <v>312</v>
      </c>
      <c r="B258" s="2">
        <v>45747</v>
      </c>
      <c r="C258" t="s">
        <v>25</v>
      </c>
      <c r="D258" t="s">
        <v>97</v>
      </c>
      <c r="E258" t="s">
        <v>17</v>
      </c>
      <c r="F258" t="s">
        <v>44</v>
      </c>
      <c r="G258" t="s">
        <v>29</v>
      </c>
      <c r="H258" t="s">
        <v>30</v>
      </c>
      <c r="I258">
        <v>9</v>
      </c>
      <c r="J258" s="3">
        <v>14.01</v>
      </c>
      <c r="K258" s="4">
        <v>0.05</v>
      </c>
      <c r="L258" s="3">
        <v>119.79</v>
      </c>
      <c r="M258" s="3">
        <v>73.38</v>
      </c>
      <c r="N258" s="3">
        <v>46.41</v>
      </c>
    </row>
    <row r="259" spans="1:14" x14ac:dyDescent="0.35">
      <c r="A259" t="s">
        <v>313</v>
      </c>
      <c r="B259" s="2">
        <v>45747</v>
      </c>
      <c r="C259" t="s">
        <v>25</v>
      </c>
      <c r="D259" t="s">
        <v>26</v>
      </c>
      <c r="E259" t="s">
        <v>37</v>
      </c>
      <c r="F259" t="s">
        <v>42</v>
      </c>
      <c r="G259" t="s">
        <v>22</v>
      </c>
      <c r="H259" t="s">
        <v>30</v>
      </c>
      <c r="I259">
        <v>3</v>
      </c>
      <c r="J259" s="3">
        <v>15.39</v>
      </c>
      <c r="K259" s="4">
        <v>0</v>
      </c>
      <c r="L259" s="3">
        <v>46.17</v>
      </c>
      <c r="M259" s="3">
        <v>30.32</v>
      </c>
      <c r="N259" s="3">
        <v>15.85</v>
      </c>
    </row>
    <row r="260" spans="1:14" x14ac:dyDescent="0.35">
      <c r="A260" t="s">
        <v>314</v>
      </c>
      <c r="B260" s="2">
        <v>45747</v>
      </c>
      <c r="C260" t="s">
        <v>25</v>
      </c>
      <c r="D260" t="s">
        <v>74</v>
      </c>
      <c r="E260" t="s">
        <v>17</v>
      </c>
      <c r="F260" t="s">
        <v>18</v>
      </c>
      <c r="G260" t="s">
        <v>29</v>
      </c>
      <c r="H260" t="s">
        <v>20</v>
      </c>
      <c r="I260">
        <v>12</v>
      </c>
      <c r="J260" s="3">
        <v>78.55</v>
      </c>
      <c r="K260" s="4">
        <v>0</v>
      </c>
      <c r="L260" s="3">
        <v>942.6</v>
      </c>
      <c r="M260" s="3">
        <v>502.7</v>
      </c>
      <c r="N260" s="3">
        <v>439.9</v>
      </c>
    </row>
    <row r="261" spans="1:14" x14ac:dyDescent="0.35">
      <c r="A261" t="s">
        <v>315</v>
      </c>
      <c r="B261" s="2">
        <v>45747</v>
      </c>
      <c r="C261" t="s">
        <v>15</v>
      </c>
      <c r="D261" t="s">
        <v>46</v>
      </c>
      <c r="E261" t="s">
        <v>17</v>
      </c>
      <c r="F261" t="s">
        <v>44</v>
      </c>
      <c r="G261" t="s">
        <v>22</v>
      </c>
      <c r="H261" t="s">
        <v>30</v>
      </c>
      <c r="I261">
        <v>2</v>
      </c>
      <c r="J261" s="3">
        <v>13.91</v>
      </c>
      <c r="K261" s="4">
        <v>0.15</v>
      </c>
      <c r="L261" s="3">
        <v>23.65</v>
      </c>
      <c r="M261" s="3">
        <v>15.18</v>
      </c>
      <c r="N261" s="3">
        <v>8.4700000000000006</v>
      </c>
    </row>
    <row r="262" spans="1:14" x14ac:dyDescent="0.35">
      <c r="A262" t="s">
        <v>316</v>
      </c>
      <c r="B262" s="2">
        <v>45748</v>
      </c>
      <c r="C262" t="s">
        <v>32</v>
      </c>
      <c r="D262" t="s">
        <v>36</v>
      </c>
      <c r="E262" t="s">
        <v>53</v>
      </c>
      <c r="F262" t="s">
        <v>54</v>
      </c>
      <c r="G262" t="s">
        <v>29</v>
      </c>
      <c r="H262" t="s">
        <v>30</v>
      </c>
      <c r="I262">
        <v>2</v>
      </c>
      <c r="J262" s="3">
        <v>7.88</v>
      </c>
      <c r="K262" s="4">
        <v>0.15</v>
      </c>
      <c r="L262" s="3">
        <v>13.4</v>
      </c>
      <c r="M262" s="3">
        <v>10.43</v>
      </c>
      <c r="N262" s="3">
        <v>2.97</v>
      </c>
    </row>
    <row r="263" spans="1:14" x14ac:dyDescent="0.35">
      <c r="A263" t="s">
        <v>317</v>
      </c>
      <c r="B263" s="2">
        <v>45748</v>
      </c>
      <c r="C263" t="s">
        <v>32</v>
      </c>
      <c r="D263" t="s">
        <v>57</v>
      </c>
      <c r="E263" t="s">
        <v>17</v>
      </c>
      <c r="F263" t="s">
        <v>34</v>
      </c>
      <c r="G263" t="s">
        <v>19</v>
      </c>
      <c r="H263" t="s">
        <v>20</v>
      </c>
      <c r="I263">
        <v>9</v>
      </c>
      <c r="J263" s="3">
        <v>21.48</v>
      </c>
      <c r="K263" s="4">
        <v>0.15</v>
      </c>
      <c r="L263" s="3">
        <v>164.32</v>
      </c>
      <c r="M263" s="3">
        <v>110.75</v>
      </c>
      <c r="N263" s="3">
        <v>53.57</v>
      </c>
    </row>
    <row r="264" spans="1:14" x14ac:dyDescent="0.35">
      <c r="A264" t="s">
        <v>318</v>
      </c>
      <c r="B264" s="2">
        <v>45748</v>
      </c>
      <c r="C264" t="s">
        <v>32</v>
      </c>
      <c r="D264" t="s">
        <v>33</v>
      </c>
      <c r="E264" t="s">
        <v>37</v>
      </c>
      <c r="F264" t="s">
        <v>75</v>
      </c>
      <c r="G264" t="s">
        <v>19</v>
      </c>
      <c r="H264" t="s">
        <v>23</v>
      </c>
      <c r="I264">
        <v>11</v>
      </c>
      <c r="J264" s="3">
        <v>22</v>
      </c>
      <c r="K264" s="4">
        <v>0.1</v>
      </c>
      <c r="L264" s="3">
        <v>217.8</v>
      </c>
      <c r="M264" s="3">
        <v>181.24</v>
      </c>
      <c r="N264" s="3">
        <v>36.56</v>
      </c>
    </row>
    <row r="265" spans="1:14" x14ac:dyDescent="0.35">
      <c r="A265" t="s">
        <v>319</v>
      </c>
      <c r="B265" s="2">
        <v>45749</v>
      </c>
      <c r="C265" t="s">
        <v>25</v>
      </c>
      <c r="D265" t="s">
        <v>26</v>
      </c>
      <c r="E265" t="s">
        <v>17</v>
      </c>
      <c r="F265" t="s">
        <v>18</v>
      </c>
      <c r="G265" t="s">
        <v>19</v>
      </c>
      <c r="H265" t="s">
        <v>20</v>
      </c>
      <c r="I265">
        <v>5</v>
      </c>
      <c r="J265" s="3">
        <v>69.569999999999993</v>
      </c>
      <c r="K265" s="4">
        <v>0</v>
      </c>
      <c r="L265" s="3">
        <v>347.85</v>
      </c>
      <c r="M265" s="3">
        <v>241.36</v>
      </c>
      <c r="N265" s="3">
        <v>106.49</v>
      </c>
    </row>
    <row r="266" spans="1:14" x14ac:dyDescent="0.35">
      <c r="A266" t="s">
        <v>320</v>
      </c>
      <c r="B266" s="2">
        <v>45749</v>
      </c>
      <c r="C266" t="s">
        <v>40</v>
      </c>
      <c r="D266" t="s">
        <v>50</v>
      </c>
      <c r="E266" t="s">
        <v>17</v>
      </c>
      <c r="F266" t="s">
        <v>44</v>
      </c>
      <c r="G266" t="s">
        <v>29</v>
      </c>
      <c r="H266" t="s">
        <v>30</v>
      </c>
      <c r="I266">
        <v>8</v>
      </c>
      <c r="J266" s="3">
        <v>19.079999999999998</v>
      </c>
      <c r="K266" s="4">
        <v>0</v>
      </c>
      <c r="L266" s="3">
        <v>152.63999999999999</v>
      </c>
      <c r="M266" s="3">
        <v>101.21</v>
      </c>
      <c r="N266" s="3">
        <v>51.43</v>
      </c>
    </row>
    <row r="267" spans="1:14" x14ac:dyDescent="0.35">
      <c r="A267" t="s">
        <v>321</v>
      </c>
      <c r="B267" s="2">
        <v>45749</v>
      </c>
      <c r="C267" t="s">
        <v>15</v>
      </c>
      <c r="D267" t="s">
        <v>46</v>
      </c>
      <c r="E267" t="s">
        <v>27</v>
      </c>
      <c r="F267" t="s">
        <v>28</v>
      </c>
      <c r="G267" t="s">
        <v>22</v>
      </c>
      <c r="H267" t="s">
        <v>23</v>
      </c>
      <c r="I267">
        <v>2</v>
      </c>
      <c r="J267" s="3">
        <v>131.61000000000001</v>
      </c>
      <c r="K267" s="4">
        <v>0</v>
      </c>
      <c r="L267" s="3">
        <v>263.22000000000003</v>
      </c>
      <c r="M267" s="3">
        <v>181.39</v>
      </c>
      <c r="N267" s="3">
        <v>81.83</v>
      </c>
    </row>
    <row r="268" spans="1:14" x14ac:dyDescent="0.35">
      <c r="A268" t="s">
        <v>322</v>
      </c>
      <c r="B268" s="2">
        <v>45750</v>
      </c>
      <c r="C268" t="s">
        <v>25</v>
      </c>
      <c r="D268" t="s">
        <v>74</v>
      </c>
      <c r="E268" t="s">
        <v>17</v>
      </c>
      <c r="F268" t="s">
        <v>44</v>
      </c>
      <c r="G268" t="s">
        <v>29</v>
      </c>
      <c r="H268" t="s">
        <v>23</v>
      </c>
      <c r="I268">
        <v>9</v>
      </c>
      <c r="J268" s="3">
        <v>15.38</v>
      </c>
      <c r="K268" s="4">
        <v>0.05</v>
      </c>
      <c r="L268" s="3">
        <v>131.5</v>
      </c>
      <c r="M268" s="3">
        <v>70.22</v>
      </c>
      <c r="N268" s="3">
        <v>61.28</v>
      </c>
    </row>
    <row r="269" spans="1:14" x14ac:dyDescent="0.35">
      <c r="A269" t="s">
        <v>323</v>
      </c>
      <c r="B269" s="2">
        <v>45750</v>
      </c>
      <c r="C269" t="s">
        <v>32</v>
      </c>
      <c r="D269" t="s">
        <v>57</v>
      </c>
      <c r="E269" t="s">
        <v>27</v>
      </c>
      <c r="F269" t="s">
        <v>48</v>
      </c>
      <c r="G269" t="s">
        <v>22</v>
      </c>
      <c r="H269" t="s">
        <v>30</v>
      </c>
      <c r="I269">
        <v>7</v>
      </c>
      <c r="J269" s="3">
        <v>240.5</v>
      </c>
      <c r="K269" s="4">
        <v>0</v>
      </c>
      <c r="L269" s="3">
        <v>1683.5</v>
      </c>
      <c r="M269" s="3">
        <v>1013.93</v>
      </c>
      <c r="N269" s="3">
        <v>669.57</v>
      </c>
    </row>
    <row r="270" spans="1:14" x14ac:dyDescent="0.35">
      <c r="A270" t="s">
        <v>324</v>
      </c>
      <c r="B270" s="2">
        <v>45750</v>
      </c>
      <c r="C270" t="s">
        <v>40</v>
      </c>
      <c r="D270" t="s">
        <v>50</v>
      </c>
      <c r="E270" t="s">
        <v>27</v>
      </c>
      <c r="F270" t="s">
        <v>28</v>
      </c>
      <c r="G270" t="s">
        <v>22</v>
      </c>
      <c r="H270" t="s">
        <v>23</v>
      </c>
      <c r="I270">
        <v>5</v>
      </c>
      <c r="J270" s="3">
        <v>131.52000000000001</v>
      </c>
      <c r="K270" s="4">
        <v>0</v>
      </c>
      <c r="L270" s="3">
        <v>657.6</v>
      </c>
      <c r="M270" s="3">
        <v>476.92</v>
      </c>
      <c r="N270" s="3">
        <v>180.68</v>
      </c>
    </row>
    <row r="271" spans="1:14" x14ac:dyDescent="0.35">
      <c r="A271" t="s">
        <v>325</v>
      </c>
      <c r="B271" s="2">
        <v>45750</v>
      </c>
      <c r="C271" t="s">
        <v>40</v>
      </c>
      <c r="D271" t="s">
        <v>41</v>
      </c>
      <c r="E271" t="s">
        <v>53</v>
      </c>
      <c r="F271" t="s">
        <v>115</v>
      </c>
      <c r="G271" t="s">
        <v>29</v>
      </c>
      <c r="H271" t="s">
        <v>23</v>
      </c>
      <c r="I271">
        <v>9</v>
      </c>
      <c r="J271" s="3">
        <v>12.08</v>
      </c>
      <c r="K271" s="4">
        <v>0.05</v>
      </c>
      <c r="L271" s="3">
        <v>103.28</v>
      </c>
      <c r="M271" s="3">
        <v>56.2</v>
      </c>
      <c r="N271" s="3">
        <v>47.08</v>
      </c>
    </row>
    <row r="272" spans="1:14" x14ac:dyDescent="0.35">
      <c r="A272" t="s">
        <v>326</v>
      </c>
      <c r="B272" s="2">
        <v>45751</v>
      </c>
      <c r="C272" t="s">
        <v>40</v>
      </c>
      <c r="D272" t="s">
        <v>50</v>
      </c>
      <c r="E272" t="s">
        <v>17</v>
      </c>
      <c r="F272" t="s">
        <v>34</v>
      </c>
      <c r="G272" t="s">
        <v>22</v>
      </c>
      <c r="H272" t="s">
        <v>30</v>
      </c>
      <c r="I272">
        <v>10</v>
      </c>
      <c r="J272" s="3">
        <v>18.57</v>
      </c>
      <c r="K272" s="4">
        <v>0</v>
      </c>
      <c r="L272" s="3">
        <v>185.7</v>
      </c>
      <c r="M272" s="3">
        <v>140.56</v>
      </c>
      <c r="N272" s="3">
        <v>45.14</v>
      </c>
    </row>
    <row r="273" spans="1:14" x14ac:dyDescent="0.35">
      <c r="A273" t="s">
        <v>327</v>
      </c>
      <c r="B273" s="2">
        <v>45751</v>
      </c>
      <c r="C273" t="s">
        <v>40</v>
      </c>
      <c r="D273" t="s">
        <v>50</v>
      </c>
      <c r="E273" t="s">
        <v>53</v>
      </c>
      <c r="F273" t="s">
        <v>66</v>
      </c>
      <c r="G273" t="s">
        <v>22</v>
      </c>
      <c r="H273" t="s">
        <v>30</v>
      </c>
      <c r="I273">
        <v>7</v>
      </c>
      <c r="J273" s="3">
        <v>21.09</v>
      </c>
      <c r="K273" s="4">
        <v>0.15</v>
      </c>
      <c r="L273" s="3">
        <v>125.49</v>
      </c>
      <c r="M273" s="3">
        <v>75.7</v>
      </c>
      <c r="N273" s="3">
        <v>49.79</v>
      </c>
    </row>
    <row r="274" spans="1:14" x14ac:dyDescent="0.35">
      <c r="A274" t="s">
        <v>328</v>
      </c>
      <c r="B274" s="2">
        <v>45751</v>
      </c>
      <c r="C274" t="s">
        <v>40</v>
      </c>
      <c r="D274" t="s">
        <v>50</v>
      </c>
      <c r="E274" t="s">
        <v>53</v>
      </c>
      <c r="F274" t="s">
        <v>115</v>
      </c>
      <c r="G274" t="s">
        <v>22</v>
      </c>
      <c r="H274" t="s">
        <v>23</v>
      </c>
      <c r="I274">
        <v>12</v>
      </c>
      <c r="J274" s="3">
        <v>13.46</v>
      </c>
      <c r="K274" s="4">
        <v>0.1</v>
      </c>
      <c r="L274" s="3">
        <v>145.37</v>
      </c>
      <c r="M274" s="3">
        <v>79.319999999999993</v>
      </c>
      <c r="N274" s="3">
        <v>66.05</v>
      </c>
    </row>
    <row r="275" spans="1:14" x14ac:dyDescent="0.35">
      <c r="A275" t="s">
        <v>329</v>
      </c>
      <c r="B275" s="2">
        <v>45752</v>
      </c>
      <c r="C275" t="s">
        <v>15</v>
      </c>
      <c r="D275" t="s">
        <v>16</v>
      </c>
      <c r="E275" t="s">
        <v>53</v>
      </c>
      <c r="F275" t="s">
        <v>83</v>
      </c>
      <c r="G275" t="s">
        <v>29</v>
      </c>
      <c r="H275" t="s">
        <v>30</v>
      </c>
      <c r="I275">
        <v>7</v>
      </c>
      <c r="J275" s="3">
        <v>12.9</v>
      </c>
      <c r="K275" s="4">
        <v>0.15</v>
      </c>
      <c r="L275" s="3">
        <v>76.75</v>
      </c>
      <c r="M275" s="3">
        <v>67.27</v>
      </c>
      <c r="N275" s="3">
        <v>9.48</v>
      </c>
    </row>
    <row r="276" spans="1:14" x14ac:dyDescent="0.35">
      <c r="A276" t="s">
        <v>330</v>
      </c>
      <c r="B276" s="2">
        <v>45753</v>
      </c>
      <c r="C276" t="s">
        <v>40</v>
      </c>
      <c r="D276" t="s">
        <v>50</v>
      </c>
      <c r="E276" t="s">
        <v>37</v>
      </c>
      <c r="F276" t="s">
        <v>42</v>
      </c>
      <c r="G276" t="s">
        <v>29</v>
      </c>
      <c r="H276" t="s">
        <v>20</v>
      </c>
      <c r="I276">
        <v>11</v>
      </c>
      <c r="J276" s="3">
        <v>20.73</v>
      </c>
      <c r="K276" s="4">
        <v>0.1</v>
      </c>
      <c r="L276" s="3">
        <v>205.23</v>
      </c>
      <c r="M276" s="3">
        <v>117.66</v>
      </c>
      <c r="N276" s="3">
        <v>87.57</v>
      </c>
    </row>
    <row r="277" spans="1:14" x14ac:dyDescent="0.35">
      <c r="A277" t="s">
        <v>331</v>
      </c>
      <c r="B277" s="2">
        <v>45753</v>
      </c>
      <c r="C277" t="s">
        <v>25</v>
      </c>
      <c r="D277" t="s">
        <v>26</v>
      </c>
      <c r="E277" t="s">
        <v>53</v>
      </c>
      <c r="F277" t="s">
        <v>54</v>
      </c>
      <c r="G277" t="s">
        <v>19</v>
      </c>
      <c r="H277" t="s">
        <v>20</v>
      </c>
      <c r="I277">
        <v>2</v>
      </c>
      <c r="J277" s="3">
        <v>8.89</v>
      </c>
      <c r="K277" s="4">
        <v>0.15</v>
      </c>
      <c r="L277" s="3">
        <v>15.11</v>
      </c>
      <c r="M277" s="3">
        <v>9.92</v>
      </c>
      <c r="N277" s="3">
        <v>5.19</v>
      </c>
    </row>
    <row r="278" spans="1:14" x14ac:dyDescent="0.35">
      <c r="A278" t="s">
        <v>332</v>
      </c>
      <c r="B278" s="2">
        <v>45753</v>
      </c>
      <c r="C278" t="s">
        <v>32</v>
      </c>
      <c r="D278" t="s">
        <v>33</v>
      </c>
      <c r="E278" t="s">
        <v>17</v>
      </c>
      <c r="F278" t="s">
        <v>44</v>
      </c>
      <c r="G278" t="s">
        <v>19</v>
      </c>
      <c r="H278" t="s">
        <v>20</v>
      </c>
      <c r="I278">
        <v>10</v>
      </c>
      <c r="J278" s="3">
        <v>16.39</v>
      </c>
      <c r="K278" s="4">
        <v>0</v>
      </c>
      <c r="L278" s="3">
        <v>163.9</v>
      </c>
      <c r="M278" s="3">
        <v>113.69</v>
      </c>
      <c r="N278" s="3">
        <v>50.21</v>
      </c>
    </row>
    <row r="279" spans="1:14" x14ac:dyDescent="0.35">
      <c r="A279" t="s">
        <v>333</v>
      </c>
      <c r="B279" s="2">
        <v>45753</v>
      </c>
      <c r="C279" t="s">
        <v>40</v>
      </c>
      <c r="D279" t="s">
        <v>71</v>
      </c>
      <c r="E279" t="s">
        <v>17</v>
      </c>
      <c r="F279" t="s">
        <v>18</v>
      </c>
      <c r="G279" t="s">
        <v>19</v>
      </c>
      <c r="H279" t="s">
        <v>23</v>
      </c>
      <c r="I279">
        <v>1</v>
      </c>
      <c r="J279" s="3">
        <v>63.75</v>
      </c>
      <c r="K279" s="4">
        <v>0.1</v>
      </c>
      <c r="L279" s="3">
        <v>57.38</v>
      </c>
      <c r="M279" s="3">
        <v>34.380000000000003</v>
      </c>
      <c r="N279" s="3">
        <v>23</v>
      </c>
    </row>
    <row r="280" spans="1:14" x14ac:dyDescent="0.35">
      <c r="A280" t="s">
        <v>334</v>
      </c>
      <c r="B280" s="2">
        <v>45754</v>
      </c>
      <c r="C280" t="s">
        <v>40</v>
      </c>
      <c r="D280" t="s">
        <v>71</v>
      </c>
      <c r="E280" t="s">
        <v>17</v>
      </c>
      <c r="F280" t="s">
        <v>34</v>
      </c>
      <c r="G280" t="s">
        <v>29</v>
      </c>
      <c r="H280" t="s">
        <v>23</v>
      </c>
      <c r="I280">
        <v>4</v>
      </c>
      <c r="J280" s="3">
        <v>20.07</v>
      </c>
      <c r="K280" s="4">
        <v>0.15</v>
      </c>
      <c r="L280" s="3">
        <v>68.239999999999995</v>
      </c>
      <c r="M280" s="3">
        <v>39.26</v>
      </c>
      <c r="N280" s="3">
        <v>28.98</v>
      </c>
    </row>
    <row r="281" spans="1:14" x14ac:dyDescent="0.35">
      <c r="A281" t="s">
        <v>335</v>
      </c>
      <c r="B281" s="2">
        <v>45755</v>
      </c>
      <c r="C281" t="s">
        <v>32</v>
      </c>
      <c r="D281" t="s">
        <v>57</v>
      </c>
      <c r="E281" t="s">
        <v>27</v>
      </c>
      <c r="F281" t="s">
        <v>68</v>
      </c>
      <c r="G281" t="s">
        <v>29</v>
      </c>
      <c r="H281" t="s">
        <v>30</v>
      </c>
      <c r="I281">
        <v>11</v>
      </c>
      <c r="J281" s="3">
        <v>39.409999999999997</v>
      </c>
      <c r="K281" s="4">
        <v>0.1</v>
      </c>
      <c r="L281" s="3">
        <v>390.16</v>
      </c>
      <c r="M281" s="3">
        <v>325.98</v>
      </c>
      <c r="N281" s="3">
        <v>64.180000000000007</v>
      </c>
    </row>
    <row r="282" spans="1:14" x14ac:dyDescent="0.35">
      <c r="A282" t="s">
        <v>336</v>
      </c>
      <c r="B282" s="2">
        <v>45755</v>
      </c>
      <c r="C282" t="s">
        <v>25</v>
      </c>
      <c r="D282" t="s">
        <v>97</v>
      </c>
      <c r="E282" t="s">
        <v>17</v>
      </c>
      <c r="F282" t="s">
        <v>87</v>
      </c>
      <c r="G282" t="s">
        <v>22</v>
      </c>
      <c r="H282" t="s">
        <v>20</v>
      </c>
      <c r="I282">
        <v>10</v>
      </c>
      <c r="J282" s="3">
        <v>13.29</v>
      </c>
      <c r="K282" s="4">
        <v>0.1</v>
      </c>
      <c r="L282" s="3">
        <v>119.61</v>
      </c>
      <c r="M282" s="3">
        <v>89.34</v>
      </c>
      <c r="N282" s="3">
        <v>30.27</v>
      </c>
    </row>
    <row r="283" spans="1:14" x14ac:dyDescent="0.35">
      <c r="A283" t="s">
        <v>337</v>
      </c>
      <c r="B283" s="2">
        <v>45755</v>
      </c>
      <c r="C283" t="s">
        <v>40</v>
      </c>
      <c r="D283" t="s">
        <v>71</v>
      </c>
      <c r="E283" t="s">
        <v>37</v>
      </c>
      <c r="F283" t="s">
        <v>42</v>
      </c>
      <c r="G283" t="s">
        <v>29</v>
      </c>
      <c r="H283" t="s">
        <v>23</v>
      </c>
      <c r="I283">
        <v>12</v>
      </c>
      <c r="J283" s="3">
        <v>21.41</v>
      </c>
      <c r="K283" s="4">
        <v>0</v>
      </c>
      <c r="L283" s="3">
        <v>256.92</v>
      </c>
      <c r="M283" s="3">
        <v>139.44999999999999</v>
      </c>
      <c r="N283" s="3">
        <v>117.47</v>
      </c>
    </row>
    <row r="284" spans="1:14" x14ac:dyDescent="0.35">
      <c r="A284" t="s">
        <v>338</v>
      </c>
      <c r="B284" s="2">
        <v>45756</v>
      </c>
      <c r="C284" t="s">
        <v>40</v>
      </c>
      <c r="D284" t="s">
        <v>50</v>
      </c>
      <c r="E284" t="s">
        <v>37</v>
      </c>
      <c r="F284" t="s">
        <v>51</v>
      </c>
      <c r="G284" t="s">
        <v>22</v>
      </c>
      <c r="H284" t="s">
        <v>30</v>
      </c>
      <c r="I284">
        <v>8</v>
      </c>
      <c r="J284" s="3">
        <v>32.83</v>
      </c>
      <c r="K284" s="4">
        <v>0</v>
      </c>
      <c r="L284" s="3">
        <v>262.64</v>
      </c>
      <c r="M284" s="3">
        <v>135.54</v>
      </c>
      <c r="N284" s="3">
        <v>127.1</v>
      </c>
    </row>
    <row r="285" spans="1:14" x14ac:dyDescent="0.35">
      <c r="A285" t="s">
        <v>339</v>
      </c>
      <c r="B285" s="2">
        <v>45757</v>
      </c>
      <c r="C285" t="s">
        <v>15</v>
      </c>
      <c r="D285" t="s">
        <v>59</v>
      </c>
      <c r="E285" t="s">
        <v>17</v>
      </c>
      <c r="F285" t="s">
        <v>34</v>
      </c>
      <c r="G285" t="s">
        <v>19</v>
      </c>
      <c r="H285" t="s">
        <v>23</v>
      </c>
      <c r="I285">
        <v>7</v>
      </c>
      <c r="J285" s="3">
        <v>21.79</v>
      </c>
      <c r="K285" s="4">
        <v>0.1</v>
      </c>
      <c r="L285" s="3">
        <v>137.28</v>
      </c>
      <c r="M285" s="3">
        <v>105.71</v>
      </c>
      <c r="N285" s="3">
        <v>31.57</v>
      </c>
    </row>
    <row r="286" spans="1:14" x14ac:dyDescent="0.35">
      <c r="A286" t="s">
        <v>340</v>
      </c>
      <c r="B286" s="2">
        <v>45757</v>
      </c>
      <c r="C286" t="s">
        <v>25</v>
      </c>
      <c r="D286" t="s">
        <v>26</v>
      </c>
      <c r="E286" t="s">
        <v>27</v>
      </c>
      <c r="F286" t="s">
        <v>79</v>
      </c>
      <c r="G286" t="s">
        <v>19</v>
      </c>
      <c r="H286" t="s">
        <v>23</v>
      </c>
      <c r="I286">
        <v>4</v>
      </c>
      <c r="J286" s="3">
        <v>106.43</v>
      </c>
      <c r="K286" s="4">
        <v>0</v>
      </c>
      <c r="L286" s="3">
        <v>425.72</v>
      </c>
      <c r="M286" s="3">
        <v>292.75</v>
      </c>
      <c r="N286" s="3">
        <v>132.97</v>
      </c>
    </row>
    <row r="287" spans="1:14" x14ac:dyDescent="0.35">
      <c r="A287" t="s">
        <v>341</v>
      </c>
      <c r="B287" s="2">
        <v>45759</v>
      </c>
      <c r="C287" t="s">
        <v>40</v>
      </c>
      <c r="D287" t="s">
        <v>71</v>
      </c>
      <c r="E287" t="s">
        <v>17</v>
      </c>
      <c r="F287" t="s">
        <v>34</v>
      </c>
      <c r="G287" t="s">
        <v>22</v>
      </c>
      <c r="H287" t="s">
        <v>23</v>
      </c>
      <c r="I287">
        <v>11</v>
      </c>
      <c r="J287" s="3">
        <v>21</v>
      </c>
      <c r="K287" s="4">
        <v>0.15</v>
      </c>
      <c r="L287" s="3">
        <v>196.35</v>
      </c>
      <c r="M287" s="3">
        <v>153.57</v>
      </c>
      <c r="N287" s="3">
        <v>42.78</v>
      </c>
    </row>
    <row r="288" spans="1:14" x14ac:dyDescent="0.35">
      <c r="A288" t="s">
        <v>342</v>
      </c>
      <c r="B288" s="2">
        <v>45761</v>
      </c>
      <c r="C288" t="s">
        <v>40</v>
      </c>
      <c r="D288" t="s">
        <v>50</v>
      </c>
      <c r="E288" t="s">
        <v>53</v>
      </c>
      <c r="F288" t="s">
        <v>66</v>
      </c>
      <c r="G288" t="s">
        <v>29</v>
      </c>
      <c r="H288" t="s">
        <v>20</v>
      </c>
      <c r="I288">
        <v>12</v>
      </c>
      <c r="J288" s="3">
        <v>19.149999999999999</v>
      </c>
      <c r="K288" s="4">
        <v>0.05</v>
      </c>
      <c r="L288" s="3">
        <v>218.31</v>
      </c>
      <c r="M288" s="3">
        <v>114.41</v>
      </c>
      <c r="N288" s="3">
        <v>103.9</v>
      </c>
    </row>
    <row r="289" spans="1:14" x14ac:dyDescent="0.35">
      <c r="A289" t="s">
        <v>343</v>
      </c>
      <c r="B289" s="2">
        <v>45762</v>
      </c>
      <c r="C289" t="s">
        <v>40</v>
      </c>
      <c r="D289" t="s">
        <v>71</v>
      </c>
      <c r="E289" t="s">
        <v>27</v>
      </c>
      <c r="F289" t="s">
        <v>68</v>
      </c>
      <c r="G289" t="s">
        <v>29</v>
      </c>
      <c r="H289" t="s">
        <v>23</v>
      </c>
      <c r="I289">
        <v>5</v>
      </c>
      <c r="J289" s="3">
        <v>38.130000000000003</v>
      </c>
      <c r="K289" s="4">
        <v>0.1</v>
      </c>
      <c r="L289" s="3">
        <v>171.59</v>
      </c>
      <c r="M289" s="3">
        <v>98.46</v>
      </c>
      <c r="N289" s="3">
        <v>73.13</v>
      </c>
    </row>
    <row r="290" spans="1:14" x14ac:dyDescent="0.35">
      <c r="A290" t="s">
        <v>344</v>
      </c>
      <c r="B290" s="2">
        <v>45763</v>
      </c>
      <c r="C290" t="s">
        <v>40</v>
      </c>
      <c r="D290" t="s">
        <v>71</v>
      </c>
      <c r="E290" t="s">
        <v>53</v>
      </c>
      <c r="F290" t="s">
        <v>115</v>
      </c>
      <c r="G290" t="s">
        <v>19</v>
      </c>
      <c r="H290" t="s">
        <v>20</v>
      </c>
      <c r="I290">
        <v>10</v>
      </c>
      <c r="J290" s="3">
        <v>11.67</v>
      </c>
      <c r="K290" s="4">
        <v>0.05</v>
      </c>
      <c r="L290" s="3">
        <v>110.86</v>
      </c>
      <c r="M290" s="3">
        <v>76.91</v>
      </c>
      <c r="N290" s="3">
        <v>33.950000000000003</v>
      </c>
    </row>
    <row r="291" spans="1:14" x14ac:dyDescent="0.35">
      <c r="A291" t="s">
        <v>345</v>
      </c>
      <c r="B291" s="2">
        <v>45763</v>
      </c>
      <c r="C291" t="s">
        <v>15</v>
      </c>
      <c r="D291" t="s">
        <v>46</v>
      </c>
      <c r="E291" t="s">
        <v>53</v>
      </c>
      <c r="F291" t="s">
        <v>115</v>
      </c>
      <c r="G291" t="s">
        <v>29</v>
      </c>
      <c r="H291" t="s">
        <v>20</v>
      </c>
      <c r="I291">
        <v>3</v>
      </c>
      <c r="J291" s="3">
        <v>12.6</v>
      </c>
      <c r="K291" s="4">
        <v>0.15</v>
      </c>
      <c r="L291" s="3">
        <v>32.130000000000003</v>
      </c>
      <c r="M291" s="3">
        <v>26.04</v>
      </c>
      <c r="N291" s="3">
        <v>6.09</v>
      </c>
    </row>
    <row r="292" spans="1:14" x14ac:dyDescent="0.35">
      <c r="A292" t="s">
        <v>346</v>
      </c>
      <c r="B292" s="2">
        <v>45763</v>
      </c>
      <c r="C292" t="s">
        <v>15</v>
      </c>
      <c r="D292" t="s">
        <v>46</v>
      </c>
      <c r="E292" t="s">
        <v>53</v>
      </c>
      <c r="F292" t="s">
        <v>54</v>
      </c>
      <c r="G292" t="s">
        <v>22</v>
      </c>
      <c r="H292" t="s">
        <v>20</v>
      </c>
      <c r="I292">
        <v>3</v>
      </c>
      <c r="J292" s="3">
        <v>7.67</v>
      </c>
      <c r="K292" s="4">
        <v>0.15</v>
      </c>
      <c r="L292" s="3">
        <v>19.559999999999999</v>
      </c>
      <c r="M292" s="3">
        <v>17.32</v>
      </c>
      <c r="N292" s="3">
        <v>2.2400000000000002</v>
      </c>
    </row>
    <row r="293" spans="1:14" x14ac:dyDescent="0.35">
      <c r="A293" t="s">
        <v>347</v>
      </c>
      <c r="B293" s="2">
        <v>45763</v>
      </c>
      <c r="C293" t="s">
        <v>40</v>
      </c>
      <c r="D293" t="s">
        <v>41</v>
      </c>
      <c r="E293" t="s">
        <v>37</v>
      </c>
      <c r="F293" t="s">
        <v>38</v>
      </c>
      <c r="G293" t="s">
        <v>19</v>
      </c>
      <c r="H293" t="s">
        <v>23</v>
      </c>
      <c r="I293">
        <v>7</v>
      </c>
      <c r="J293" s="3">
        <v>59.49</v>
      </c>
      <c r="K293" s="4">
        <v>0.15</v>
      </c>
      <c r="L293" s="3">
        <v>353.97</v>
      </c>
      <c r="M293" s="3">
        <v>233.61</v>
      </c>
      <c r="N293" s="3">
        <v>120.36</v>
      </c>
    </row>
    <row r="294" spans="1:14" x14ac:dyDescent="0.35">
      <c r="A294" t="s">
        <v>348</v>
      </c>
      <c r="B294" s="2">
        <v>45763</v>
      </c>
      <c r="C294" t="s">
        <v>25</v>
      </c>
      <c r="D294" t="s">
        <v>26</v>
      </c>
      <c r="E294" t="s">
        <v>37</v>
      </c>
      <c r="F294" t="s">
        <v>42</v>
      </c>
      <c r="G294" t="s">
        <v>22</v>
      </c>
      <c r="H294" t="s">
        <v>20</v>
      </c>
      <c r="I294">
        <v>10</v>
      </c>
      <c r="J294" s="3">
        <v>15.51</v>
      </c>
      <c r="K294" s="4">
        <v>0.15</v>
      </c>
      <c r="L294" s="3">
        <v>131.83000000000001</v>
      </c>
      <c r="M294" s="3">
        <v>105.72</v>
      </c>
      <c r="N294" s="3">
        <v>26.11</v>
      </c>
    </row>
    <row r="295" spans="1:14" x14ac:dyDescent="0.35">
      <c r="A295" t="s">
        <v>349</v>
      </c>
      <c r="B295" s="2">
        <v>45765</v>
      </c>
      <c r="C295" t="s">
        <v>32</v>
      </c>
      <c r="D295" t="s">
        <v>33</v>
      </c>
      <c r="E295" t="s">
        <v>37</v>
      </c>
      <c r="F295" t="s">
        <v>42</v>
      </c>
      <c r="G295" t="s">
        <v>22</v>
      </c>
      <c r="H295" t="s">
        <v>20</v>
      </c>
      <c r="I295">
        <v>11</v>
      </c>
      <c r="J295" s="3">
        <v>17.489999999999998</v>
      </c>
      <c r="K295" s="4">
        <v>0.15</v>
      </c>
      <c r="L295" s="3">
        <v>163.53</v>
      </c>
      <c r="M295" s="3">
        <v>148.46</v>
      </c>
      <c r="N295" s="3">
        <v>15.07</v>
      </c>
    </row>
    <row r="296" spans="1:14" x14ac:dyDescent="0.35">
      <c r="A296" t="s">
        <v>350</v>
      </c>
      <c r="B296" s="2">
        <v>45765</v>
      </c>
      <c r="C296" t="s">
        <v>32</v>
      </c>
      <c r="D296" t="s">
        <v>33</v>
      </c>
      <c r="E296" t="s">
        <v>27</v>
      </c>
      <c r="F296" t="s">
        <v>68</v>
      </c>
      <c r="G296" t="s">
        <v>22</v>
      </c>
      <c r="H296" t="s">
        <v>23</v>
      </c>
      <c r="I296">
        <v>11</v>
      </c>
      <c r="J296" s="3">
        <v>40.74</v>
      </c>
      <c r="K296" s="4">
        <v>0.05</v>
      </c>
      <c r="L296" s="3">
        <v>425.73</v>
      </c>
      <c r="M296" s="3">
        <v>283.06</v>
      </c>
      <c r="N296" s="3">
        <v>142.66999999999999</v>
      </c>
    </row>
    <row r="297" spans="1:14" x14ac:dyDescent="0.35">
      <c r="A297" t="s">
        <v>351</v>
      </c>
      <c r="B297" s="2">
        <v>45765</v>
      </c>
      <c r="C297" t="s">
        <v>25</v>
      </c>
      <c r="D297" t="s">
        <v>97</v>
      </c>
      <c r="E297" t="s">
        <v>53</v>
      </c>
      <c r="F297" t="s">
        <v>115</v>
      </c>
      <c r="G297" t="s">
        <v>19</v>
      </c>
      <c r="H297" t="s">
        <v>30</v>
      </c>
      <c r="I297">
        <v>6</v>
      </c>
      <c r="J297" s="3">
        <v>11.28</v>
      </c>
      <c r="K297" s="4">
        <v>0</v>
      </c>
      <c r="L297" s="3">
        <v>67.680000000000007</v>
      </c>
      <c r="M297" s="3">
        <v>47.11</v>
      </c>
      <c r="N297" s="3">
        <v>20.57</v>
      </c>
    </row>
    <row r="298" spans="1:14" x14ac:dyDescent="0.35">
      <c r="A298" t="s">
        <v>352</v>
      </c>
      <c r="B298" s="2">
        <v>45765</v>
      </c>
      <c r="C298" t="s">
        <v>15</v>
      </c>
      <c r="D298" t="s">
        <v>16</v>
      </c>
      <c r="E298" t="s">
        <v>17</v>
      </c>
      <c r="F298" t="s">
        <v>87</v>
      </c>
      <c r="G298" t="s">
        <v>19</v>
      </c>
      <c r="H298" t="s">
        <v>23</v>
      </c>
      <c r="I298">
        <v>9</v>
      </c>
      <c r="J298" s="3">
        <v>14.78</v>
      </c>
      <c r="K298" s="4">
        <v>0.15</v>
      </c>
      <c r="L298" s="3">
        <v>113.07</v>
      </c>
      <c r="M298" s="3">
        <v>94.08</v>
      </c>
      <c r="N298" s="3">
        <v>18.989999999999998</v>
      </c>
    </row>
    <row r="299" spans="1:14" x14ac:dyDescent="0.35">
      <c r="A299" t="s">
        <v>353</v>
      </c>
      <c r="B299" s="2">
        <v>45765</v>
      </c>
      <c r="C299" t="s">
        <v>40</v>
      </c>
      <c r="D299" t="s">
        <v>41</v>
      </c>
      <c r="E299" t="s">
        <v>53</v>
      </c>
      <c r="F299" t="s">
        <v>83</v>
      </c>
      <c r="G299" t="s">
        <v>22</v>
      </c>
      <c r="H299" t="s">
        <v>20</v>
      </c>
      <c r="I299">
        <v>1</v>
      </c>
      <c r="J299" s="3">
        <v>14.03</v>
      </c>
      <c r="K299" s="4">
        <v>0</v>
      </c>
      <c r="L299" s="3">
        <v>14.03</v>
      </c>
      <c r="M299" s="3">
        <v>9.15</v>
      </c>
      <c r="N299" s="3">
        <v>4.88</v>
      </c>
    </row>
    <row r="300" spans="1:14" x14ac:dyDescent="0.35">
      <c r="A300" t="s">
        <v>354</v>
      </c>
      <c r="B300" s="2">
        <v>45766</v>
      </c>
      <c r="C300" t="s">
        <v>40</v>
      </c>
      <c r="D300" t="s">
        <v>41</v>
      </c>
      <c r="E300" t="s">
        <v>53</v>
      </c>
      <c r="F300" t="s">
        <v>115</v>
      </c>
      <c r="G300" t="s">
        <v>19</v>
      </c>
      <c r="H300" t="s">
        <v>23</v>
      </c>
      <c r="I300">
        <v>12</v>
      </c>
      <c r="J300" s="3">
        <v>14.4</v>
      </c>
      <c r="K300" s="4">
        <v>0.1</v>
      </c>
      <c r="L300" s="3">
        <v>155.52000000000001</v>
      </c>
      <c r="M300" s="3">
        <v>130.35</v>
      </c>
      <c r="N300" s="3">
        <v>25.17</v>
      </c>
    </row>
    <row r="301" spans="1:14" x14ac:dyDescent="0.35">
      <c r="A301" t="s">
        <v>355</v>
      </c>
      <c r="B301" s="2">
        <v>45767</v>
      </c>
      <c r="C301" t="s">
        <v>32</v>
      </c>
      <c r="D301" t="s">
        <v>33</v>
      </c>
      <c r="E301" t="s">
        <v>37</v>
      </c>
      <c r="F301" t="s">
        <v>38</v>
      </c>
      <c r="G301" t="s">
        <v>22</v>
      </c>
      <c r="H301" t="s">
        <v>30</v>
      </c>
      <c r="I301">
        <v>9</v>
      </c>
      <c r="J301" s="3">
        <v>53.31</v>
      </c>
      <c r="K301" s="4">
        <v>0</v>
      </c>
      <c r="L301" s="3">
        <v>479.79</v>
      </c>
      <c r="M301" s="3">
        <v>233.67</v>
      </c>
      <c r="N301" s="3">
        <v>246.12</v>
      </c>
    </row>
    <row r="302" spans="1:14" x14ac:dyDescent="0.35">
      <c r="A302" t="s">
        <v>356</v>
      </c>
      <c r="B302" s="2">
        <v>45767</v>
      </c>
      <c r="C302" t="s">
        <v>25</v>
      </c>
      <c r="D302" t="s">
        <v>97</v>
      </c>
      <c r="E302" t="s">
        <v>53</v>
      </c>
      <c r="F302" t="s">
        <v>54</v>
      </c>
      <c r="G302" t="s">
        <v>19</v>
      </c>
      <c r="H302" t="s">
        <v>23</v>
      </c>
      <c r="I302">
        <v>11</v>
      </c>
      <c r="J302" s="3">
        <v>7.38</v>
      </c>
      <c r="K302" s="4">
        <v>0.1</v>
      </c>
      <c r="L302" s="3">
        <v>73.06</v>
      </c>
      <c r="M302" s="3">
        <v>51.47</v>
      </c>
      <c r="N302" s="3">
        <v>21.59</v>
      </c>
    </row>
    <row r="303" spans="1:14" x14ac:dyDescent="0.35">
      <c r="A303" t="s">
        <v>357</v>
      </c>
      <c r="B303" s="2">
        <v>45767</v>
      </c>
      <c r="C303" t="s">
        <v>25</v>
      </c>
      <c r="D303" t="s">
        <v>74</v>
      </c>
      <c r="E303" t="s">
        <v>17</v>
      </c>
      <c r="F303" t="s">
        <v>44</v>
      </c>
      <c r="G303" t="s">
        <v>22</v>
      </c>
      <c r="H303" t="s">
        <v>20</v>
      </c>
      <c r="I303">
        <v>3</v>
      </c>
      <c r="J303" s="3">
        <v>16.920000000000002</v>
      </c>
      <c r="K303" s="4">
        <v>0.15</v>
      </c>
      <c r="L303" s="3">
        <v>43.15</v>
      </c>
      <c r="M303" s="3">
        <v>34.72</v>
      </c>
      <c r="N303" s="3">
        <v>8.43</v>
      </c>
    </row>
    <row r="304" spans="1:14" x14ac:dyDescent="0.35">
      <c r="A304" t="s">
        <v>358</v>
      </c>
      <c r="B304" s="2">
        <v>45768</v>
      </c>
      <c r="C304" t="s">
        <v>25</v>
      </c>
      <c r="D304" t="s">
        <v>97</v>
      </c>
      <c r="E304" t="s">
        <v>17</v>
      </c>
      <c r="F304" t="s">
        <v>87</v>
      </c>
      <c r="G304" t="s">
        <v>19</v>
      </c>
      <c r="H304" t="s">
        <v>30</v>
      </c>
      <c r="I304">
        <v>12</v>
      </c>
      <c r="J304" s="3">
        <v>13.56</v>
      </c>
      <c r="K304" s="4">
        <v>0.1</v>
      </c>
      <c r="L304" s="3">
        <v>146.44999999999999</v>
      </c>
      <c r="M304" s="3">
        <v>80.38</v>
      </c>
      <c r="N304" s="3">
        <v>66.069999999999993</v>
      </c>
    </row>
    <row r="305" spans="1:14" x14ac:dyDescent="0.35">
      <c r="A305" t="s">
        <v>359</v>
      </c>
      <c r="B305" s="2">
        <v>45768</v>
      </c>
      <c r="C305" t="s">
        <v>15</v>
      </c>
      <c r="D305" t="s">
        <v>46</v>
      </c>
      <c r="E305" t="s">
        <v>17</v>
      </c>
      <c r="F305" t="s">
        <v>34</v>
      </c>
      <c r="G305" t="s">
        <v>22</v>
      </c>
      <c r="H305" t="s">
        <v>20</v>
      </c>
      <c r="I305">
        <v>8</v>
      </c>
      <c r="J305" s="3">
        <v>19.02</v>
      </c>
      <c r="K305" s="4">
        <v>0.1</v>
      </c>
      <c r="L305" s="3">
        <v>136.94</v>
      </c>
      <c r="M305" s="3">
        <v>106.3</v>
      </c>
      <c r="N305" s="3">
        <v>30.64</v>
      </c>
    </row>
    <row r="306" spans="1:14" x14ac:dyDescent="0.35">
      <c r="A306" t="s">
        <v>360</v>
      </c>
      <c r="B306" s="2">
        <v>45768</v>
      </c>
      <c r="C306" t="s">
        <v>32</v>
      </c>
      <c r="D306" t="s">
        <v>36</v>
      </c>
      <c r="E306" t="s">
        <v>27</v>
      </c>
      <c r="F306" t="s">
        <v>48</v>
      </c>
      <c r="G306" t="s">
        <v>29</v>
      </c>
      <c r="H306" t="s">
        <v>20</v>
      </c>
      <c r="I306">
        <v>11</v>
      </c>
      <c r="J306" s="3">
        <v>229.76</v>
      </c>
      <c r="K306" s="4">
        <v>0.05</v>
      </c>
      <c r="L306" s="3">
        <v>2400.9899999999998</v>
      </c>
      <c r="M306" s="3">
        <v>1410.09</v>
      </c>
      <c r="N306" s="3">
        <v>990.9</v>
      </c>
    </row>
    <row r="307" spans="1:14" x14ac:dyDescent="0.35">
      <c r="A307" t="s">
        <v>361</v>
      </c>
      <c r="B307" s="2">
        <v>45769</v>
      </c>
      <c r="C307" t="s">
        <v>25</v>
      </c>
      <c r="D307" t="s">
        <v>74</v>
      </c>
      <c r="E307" t="s">
        <v>17</v>
      </c>
      <c r="F307" t="s">
        <v>44</v>
      </c>
      <c r="G307" t="s">
        <v>19</v>
      </c>
      <c r="H307" t="s">
        <v>30</v>
      </c>
      <c r="I307">
        <v>12</v>
      </c>
      <c r="J307" s="3">
        <v>18.25</v>
      </c>
      <c r="K307" s="4">
        <v>0</v>
      </c>
      <c r="L307" s="3">
        <v>219</v>
      </c>
      <c r="M307" s="3">
        <v>124.68</v>
      </c>
      <c r="N307" s="3">
        <v>94.32</v>
      </c>
    </row>
    <row r="308" spans="1:14" x14ac:dyDescent="0.35">
      <c r="A308" t="s">
        <v>362</v>
      </c>
      <c r="B308" s="2">
        <v>45769</v>
      </c>
      <c r="C308" t="s">
        <v>40</v>
      </c>
      <c r="D308" t="s">
        <v>71</v>
      </c>
      <c r="E308" t="s">
        <v>17</v>
      </c>
      <c r="F308" t="s">
        <v>87</v>
      </c>
      <c r="G308" t="s">
        <v>29</v>
      </c>
      <c r="H308" t="s">
        <v>30</v>
      </c>
      <c r="I308">
        <v>8</v>
      </c>
      <c r="J308" s="3">
        <v>13.22</v>
      </c>
      <c r="K308" s="4">
        <v>0.05</v>
      </c>
      <c r="L308" s="3">
        <v>100.47</v>
      </c>
      <c r="M308" s="3">
        <v>61.48</v>
      </c>
      <c r="N308" s="3">
        <v>38.99</v>
      </c>
    </row>
    <row r="309" spans="1:14" x14ac:dyDescent="0.35">
      <c r="A309" t="s">
        <v>363</v>
      </c>
      <c r="B309" s="2">
        <v>45769</v>
      </c>
      <c r="C309" t="s">
        <v>25</v>
      </c>
      <c r="D309" t="s">
        <v>74</v>
      </c>
      <c r="E309" t="s">
        <v>17</v>
      </c>
      <c r="F309" t="s">
        <v>34</v>
      </c>
      <c r="G309" t="s">
        <v>29</v>
      </c>
      <c r="H309" t="s">
        <v>30</v>
      </c>
      <c r="I309">
        <v>9</v>
      </c>
      <c r="J309" s="3">
        <v>17.850000000000001</v>
      </c>
      <c r="K309" s="4">
        <v>0.05</v>
      </c>
      <c r="L309" s="3">
        <v>152.62</v>
      </c>
      <c r="M309" s="3">
        <v>80.8</v>
      </c>
      <c r="N309" s="3">
        <v>71.819999999999993</v>
      </c>
    </row>
    <row r="310" spans="1:14" x14ac:dyDescent="0.35">
      <c r="A310" t="s">
        <v>364</v>
      </c>
      <c r="B310" s="2">
        <v>45769</v>
      </c>
      <c r="C310" t="s">
        <v>40</v>
      </c>
      <c r="D310" t="s">
        <v>50</v>
      </c>
      <c r="E310" t="s">
        <v>37</v>
      </c>
      <c r="F310" t="s">
        <v>42</v>
      </c>
      <c r="G310" t="s">
        <v>22</v>
      </c>
      <c r="H310" t="s">
        <v>20</v>
      </c>
      <c r="I310">
        <v>12</v>
      </c>
      <c r="J310" s="3">
        <v>17.28</v>
      </c>
      <c r="K310" s="4">
        <v>0</v>
      </c>
      <c r="L310" s="3">
        <v>207.36</v>
      </c>
      <c r="M310" s="3">
        <v>135.87</v>
      </c>
      <c r="N310" s="3">
        <v>71.489999999999995</v>
      </c>
    </row>
    <row r="311" spans="1:14" x14ac:dyDescent="0.35">
      <c r="A311" t="s">
        <v>365</v>
      </c>
      <c r="B311" s="2">
        <v>45769</v>
      </c>
      <c r="C311" t="s">
        <v>40</v>
      </c>
      <c r="D311" t="s">
        <v>41</v>
      </c>
      <c r="E311" t="s">
        <v>17</v>
      </c>
      <c r="F311" t="s">
        <v>34</v>
      </c>
      <c r="G311" t="s">
        <v>29</v>
      </c>
      <c r="H311" t="s">
        <v>30</v>
      </c>
      <c r="I311">
        <v>7</v>
      </c>
      <c r="J311" s="3">
        <v>20.09</v>
      </c>
      <c r="K311" s="4">
        <v>0.15</v>
      </c>
      <c r="L311" s="3">
        <v>119.54</v>
      </c>
      <c r="M311" s="3">
        <v>92.82</v>
      </c>
      <c r="N311" s="3">
        <v>26.72</v>
      </c>
    </row>
    <row r="312" spans="1:14" x14ac:dyDescent="0.35">
      <c r="A312" t="s">
        <v>366</v>
      </c>
      <c r="B312" s="2">
        <v>45770</v>
      </c>
      <c r="C312" t="s">
        <v>40</v>
      </c>
      <c r="D312" t="s">
        <v>41</v>
      </c>
      <c r="E312" t="s">
        <v>53</v>
      </c>
      <c r="F312" t="s">
        <v>83</v>
      </c>
      <c r="G312" t="s">
        <v>29</v>
      </c>
      <c r="H312" t="s">
        <v>30</v>
      </c>
      <c r="I312">
        <v>2</v>
      </c>
      <c r="J312" s="3">
        <v>16.72</v>
      </c>
      <c r="K312" s="4">
        <v>0</v>
      </c>
      <c r="L312" s="3">
        <v>33.44</v>
      </c>
      <c r="M312" s="3">
        <v>17.579999999999998</v>
      </c>
      <c r="N312" s="3">
        <v>15.86</v>
      </c>
    </row>
    <row r="313" spans="1:14" x14ac:dyDescent="0.35">
      <c r="A313" t="s">
        <v>367</v>
      </c>
      <c r="B313" s="2">
        <v>45771</v>
      </c>
      <c r="C313" t="s">
        <v>15</v>
      </c>
      <c r="D313" t="s">
        <v>59</v>
      </c>
      <c r="E313" t="s">
        <v>17</v>
      </c>
      <c r="F313" t="s">
        <v>18</v>
      </c>
      <c r="G313" t="s">
        <v>22</v>
      </c>
      <c r="H313" t="s">
        <v>23</v>
      </c>
      <c r="I313">
        <v>3</v>
      </c>
      <c r="J313" s="3">
        <v>72.349999999999994</v>
      </c>
      <c r="K313" s="4">
        <v>0</v>
      </c>
      <c r="L313" s="3">
        <v>217.05</v>
      </c>
      <c r="M313" s="3">
        <v>108.39</v>
      </c>
      <c r="N313" s="3">
        <v>108.66</v>
      </c>
    </row>
    <row r="314" spans="1:14" x14ac:dyDescent="0.35">
      <c r="A314" t="s">
        <v>368</v>
      </c>
      <c r="B314" s="2">
        <v>45771</v>
      </c>
      <c r="C314" t="s">
        <v>32</v>
      </c>
      <c r="D314" t="s">
        <v>57</v>
      </c>
      <c r="E314" t="s">
        <v>37</v>
      </c>
      <c r="F314" t="s">
        <v>38</v>
      </c>
      <c r="G314" t="s">
        <v>29</v>
      </c>
      <c r="H314" t="s">
        <v>23</v>
      </c>
      <c r="I314">
        <v>11</v>
      </c>
      <c r="J314" s="3">
        <v>64.489999999999995</v>
      </c>
      <c r="K314" s="4">
        <v>0.05</v>
      </c>
      <c r="L314" s="3">
        <v>673.92</v>
      </c>
      <c r="M314" s="3">
        <v>381.26</v>
      </c>
      <c r="N314" s="3">
        <v>292.66000000000003</v>
      </c>
    </row>
    <row r="315" spans="1:14" x14ac:dyDescent="0.35">
      <c r="A315" t="s">
        <v>369</v>
      </c>
      <c r="B315" s="2">
        <v>45772</v>
      </c>
      <c r="C315" t="s">
        <v>15</v>
      </c>
      <c r="D315" t="s">
        <v>46</v>
      </c>
      <c r="E315" t="s">
        <v>37</v>
      </c>
      <c r="F315" t="s">
        <v>38</v>
      </c>
      <c r="G315" t="s">
        <v>29</v>
      </c>
      <c r="H315" t="s">
        <v>20</v>
      </c>
      <c r="I315">
        <v>9</v>
      </c>
      <c r="J315" s="3">
        <v>53.83</v>
      </c>
      <c r="K315" s="4">
        <v>0.05</v>
      </c>
      <c r="L315" s="3">
        <v>460.25</v>
      </c>
      <c r="M315" s="3">
        <v>315.99</v>
      </c>
      <c r="N315" s="3">
        <v>144.26</v>
      </c>
    </row>
    <row r="316" spans="1:14" x14ac:dyDescent="0.35">
      <c r="A316" t="s">
        <v>370</v>
      </c>
      <c r="B316" s="2">
        <v>45772</v>
      </c>
      <c r="C316" t="s">
        <v>15</v>
      </c>
      <c r="D316" t="s">
        <v>16</v>
      </c>
      <c r="E316" t="s">
        <v>37</v>
      </c>
      <c r="F316" t="s">
        <v>38</v>
      </c>
      <c r="G316" t="s">
        <v>22</v>
      </c>
      <c r="H316" t="s">
        <v>23</v>
      </c>
      <c r="I316">
        <v>7</v>
      </c>
      <c r="J316" s="3">
        <v>64.27</v>
      </c>
      <c r="K316" s="4">
        <v>0.1</v>
      </c>
      <c r="L316" s="3">
        <v>404.9</v>
      </c>
      <c r="M316" s="3">
        <v>304.2</v>
      </c>
      <c r="N316" s="3">
        <v>100.7</v>
      </c>
    </row>
    <row r="317" spans="1:14" x14ac:dyDescent="0.35">
      <c r="A317" t="s">
        <v>371</v>
      </c>
      <c r="B317" s="2">
        <v>45773</v>
      </c>
      <c r="C317" t="s">
        <v>32</v>
      </c>
      <c r="D317" t="s">
        <v>36</v>
      </c>
      <c r="E317" t="s">
        <v>53</v>
      </c>
      <c r="F317" t="s">
        <v>66</v>
      </c>
      <c r="G317" t="s">
        <v>19</v>
      </c>
      <c r="H317" t="s">
        <v>23</v>
      </c>
      <c r="I317">
        <v>3</v>
      </c>
      <c r="J317" s="3">
        <v>18.37</v>
      </c>
      <c r="K317" s="4">
        <v>0</v>
      </c>
      <c r="L317" s="3">
        <v>55.11</v>
      </c>
      <c r="M317" s="3">
        <v>39.56</v>
      </c>
      <c r="N317" s="3">
        <v>15.55</v>
      </c>
    </row>
    <row r="318" spans="1:14" x14ac:dyDescent="0.35">
      <c r="A318" t="s">
        <v>372</v>
      </c>
      <c r="B318" s="2">
        <v>45773</v>
      </c>
      <c r="C318" t="s">
        <v>40</v>
      </c>
      <c r="D318" t="s">
        <v>71</v>
      </c>
      <c r="E318" t="s">
        <v>37</v>
      </c>
      <c r="F318" t="s">
        <v>51</v>
      </c>
      <c r="G318" t="s">
        <v>22</v>
      </c>
      <c r="H318" t="s">
        <v>20</v>
      </c>
      <c r="I318">
        <v>8</v>
      </c>
      <c r="J318" s="3">
        <v>35.35</v>
      </c>
      <c r="K318" s="4">
        <v>0.05</v>
      </c>
      <c r="L318" s="3">
        <v>268.66000000000003</v>
      </c>
      <c r="M318" s="3">
        <v>219.26</v>
      </c>
      <c r="N318" s="3">
        <v>49.4</v>
      </c>
    </row>
    <row r="319" spans="1:14" x14ac:dyDescent="0.35">
      <c r="A319" t="s">
        <v>373</v>
      </c>
      <c r="B319" s="2">
        <v>45774</v>
      </c>
      <c r="C319" t="s">
        <v>15</v>
      </c>
      <c r="D319" t="s">
        <v>16</v>
      </c>
      <c r="E319" t="s">
        <v>37</v>
      </c>
      <c r="F319" t="s">
        <v>75</v>
      </c>
      <c r="G319" t="s">
        <v>29</v>
      </c>
      <c r="H319" t="s">
        <v>23</v>
      </c>
      <c r="I319">
        <v>9</v>
      </c>
      <c r="J319" s="3">
        <v>23.92</v>
      </c>
      <c r="K319" s="4">
        <v>0.15</v>
      </c>
      <c r="L319" s="3">
        <v>182.99</v>
      </c>
      <c r="M319" s="3">
        <v>147.71</v>
      </c>
      <c r="N319" s="3">
        <v>35.28</v>
      </c>
    </row>
    <row r="320" spans="1:14" x14ac:dyDescent="0.35">
      <c r="A320" t="s">
        <v>374</v>
      </c>
      <c r="B320" s="2">
        <v>45775</v>
      </c>
      <c r="C320" t="s">
        <v>15</v>
      </c>
      <c r="D320" t="s">
        <v>59</v>
      </c>
      <c r="E320" t="s">
        <v>17</v>
      </c>
      <c r="F320" t="s">
        <v>87</v>
      </c>
      <c r="G320" t="s">
        <v>22</v>
      </c>
      <c r="H320" t="s">
        <v>30</v>
      </c>
      <c r="I320">
        <v>4</v>
      </c>
      <c r="J320" s="3">
        <v>14.26</v>
      </c>
      <c r="K320" s="4">
        <v>0.05</v>
      </c>
      <c r="L320" s="3">
        <v>54.19</v>
      </c>
      <c r="M320" s="3">
        <v>41.19</v>
      </c>
      <c r="N320" s="3">
        <v>13</v>
      </c>
    </row>
    <row r="321" spans="1:14" x14ac:dyDescent="0.35">
      <c r="A321" t="s">
        <v>375</v>
      </c>
      <c r="B321" s="2">
        <v>45775</v>
      </c>
      <c r="C321" t="s">
        <v>15</v>
      </c>
      <c r="D321" t="s">
        <v>59</v>
      </c>
      <c r="E321" t="s">
        <v>37</v>
      </c>
      <c r="F321" t="s">
        <v>42</v>
      </c>
      <c r="G321" t="s">
        <v>22</v>
      </c>
      <c r="H321" t="s">
        <v>20</v>
      </c>
      <c r="I321">
        <v>6</v>
      </c>
      <c r="J321" s="3">
        <v>15.75</v>
      </c>
      <c r="K321" s="4">
        <v>0</v>
      </c>
      <c r="L321" s="3">
        <v>94.5</v>
      </c>
      <c r="M321" s="3">
        <v>53.25</v>
      </c>
      <c r="N321" s="3">
        <v>41.25</v>
      </c>
    </row>
    <row r="322" spans="1:14" x14ac:dyDescent="0.35">
      <c r="A322" t="s">
        <v>376</v>
      </c>
      <c r="B322" s="2">
        <v>45775</v>
      </c>
      <c r="C322" t="s">
        <v>40</v>
      </c>
      <c r="D322" t="s">
        <v>41</v>
      </c>
      <c r="E322" t="s">
        <v>27</v>
      </c>
      <c r="F322" t="s">
        <v>79</v>
      </c>
      <c r="G322" t="s">
        <v>29</v>
      </c>
      <c r="H322" t="s">
        <v>20</v>
      </c>
      <c r="I322">
        <v>4</v>
      </c>
      <c r="J322" s="3">
        <v>101.42</v>
      </c>
      <c r="K322" s="4">
        <v>0</v>
      </c>
      <c r="L322" s="3">
        <v>405.68</v>
      </c>
      <c r="M322" s="3">
        <v>305.07</v>
      </c>
      <c r="N322" s="3">
        <v>100.61</v>
      </c>
    </row>
    <row r="323" spans="1:14" x14ac:dyDescent="0.35">
      <c r="A323" t="s">
        <v>377</v>
      </c>
      <c r="B323" s="2">
        <v>45776</v>
      </c>
      <c r="C323" t="s">
        <v>40</v>
      </c>
      <c r="D323" t="s">
        <v>71</v>
      </c>
      <c r="E323" t="s">
        <v>17</v>
      </c>
      <c r="F323" t="s">
        <v>44</v>
      </c>
      <c r="G323" t="s">
        <v>22</v>
      </c>
      <c r="H323" t="s">
        <v>20</v>
      </c>
      <c r="I323">
        <v>6</v>
      </c>
      <c r="J323" s="3">
        <v>16.309999999999999</v>
      </c>
      <c r="K323" s="4">
        <v>0.15</v>
      </c>
      <c r="L323" s="3">
        <v>83.18</v>
      </c>
      <c r="M323" s="3">
        <v>62.58</v>
      </c>
      <c r="N323" s="3">
        <v>20.6</v>
      </c>
    </row>
    <row r="324" spans="1:14" x14ac:dyDescent="0.35">
      <c r="A324" t="s">
        <v>378</v>
      </c>
      <c r="B324" s="2">
        <v>45776</v>
      </c>
      <c r="C324" t="s">
        <v>15</v>
      </c>
      <c r="D324" t="s">
        <v>46</v>
      </c>
      <c r="E324" t="s">
        <v>17</v>
      </c>
      <c r="F324" t="s">
        <v>18</v>
      </c>
      <c r="G324" t="s">
        <v>19</v>
      </c>
      <c r="H324" t="s">
        <v>20</v>
      </c>
      <c r="I324">
        <v>8</v>
      </c>
      <c r="J324" s="3">
        <v>67.63</v>
      </c>
      <c r="K324" s="4">
        <v>0</v>
      </c>
      <c r="L324" s="3">
        <v>541.04</v>
      </c>
      <c r="M324" s="3">
        <v>405.6</v>
      </c>
      <c r="N324" s="3">
        <v>135.44</v>
      </c>
    </row>
    <row r="325" spans="1:14" x14ac:dyDescent="0.35">
      <c r="A325" t="s">
        <v>379</v>
      </c>
      <c r="B325" s="2">
        <v>45776</v>
      </c>
      <c r="C325" t="s">
        <v>32</v>
      </c>
      <c r="D325" t="s">
        <v>36</v>
      </c>
      <c r="E325" t="s">
        <v>53</v>
      </c>
      <c r="F325" t="s">
        <v>66</v>
      </c>
      <c r="G325" t="s">
        <v>29</v>
      </c>
      <c r="H325" t="s">
        <v>20</v>
      </c>
      <c r="I325">
        <v>10</v>
      </c>
      <c r="J325" s="3">
        <v>24.12</v>
      </c>
      <c r="K325" s="4">
        <v>0.1</v>
      </c>
      <c r="L325" s="3">
        <v>217.08</v>
      </c>
      <c r="M325" s="3">
        <v>125.27</v>
      </c>
      <c r="N325" s="3">
        <v>91.81</v>
      </c>
    </row>
    <row r="326" spans="1:14" x14ac:dyDescent="0.35">
      <c r="A326" t="s">
        <v>380</v>
      </c>
      <c r="B326" s="2">
        <v>45777</v>
      </c>
      <c r="C326" t="s">
        <v>25</v>
      </c>
      <c r="D326" t="s">
        <v>26</v>
      </c>
      <c r="E326" t="s">
        <v>27</v>
      </c>
      <c r="F326" t="s">
        <v>28</v>
      </c>
      <c r="G326" t="s">
        <v>19</v>
      </c>
      <c r="H326" t="s">
        <v>23</v>
      </c>
      <c r="I326">
        <v>6</v>
      </c>
      <c r="J326" s="3">
        <v>169</v>
      </c>
      <c r="K326" s="4">
        <v>0.05</v>
      </c>
      <c r="L326" s="3">
        <v>963.3</v>
      </c>
      <c r="M326" s="3">
        <v>743.04</v>
      </c>
      <c r="N326" s="3">
        <v>220.26</v>
      </c>
    </row>
    <row r="327" spans="1:14" x14ac:dyDescent="0.35">
      <c r="A327" t="s">
        <v>381</v>
      </c>
      <c r="B327" s="2">
        <v>45777</v>
      </c>
      <c r="C327" t="s">
        <v>32</v>
      </c>
      <c r="D327" t="s">
        <v>57</v>
      </c>
      <c r="E327" t="s">
        <v>27</v>
      </c>
      <c r="F327" t="s">
        <v>28</v>
      </c>
      <c r="G327" t="s">
        <v>19</v>
      </c>
      <c r="H327" t="s">
        <v>30</v>
      </c>
      <c r="I327">
        <v>8</v>
      </c>
      <c r="J327" s="3">
        <v>126.17</v>
      </c>
      <c r="K327" s="4">
        <v>0.15</v>
      </c>
      <c r="L327" s="3">
        <v>857.96</v>
      </c>
      <c r="M327" s="3">
        <v>487.84</v>
      </c>
      <c r="N327" s="3">
        <v>370.12</v>
      </c>
    </row>
    <row r="328" spans="1:14" x14ac:dyDescent="0.35">
      <c r="A328" t="s">
        <v>382</v>
      </c>
      <c r="B328" s="2">
        <v>45777</v>
      </c>
      <c r="C328" t="s">
        <v>15</v>
      </c>
      <c r="D328" t="s">
        <v>59</v>
      </c>
      <c r="E328" t="s">
        <v>37</v>
      </c>
      <c r="F328" t="s">
        <v>51</v>
      </c>
      <c r="G328" t="s">
        <v>22</v>
      </c>
      <c r="H328" t="s">
        <v>20</v>
      </c>
      <c r="I328">
        <v>1</v>
      </c>
      <c r="J328" s="3">
        <v>34.1</v>
      </c>
      <c r="K328" s="4">
        <v>0</v>
      </c>
      <c r="L328" s="3">
        <v>34.1</v>
      </c>
      <c r="M328" s="3">
        <v>19.53</v>
      </c>
      <c r="N328" s="3">
        <v>14.57</v>
      </c>
    </row>
    <row r="329" spans="1:14" x14ac:dyDescent="0.35">
      <c r="A329" t="s">
        <v>383</v>
      </c>
      <c r="B329" s="2">
        <v>45778</v>
      </c>
      <c r="C329" t="s">
        <v>32</v>
      </c>
      <c r="D329" t="s">
        <v>57</v>
      </c>
      <c r="E329" t="s">
        <v>53</v>
      </c>
      <c r="F329" t="s">
        <v>66</v>
      </c>
      <c r="G329" t="s">
        <v>22</v>
      </c>
      <c r="H329" t="s">
        <v>23</v>
      </c>
      <c r="I329">
        <v>4</v>
      </c>
      <c r="J329" s="3">
        <v>19.53</v>
      </c>
      <c r="K329" s="4">
        <v>0</v>
      </c>
      <c r="L329" s="3">
        <v>78.12</v>
      </c>
      <c r="M329" s="3">
        <v>57.1</v>
      </c>
      <c r="N329" s="3">
        <v>21.02</v>
      </c>
    </row>
    <row r="330" spans="1:14" x14ac:dyDescent="0.35">
      <c r="A330" t="s">
        <v>384</v>
      </c>
      <c r="B330" s="2">
        <v>45778</v>
      </c>
      <c r="C330" t="s">
        <v>15</v>
      </c>
      <c r="D330" t="s">
        <v>46</v>
      </c>
      <c r="E330" t="s">
        <v>17</v>
      </c>
      <c r="F330" t="s">
        <v>34</v>
      </c>
      <c r="G330" t="s">
        <v>29</v>
      </c>
      <c r="H330" t="s">
        <v>23</v>
      </c>
      <c r="I330">
        <v>11</v>
      </c>
      <c r="J330" s="3">
        <v>19.23</v>
      </c>
      <c r="K330" s="4">
        <v>0.1</v>
      </c>
      <c r="L330" s="3">
        <v>190.38</v>
      </c>
      <c r="M330" s="3">
        <v>127.3</v>
      </c>
      <c r="N330" s="3">
        <v>63.08</v>
      </c>
    </row>
    <row r="331" spans="1:14" x14ac:dyDescent="0.35">
      <c r="A331" t="s">
        <v>385</v>
      </c>
      <c r="B331" s="2">
        <v>45778</v>
      </c>
      <c r="C331" t="s">
        <v>25</v>
      </c>
      <c r="D331" t="s">
        <v>74</v>
      </c>
      <c r="E331" t="s">
        <v>17</v>
      </c>
      <c r="F331" t="s">
        <v>34</v>
      </c>
      <c r="G331" t="s">
        <v>22</v>
      </c>
      <c r="H331" t="s">
        <v>30</v>
      </c>
      <c r="I331">
        <v>4</v>
      </c>
      <c r="J331" s="3">
        <v>18.02</v>
      </c>
      <c r="K331" s="4">
        <v>0</v>
      </c>
      <c r="L331" s="3">
        <v>72.08</v>
      </c>
      <c r="M331" s="3">
        <v>44.83</v>
      </c>
      <c r="N331" s="3">
        <v>27.25</v>
      </c>
    </row>
    <row r="332" spans="1:14" x14ac:dyDescent="0.35">
      <c r="A332" t="s">
        <v>386</v>
      </c>
      <c r="B332" s="2">
        <v>45778</v>
      </c>
      <c r="C332" t="s">
        <v>40</v>
      </c>
      <c r="D332" t="s">
        <v>71</v>
      </c>
      <c r="E332" t="s">
        <v>27</v>
      </c>
      <c r="F332" t="s">
        <v>28</v>
      </c>
      <c r="G332" t="s">
        <v>22</v>
      </c>
      <c r="H332" t="s">
        <v>20</v>
      </c>
      <c r="I332">
        <v>12</v>
      </c>
      <c r="J332" s="3">
        <v>126.57</v>
      </c>
      <c r="K332" s="4">
        <v>0.05</v>
      </c>
      <c r="L332" s="3">
        <v>1442.9</v>
      </c>
      <c r="M332" s="3">
        <v>781.2</v>
      </c>
      <c r="N332" s="3">
        <v>661.7</v>
      </c>
    </row>
    <row r="333" spans="1:14" x14ac:dyDescent="0.35">
      <c r="A333" t="s">
        <v>387</v>
      </c>
      <c r="B333" s="2">
        <v>45779</v>
      </c>
      <c r="C333" t="s">
        <v>40</v>
      </c>
      <c r="D333" t="s">
        <v>71</v>
      </c>
      <c r="E333" t="s">
        <v>27</v>
      </c>
      <c r="F333" t="s">
        <v>48</v>
      </c>
      <c r="G333" t="s">
        <v>19</v>
      </c>
      <c r="H333" t="s">
        <v>20</v>
      </c>
      <c r="I333">
        <v>10</v>
      </c>
      <c r="J333" s="3">
        <v>252.22</v>
      </c>
      <c r="K333" s="4">
        <v>0</v>
      </c>
      <c r="L333" s="3">
        <v>2522.1999999999998</v>
      </c>
      <c r="M333" s="3">
        <v>1588.06</v>
      </c>
      <c r="N333" s="3">
        <v>934.14</v>
      </c>
    </row>
    <row r="334" spans="1:14" x14ac:dyDescent="0.35">
      <c r="A334" t="s">
        <v>388</v>
      </c>
      <c r="B334" s="2">
        <v>45779</v>
      </c>
      <c r="C334" t="s">
        <v>32</v>
      </c>
      <c r="D334" t="s">
        <v>57</v>
      </c>
      <c r="E334" t="s">
        <v>27</v>
      </c>
      <c r="F334" t="s">
        <v>28</v>
      </c>
      <c r="G334" t="s">
        <v>22</v>
      </c>
      <c r="H334" t="s">
        <v>20</v>
      </c>
      <c r="I334">
        <v>11</v>
      </c>
      <c r="J334" s="3">
        <v>130.77000000000001</v>
      </c>
      <c r="K334" s="4">
        <v>0.05</v>
      </c>
      <c r="L334" s="3">
        <v>1366.55</v>
      </c>
      <c r="M334" s="3">
        <v>1090.6099999999999</v>
      </c>
      <c r="N334" s="3">
        <v>275.94</v>
      </c>
    </row>
    <row r="335" spans="1:14" x14ac:dyDescent="0.35">
      <c r="A335" t="s">
        <v>389</v>
      </c>
      <c r="B335" s="2">
        <v>45780</v>
      </c>
      <c r="C335" t="s">
        <v>25</v>
      </c>
      <c r="D335" t="s">
        <v>97</v>
      </c>
      <c r="E335" t="s">
        <v>37</v>
      </c>
      <c r="F335" t="s">
        <v>51</v>
      </c>
      <c r="G335" t="s">
        <v>19</v>
      </c>
      <c r="H335" t="s">
        <v>20</v>
      </c>
      <c r="I335">
        <v>2</v>
      </c>
      <c r="J335" s="3">
        <v>37.56</v>
      </c>
      <c r="K335" s="4">
        <v>0</v>
      </c>
      <c r="L335" s="3">
        <v>75.12</v>
      </c>
      <c r="M335" s="3">
        <v>46.27</v>
      </c>
      <c r="N335" s="3">
        <v>28.85</v>
      </c>
    </row>
    <row r="336" spans="1:14" x14ac:dyDescent="0.35">
      <c r="A336" t="s">
        <v>390</v>
      </c>
      <c r="B336" s="2">
        <v>45781</v>
      </c>
      <c r="C336" t="s">
        <v>40</v>
      </c>
      <c r="D336" t="s">
        <v>41</v>
      </c>
      <c r="E336" t="s">
        <v>27</v>
      </c>
      <c r="F336" t="s">
        <v>28</v>
      </c>
      <c r="G336" t="s">
        <v>22</v>
      </c>
      <c r="H336" t="s">
        <v>23</v>
      </c>
      <c r="I336">
        <v>4</v>
      </c>
      <c r="J336" s="3">
        <v>152.47</v>
      </c>
      <c r="K336" s="4">
        <v>0.1</v>
      </c>
      <c r="L336" s="3">
        <v>548.89</v>
      </c>
      <c r="M336" s="3">
        <v>357.66</v>
      </c>
      <c r="N336" s="3">
        <v>191.23</v>
      </c>
    </row>
    <row r="337" spans="1:14" x14ac:dyDescent="0.35">
      <c r="A337" t="s">
        <v>391</v>
      </c>
      <c r="B337" s="2">
        <v>45782</v>
      </c>
      <c r="C337" t="s">
        <v>40</v>
      </c>
      <c r="D337" t="s">
        <v>50</v>
      </c>
      <c r="E337" t="s">
        <v>37</v>
      </c>
      <c r="F337" t="s">
        <v>51</v>
      </c>
      <c r="G337" t="s">
        <v>22</v>
      </c>
      <c r="H337" t="s">
        <v>30</v>
      </c>
      <c r="I337">
        <v>2</v>
      </c>
      <c r="J337" s="3">
        <v>36.06</v>
      </c>
      <c r="K337" s="4">
        <v>0.15</v>
      </c>
      <c r="L337" s="3">
        <v>61.3</v>
      </c>
      <c r="M337" s="3">
        <v>42.76</v>
      </c>
      <c r="N337" s="3">
        <v>18.54</v>
      </c>
    </row>
    <row r="338" spans="1:14" x14ac:dyDescent="0.35">
      <c r="A338" t="s">
        <v>392</v>
      </c>
      <c r="B338" s="2">
        <v>45783</v>
      </c>
      <c r="C338" t="s">
        <v>15</v>
      </c>
      <c r="D338" t="s">
        <v>16</v>
      </c>
      <c r="E338" t="s">
        <v>17</v>
      </c>
      <c r="F338" t="s">
        <v>44</v>
      </c>
      <c r="G338" t="s">
        <v>22</v>
      </c>
      <c r="H338" t="s">
        <v>30</v>
      </c>
      <c r="I338">
        <v>9</v>
      </c>
      <c r="J338" s="3">
        <v>17</v>
      </c>
      <c r="K338" s="4">
        <v>0.1</v>
      </c>
      <c r="L338" s="3">
        <v>137.69999999999999</v>
      </c>
      <c r="M338" s="3">
        <v>100.47</v>
      </c>
      <c r="N338" s="3">
        <v>37.229999999999997</v>
      </c>
    </row>
    <row r="339" spans="1:14" x14ac:dyDescent="0.35">
      <c r="A339" t="s">
        <v>393</v>
      </c>
      <c r="B339" s="2">
        <v>45783</v>
      </c>
      <c r="C339" t="s">
        <v>25</v>
      </c>
      <c r="D339" t="s">
        <v>74</v>
      </c>
      <c r="E339" t="s">
        <v>37</v>
      </c>
      <c r="F339" t="s">
        <v>51</v>
      </c>
      <c r="G339" t="s">
        <v>22</v>
      </c>
      <c r="H339" t="s">
        <v>30</v>
      </c>
      <c r="I339">
        <v>2</v>
      </c>
      <c r="J339" s="3">
        <v>30.46</v>
      </c>
      <c r="K339" s="4">
        <v>0</v>
      </c>
      <c r="L339" s="3">
        <v>60.92</v>
      </c>
      <c r="M339" s="3">
        <v>39.659999999999997</v>
      </c>
      <c r="N339" s="3">
        <v>21.26</v>
      </c>
    </row>
    <row r="340" spans="1:14" x14ac:dyDescent="0.35">
      <c r="A340" t="s">
        <v>394</v>
      </c>
      <c r="B340" s="2">
        <v>45784</v>
      </c>
      <c r="C340" t="s">
        <v>40</v>
      </c>
      <c r="D340" t="s">
        <v>50</v>
      </c>
      <c r="E340" t="s">
        <v>53</v>
      </c>
      <c r="F340" t="s">
        <v>54</v>
      </c>
      <c r="G340" t="s">
        <v>29</v>
      </c>
      <c r="H340" t="s">
        <v>30</v>
      </c>
      <c r="I340">
        <v>4</v>
      </c>
      <c r="J340" s="3">
        <v>7.59</v>
      </c>
      <c r="K340" s="4">
        <v>0</v>
      </c>
      <c r="L340" s="3">
        <v>30.36</v>
      </c>
      <c r="M340" s="3">
        <v>22.44</v>
      </c>
      <c r="N340" s="3">
        <v>7.92</v>
      </c>
    </row>
    <row r="341" spans="1:14" x14ac:dyDescent="0.35">
      <c r="A341" t="s">
        <v>395</v>
      </c>
      <c r="B341" s="2">
        <v>45784</v>
      </c>
      <c r="C341" t="s">
        <v>32</v>
      </c>
      <c r="D341" t="s">
        <v>57</v>
      </c>
      <c r="E341" t="s">
        <v>37</v>
      </c>
      <c r="F341" t="s">
        <v>42</v>
      </c>
      <c r="G341" t="s">
        <v>19</v>
      </c>
      <c r="H341" t="s">
        <v>23</v>
      </c>
      <c r="I341">
        <v>5</v>
      </c>
      <c r="J341" s="3">
        <v>16.27</v>
      </c>
      <c r="K341" s="4">
        <v>0</v>
      </c>
      <c r="L341" s="3">
        <v>81.349999999999994</v>
      </c>
      <c r="M341" s="3">
        <v>57.1</v>
      </c>
      <c r="N341" s="3">
        <v>24.25</v>
      </c>
    </row>
    <row r="342" spans="1:14" x14ac:dyDescent="0.35">
      <c r="A342" t="s">
        <v>396</v>
      </c>
      <c r="B342" s="2">
        <v>45784</v>
      </c>
      <c r="C342" t="s">
        <v>15</v>
      </c>
      <c r="D342" t="s">
        <v>59</v>
      </c>
      <c r="E342" t="s">
        <v>17</v>
      </c>
      <c r="F342" t="s">
        <v>18</v>
      </c>
      <c r="G342" t="s">
        <v>29</v>
      </c>
      <c r="H342" t="s">
        <v>23</v>
      </c>
      <c r="I342">
        <v>3</v>
      </c>
      <c r="J342" s="3">
        <v>68.150000000000006</v>
      </c>
      <c r="K342" s="4">
        <v>0</v>
      </c>
      <c r="L342" s="3">
        <v>204.45</v>
      </c>
      <c r="M342" s="3">
        <v>100.11</v>
      </c>
      <c r="N342" s="3">
        <v>104.34</v>
      </c>
    </row>
    <row r="343" spans="1:14" x14ac:dyDescent="0.35">
      <c r="A343" t="s">
        <v>397</v>
      </c>
      <c r="B343" s="2">
        <v>45785</v>
      </c>
      <c r="C343" t="s">
        <v>40</v>
      </c>
      <c r="D343" t="s">
        <v>71</v>
      </c>
      <c r="E343" t="s">
        <v>27</v>
      </c>
      <c r="F343" t="s">
        <v>28</v>
      </c>
      <c r="G343" t="s">
        <v>29</v>
      </c>
      <c r="H343" t="s">
        <v>30</v>
      </c>
      <c r="I343">
        <v>11</v>
      </c>
      <c r="J343" s="3">
        <v>167.7</v>
      </c>
      <c r="K343" s="4">
        <v>0</v>
      </c>
      <c r="L343" s="3">
        <v>1844.7</v>
      </c>
      <c r="M343" s="3">
        <v>1171.98</v>
      </c>
      <c r="N343" s="3">
        <v>672.72</v>
      </c>
    </row>
    <row r="344" spans="1:14" x14ac:dyDescent="0.35">
      <c r="A344" t="s">
        <v>398</v>
      </c>
      <c r="B344" s="2">
        <v>45786</v>
      </c>
      <c r="C344" t="s">
        <v>25</v>
      </c>
      <c r="D344" t="s">
        <v>26</v>
      </c>
      <c r="E344" t="s">
        <v>37</v>
      </c>
      <c r="F344" t="s">
        <v>75</v>
      </c>
      <c r="G344" t="s">
        <v>19</v>
      </c>
      <c r="H344" t="s">
        <v>23</v>
      </c>
      <c r="I344">
        <v>6</v>
      </c>
      <c r="J344" s="3">
        <v>25.06</v>
      </c>
      <c r="K344" s="4">
        <v>0</v>
      </c>
      <c r="L344" s="3">
        <v>150.36000000000001</v>
      </c>
      <c r="M344" s="3">
        <v>104.26</v>
      </c>
      <c r="N344" s="3">
        <v>46.1</v>
      </c>
    </row>
    <row r="345" spans="1:14" x14ac:dyDescent="0.35">
      <c r="A345" t="s">
        <v>399</v>
      </c>
      <c r="B345" s="2">
        <v>45786</v>
      </c>
      <c r="C345" t="s">
        <v>40</v>
      </c>
      <c r="D345" t="s">
        <v>71</v>
      </c>
      <c r="E345" t="s">
        <v>27</v>
      </c>
      <c r="F345" t="s">
        <v>48</v>
      </c>
      <c r="G345" t="s">
        <v>22</v>
      </c>
      <c r="H345" t="s">
        <v>23</v>
      </c>
      <c r="I345">
        <v>1</v>
      </c>
      <c r="J345" s="3">
        <v>230.5</v>
      </c>
      <c r="K345" s="4">
        <v>0</v>
      </c>
      <c r="L345" s="3">
        <v>230.5</v>
      </c>
      <c r="M345" s="3">
        <v>174.59</v>
      </c>
      <c r="N345" s="3">
        <v>55.91</v>
      </c>
    </row>
    <row r="346" spans="1:14" x14ac:dyDescent="0.35">
      <c r="A346" t="s">
        <v>400</v>
      </c>
      <c r="B346" s="2">
        <v>45787</v>
      </c>
      <c r="C346" t="s">
        <v>32</v>
      </c>
      <c r="D346" t="s">
        <v>33</v>
      </c>
      <c r="E346" t="s">
        <v>27</v>
      </c>
      <c r="F346" t="s">
        <v>48</v>
      </c>
      <c r="G346" t="s">
        <v>19</v>
      </c>
      <c r="H346" t="s">
        <v>20</v>
      </c>
      <c r="I346">
        <v>11</v>
      </c>
      <c r="J346" s="3">
        <v>306.19</v>
      </c>
      <c r="K346" s="4">
        <v>0.1</v>
      </c>
      <c r="L346" s="3">
        <v>3031.28</v>
      </c>
      <c r="M346" s="3">
        <v>2549</v>
      </c>
      <c r="N346" s="3">
        <v>482.28</v>
      </c>
    </row>
    <row r="347" spans="1:14" x14ac:dyDescent="0.35">
      <c r="A347" t="s">
        <v>401</v>
      </c>
      <c r="B347" s="2">
        <v>45787</v>
      </c>
      <c r="C347" t="s">
        <v>25</v>
      </c>
      <c r="D347" t="s">
        <v>97</v>
      </c>
      <c r="E347" t="s">
        <v>27</v>
      </c>
      <c r="F347" t="s">
        <v>48</v>
      </c>
      <c r="G347" t="s">
        <v>22</v>
      </c>
      <c r="H347" t="s">
        <v>20</v>
      </c>
      <c r="I347">
        <v>10</v>
      </c>
      <c r="J347" s="3">
        <v>249.03</v>
      </c>
      <c r="K347" s="4">
        <v>0.1</v>
      </c>
      <c r="L347" s="3">
        <v>2241.27</v>
      </c>
      <c r="M347" s="3">
        <v>1757.5</v>
      </c>
      <c r="N347" s="3">
        <v>483.77</v>
      </c>
    </row>
    <row r="348" spans="1:14" x14ac:dyDescent="0.35">
      <c r="A348" t="s">
        <v>402</v>
      </c>
      <c r="B348" s="2">
        <v>45787</v>
      </c>
      <c r="C348" t="s">
        <v>15</v>
      </c>
      <c r="D348" t="s">
        <v>16</v>
      </c>
      <c r="E348" t="s">
        <v>27</v>
      </c>
      <c r="F348" t="s">
        <v>79</v>
      </c>
      <c r="G348" t="s">
        <v>22</v>
      </c>
      <c r="H348" t="s">
        <v>23</v>
      </c>
      <c r="I348">
        <v>10</v>
      </c>
      <c r="J348" s="3">
        <v>96.65</v>
      </c>
      <c r="K348" s="4">
        <v>0.15</v>
      </c>
      <c r="L348" s="3">
        <v>821.52</v>
      </c>
      <c r="M348" s="3">
        <v>468.64</v>
      </c>
      <c r="N348" s="3">
        <v>352.88</v>
      </c>
    </row>
    <row r="349" spans="1:14" x14ac:dyDescent="0.35">
      <c r="A349" t="s">
        <v>403</v>
      </c>
      <c r="B349" s="2">
        <v>45788</v>
      </c>
      <c r="C349" t="s">
        <v>40</v>
      </c>
      <c r="D349" t="s">
        <v>41</v>
      </c>
      <c r="E349" t="s">
        <v>17</v>
      </c>
      <c r="F349" t="s">
        <v>87</v>
      </c>
      <c r="G349" t="s">
        <v>29</v>
      </c>
      <c r="H349" t="s">
        <v>30</v>
      </c>
      <c r="I349">
        <v>9</v>
      </c>
      <c r="J349" s="3">
        <v>12.9</v>
      </c>
      <c r="K349" s="4">
        <v>0.05</v>
      </c>
      <c r="L349" s="3">
        <v>110.3</v>
      </c>
      <c r="M349" s="3">
        <v>90.4</v>
      </c>
      <c r="N349" s="3">
        <v>19.899999999999999</v>
      </c>
    </row>
    <row r="350" spans="1:14" x14ac:dyDescent="0.35">
      <c r="A350" t="s">
        <v>404</v>
      </c>
      <c r="B350" s="2">
        <v>45788</v>
      </c>
      <c r="C350" t="s">
        <v>25</v>
      </c>
      <c r="D350" t="s">
        <v>26</v>
      </c>
      <c r="E350" t="s">
        <v>37</v>
      </c>
      <c r="F350" t="s">
        <v>51</v>
      </c>
      <c r="G350" t="s">
        <v>29</v>
      </c>
      <c r="H350" t="s">
        <v>23</v>
      </c>
      <c r="I350">
        <v>10</v>
      </c>
      <c r="J350" s="3">
        <v>28.02</v>
      </c>
      <c r="K350" s="4">
        <v>0.1</v>
      </c>
      <c r="L350" s="3">
        <v>252.18</v>
      </c>
      <c r="M350" s="3">
        <v>163.46</v>
      </c>
      <c r="N350" s="3">
        <v>88.72</v>
      </c>
    </row>
    <row r="351" spans="1:14" x14ac:dyDescent="0.35">
      <c r="A351" t="s">
        <v>405</v>
      </c>
      <c r="B351" s="2">
        <v>45788</v>
      </c>
      <c r="C351" t="s">
        <v>32</v>
      </c>
      <c r="D351" t="s">
        <v>33</v>
      </c>
      <c r="E351" t="s">
        <v>27</v>
      </c>
      <c r="F351" t="s">
        <v>48</v>
      </c>
      <c r="G351" t="s">
        <v>29</v>
      </c>
      <c r="H351" t="s">
        <v>23</v>
      </c>
      <c r="I351">
        <v>8</v>
      </c>
      <c r="J351" s="3">
        <v>308.33999999999997</v>
      </c>
      <c r="K351" s="4">
        <v>0</v>
      </c>
      <c r="L351" s="3">
        <v>2466.7199999999998</v>
      </c>
      <c r="M351" s="3">
        <v>1721.51</v>
      </c>
      <c r="N351" s="3">
        <v>745.21</v>
      </c>
    </row>
    <row r="352" spans="1:14" x14ac:dyDescent="0.35">
      <c r="A352" t="s">
        <v>406</v>
      </c>
      <c r="B352" s="2">
        <v>45789</v>
      </c>
      <c r="C352" t="s">
        <v>32</v>
      </c>
      <c r="D352" t="s">
        <v>36</v>
      </c>
      <c r="E352" t="s">
        <v>27</v>
      </c>
      <c r="F352" t="s">
        <v>28</v>
      </c>
      <c r="G352" t="s">
        <v>19</v>
      </c>
      <c r="H352" t="s">
        <v>23</v>
      </c>
      <c r="I352">
        <v>10</v>
      </c>
      <c r="J352" s="3">
        <v>143.54</v>
      </c>
      <c r="K352" s="4">
        <v>0</v>
      </c>
      <c r="L352" s="3">
        <v>1435.4</v>
      </c>
      <c r="M352" s="3">
        <v>1005.18</v>
      </c>
      <c r="N352" s="3">
        <v>430.22</v>
      </c>
    </row>
    <row r="353" spans="1:14" x14ac:dyDescent="0.35">
      <c r="A353" t="s">
        <v>407</v>
      </c>
      <c r="B353" s="2">
        <v>45789</v>
      </c>
      <c r="C353" t="s">
        <v>15</v>
      </c>
      <c r="D353" t="s">
        <v>16</v>
      </c>
      <c r="E353" t="s">
        <v>17</v>
      </c>
      <c r="F353" t="s">
        <v>44</v>
      </c>
      <c r="G353" t="s">
        <v>22</v>
      </c>
      <c r="H353" t="s">
        <v>20</v>
      </c>
      <c r="I353">
        <v>11</v>
      </c>
      <c r="J353" s="3">
        <v>14.36</v>
      </c>
      <c r="K353" s="4">
        <v>0.15</v>
      </c>
      <c r="L353" s="3">
        <v>134.27000000000001</v>
      </c>
      <c r="M353" s="3">
        <v>105.84</v>
      </c>
      <c r="N353" s="3">
        <v>28.43</v>
      </c>
    </row>
    <row r="354" spans="1:14" x14ac:dyDescent="0.35">
      <c r="A354" t="s">
        <v>408</v>
      </c>
      <c r="B354" s="2">
        <v>45789</v>
      </c>
      <c r="C354" t="s">
        <v>40</v>
      </c>
      <c r="D354" t="s">
        <v>71</v>
      </c>
      <c r="E354" t="s">
        <v>53</v>
      </c>
      <c r="F354" t="s">
        <v>83</v>
      </c>
      <c r="G354" t="s">
        <v>22</v>
      </c>
      <c r="H354" t="s">
        <v>30</v>
      </c>
      <c r="I354">
        <v>5</v>
      </c>
      <c r="J354" s="3">
        <v>14.14</v>
      </c>
      <c r="K354" s="4">
        <v>0</v>
      </c>
      <c r="L354" s="3">
        <v>70.7</v>
      </c>
      <c r="M354" s="3">
        <v>36.049999999999997</v>
      </c>
      <c r="N354" s="3">
        <v>34.65</v>
      </c>
    </row>
    <row r="355" spans="1:14" x14ac:dyDescent="0.35">
      <c r="A355" t="s">
        <v>409</v>
      </c>
      <c r="B355" s="2">
        <v>45790</v>
      </c>
      <c r="C355" t="s">
        <v>25</v>
      </c>
      <c r="D355" t="s">
        <v>74</v>
      </c>
      <c r="E355" t="s">
        <v>53</v>
      </c>
      <c r="F355" t="s">
        <v>66</v>
      </c>
      <c r="G355" t="s">
        <v>22</v>
      </c>
      <c r="H355" t="s">
        <v>30</v>
      </c>
      <c r="I355">
        <v>3</v>
      </c>
      <c r="J355" s="3">
        <v>23.36</v>
      </c>
      <c r="K355" s="4">
        <v>0.05</v>
      </c>
      <c r="L355" s="3">
        <v>66.58</v>
      </c>
      <c r="M355" s="3">
        <v>49.05</v>
      </c>
      <c r="N355" s="3">
        <v>17.53</v>
      </c>
    </row>
    <row r="356" spans="1:14" x14ac:dyDescent="0.35">
      <c r="A356" t="s">
        <v>410</v>
      </c>
      <c r="B356" s="2">
        <v>45790</v>
      </c>
      <c r="C356" t="s">
        <v>32</v>
      </c>
      <c r="D356" t="s">
        <v>33</v>
      </c>
      <c r="E356" t="s">
        <v>37</v>
      </c>
      <c r="F356" t="s">
        <v>51</v>
      </c>
      <c r="G356" t="s">
        <v>22</v>
      </c>
      <c r="H356" t="s">
        <v>20</v>
      </c>
      <c r="I356">
        <v>11</v>
      </c>
      <c r="J356" s="3">
        <v>28.62</v>
      </c>
      <c r="K356" s="4">
        <v>0.1</v>
      </c>
      <c r="L356" s="3">
        <v>283.33999999999997</v>
      </c>
      <c r="M356" s="3">
        <v>204.72</v>
      </c>
      <c r="N356" s="3">
        <v>78.62</v>
      </c>
    </row>
    <row r="357" spans="1:14" x14ac:dyDescent="0.35">
      <c r="A357" t="s">
        <v>411</v>
      </c>
      <c r="B357" s="2">
        <v>45791</v>
      </c>
      <c r="C357" t="s">
        <v>40</v>
      </c>
      <c r="D357" t="s">
        <v>41</v>
      </c>
      <c r="E357" t="s">
        <v>17</v>
      </c>
      <c r="F357" t="s">
        <v>18</v>
      </c>
      <c r="G357" t="s">
        <v>19</v>
      </c>
      <c r="H357" t="s">
        <v>20</v>
      </c>
      <c r="I357">
        <v>3</v>
      </c>
      <c r="J357" s="3">
        <v>66.14</v>
      </c>
      <c r="K357" s="4">
        <v>0</v>
      </c>
      <c r="L357" s="3">
        <v>198.42</v>
      </c>
      <c r="M357" s="3">
        <v>117.85</v>
      </c>
      <c r="N357" s="3">
        <v>80.569999999999993</v>
      </c>
    </row>
    <row r="358" spans="1:14" x14ac:dyDescent="0.35">
      <c r="A358" t="s">
        <v>412</v>
      </c>
      <c r="B358" s="2">
        <v>45791</v>
      </c>
      <c r="C358" t="s">
        <v>15</v>
      </c>
      <c r="D358" t="s">
        <v>46</v>
      </c>
      <c r="E358" t="s">
        <v>27</v>
      </c>
      <c r="F358" t="s">
        <v>68</v>
      </c>
      <c r="G358" t="s">
        <v>29</v>
      </c>
      <c r="H358" t="s">
        <v>30</v>
      </c>
      <c r="I358">
        <v>3</v>
      </c>
      <c r="J358" s="3">
        <v>39.18</v>
      </c>
      <c r="K358" s="4">
        <v>0</v>
      </c>
      <c r="L358" s="3">
        <v>117.54</v>
      </c>
      <c r="M358" s="3">
        <v>88.14</v>
      </c>
      <c r="N358" s="3">
        <v>29.4</v>
      </c>
    </row>
    <row r="359" spans="1:14" x14ac:dyDescent="0.35">
      <c r="A359" t="s">
        <v>413</v>
      </c>
      <c r="B359" s="2">
        <v>45792</v>
      </c>
      <c r="C359" t="s">
        <v>32</v>
      </c>
      <c r="D359" t="s">
        <v>33</v>
      </c>
      <c r="E359" t="s">
        <v>53</v>
      </c>
      <c r="F359" t="s">
        <v>66</v>
      </c>
      <c r="G359" t="s">
        <v>29</v>
      </c>
      <c r="H359" t="s">
        <v>30</v>
      </c>
      <c r="I359">
        <v>10</v>
      </c>
      <c r="J359" s="3">
        <v>18.3</v>
      </c>
      <c r="K359" s="4">
        <v>0</v>
      </c>
      <c r="L359" s="3">
        <v>183</v>
      </c>
      <c r="M359" s="3">
        <v>92.55</v>
      </c>
      <c r="N359" s="3">
        <v>90.45</v>
      </c>
    </row>
    <row r="360" spans="1:14" x14ac:dyDescent="0.35">
      <c r="A360" t="s">
        <v>414</v>
      </c>
      <c r="B360" s="2">
        <v>45792</v>
      </c>
      <c r="C360" t="s">
        <v>25</v>
      </c>
      <c r="D360" t="s">
        <v>97</v>
      </c>
      <c r="E360" t="s">
        <v>53</v>
      </c>
      <c r="F360" t="s">
        <v>115</v>
      </c>
      <c r="G360" t="s">
        <v>19</v>
      </c>
      <c r="H360" t="s">
        <v>23</v>
      </c>
      <c r="I360">
        <v>7</v>
      </c>
      <c r="J360" s="3">
        <v>12.8</v>
      </c>
      <c r="K360" s="4">
        <v>0.15</v>
      </c>
      <c r="L360" s="3">
        <v>76.16</v>
      </c>
      <c r="M360" s="3">
        <v>50</v>
      </c>
      <c r="N360" s="3">
        <v>26.16</v>
      </c>
    </row>
    <row r="361" spans="1:14" x14ac:dyDescent="0.35">
      <c r="A361" t="s">
        <v>415</v>
      </c>
      <c r="B361" s="2">
        <v>45793</v>
      </c>
      <c r="C361" t="s">
        <v>40</v>
      </c>
      <c r="D361" t="s">
        <v>71</v>
      </c>
      <c r="E361" t="s">
        <v>27</v>
      </c>
      <c r="F361" t="s">
        <v>48</v>
      </c>
      <c r="G361" t="s">
        <v>19</v>
      </c>
      <c r="H361" t="s">
        <v>20</v>
      </c>
      <c r="I361">
        <v>6</v>
      </c>
      <c r="J361" s="3">
        <v>225.12</v>
      </c>
      <c r="K361" s="4">
        <v>0</v>
      </c>
      <c r="L361" s="3">
        <v>1350.72</v>
      </c>
      <c r="M361" s="3">
        <v>879.43</v>
      </c>
      <c r="N361" s="3">
        <v>471.29</v>
      </c>
    </row>
    <row r="362" spans="1:14" x14ac:dyDescent="0.35">
      <c r="A362" t="s">
        <v>416</v>
      </c>
      <c r="B362" s="2">
        <v>45793</v>
      </c>
      <c r="C362" t="s">
        <v>25</v>
      </c>
      <c r="D362" t="s">
        <v>97</v>
      </c>
      <c r="E362" t="s">
        <v>53</v>
      </c>
      <c r="F362" t="s">
        <v>83</v>
      </c>
      <c r="G362" t="s">
        <v>19</v>
      </c>
      <c r="H362" t="s">
        <v>23</v>
      </c>
      <c r="I362">
        <v>10</v>
      </c>
      <c r="J362" s="3">
        <v>14.3</v>
      </c>
      <c r="K362" s="4">
        <v>0</v>
      </c>
      <c r="L362" s="3">
        <v>143</v>
      </c>
      <c r="M362" s="3">
        <v>95.49</v>
      </c>
      <c r="N362" s="3">
        <v>47.51</v>
      </c>
    </row>
    <row r="363" spans="1:14" x14ac:dyDescent="0.35">
      <c r="A363" t="s">
        <v>417</v>
      </c>
      <c r="B363" s="2">
        <v>45793</v>
      </c>
      <c r="C363" t="s">
        <v>25</v>
      </c>
      <c r="D363" t="s">
        <v>26</v>
      </c>
      <c r="E363" t="s">
        <v>37</v>
      </c>
      <c r="F363" t="s">
        <v>38</v>
      </c>
      <c r="G363" t="s">
        <v>29</v>
      </c>
      <c r="H363" t="s">
        <v>20</v>
      </c>
      <c r="I363">
        <v>10</v>
      </c>
      <c r="J363" s="3">
        <v>54.49</v>
      </c>
      <c r="K363" s="4">
        <v>0</v>
      </c>
      <c r="L363" s="3">
        <v>544.9</v>
      </c>
      <c r="M363" s="3">
        <v>363.65</v>
      </c>
      <c r="N363" s="3">
        <v>181.25</v>
      </c>
    </row>
    <row r="364" spans="1:14" x14ac:dyDescent="0.35">
      <c r="A364" t="s">
        <v>418</v>
      </c>
      <c r="B364" s="2">
        <v>45793</v>
      </c>
      <c r="C364" t="s">
        <v>32</v>
      </c>
      <c r="D364" t="s">
        <v>57</v>
      </c>
      <c r="E364" t="s">
        <v>37</v>
      </c>
      <c r="F364" t="s">
        <v>75</v>
      </c>
      <c r="G364" t="s">
        <v>22</v>
      </c>
      <c r="H364" t="s">
        <v>20</v>
      </c>
      <c r="I364">
        <v>6</v>
      </c>
      <c r="J364" s="3">
        <v>26.05</v>
      </c>
      <c r="K364" s="4">
        <v>0.05</v>
      </c>
      <c r="L364" s="3">
        <v>148.49</v>
      </c>
      <c r="M364" s="3">
        <v>102.43</v>
      </c>
      <c r="N364" s="3">
        <v>46.06</v>
      </c>
    </row>
    <row r="365" spans="1:14" x14ac:dyDescent="0.35">
      <c r="A365" t="s">
        <v>419</v>
      </c>
      <c r="B365" s="2">
        <v>45794</v>
      </c>
      <c r="C365" t="s">
        <v>32</v>
      </c>
      <c r="D365" t="s">
        <v>36</v>
      </c>
      <c r="E365" t="s">
        <v>17</v>
      </c>
      <c r="F365" t="s">
        <v>34</v>
      </c>
      <c r="G365" t="s">
        <v>19</v>
      </c>
      <c r="H365" t="s">
        <v>23</v>
      </c>
      <c r="I365">
        <v>6</v>
      </c>
      <c r="J365" s="3">
        <v>21.23</v>
      </c>
      <c r="K365" s="4">
        <v>0.05</v>
      </c>
      <c r="L365" s="3">
        <v>121.01</v>
      </c>
      <c r="M365" s="3">
        <v>75.31</v>
      </c>
      <c r="N365" s="3">
        <v>45.7</v>
      </c>
    </row>
    <row r="366" spans="1:14" x14ac:dyDescent="0.35">
      <c r="A366" t="s">
        <v>420</v>
      </c>
      <c r="B366" s="2">
        <v>45794</v>
      </c>
      <c r="C366" t="s">
        <v>15</v>
      </c>
      <c r="D366" t="s">
        <v>16</v>
      </c>
      <c r="E366" t="s">
        <v>53</v>
      </c>
      <c r="F366" t="s">
        <v>66</v>
      </c>
      <c r="G366" t="s">
        <v>19</v>
      </c>
      <c r="H366" t="s">
        <v>30</v>
      </c>
      <c r="I366">
        <v>7</v>
      </c>
      <c r="J366" s="3">
        <v>22.07</v>
      </c>
      <c r="K366" s="4">
        <v>0.15</v>
      </c>
      <c r="L366" s="3">
        <v>131.32</v>
      </c>
      <c r="M366" s="3">
        <v>106.95</v>
      </c>
      <c r="N366" s="3">
        <v>24.37</v>
      </c>
    </row>
    <row r="367" spans="1:14" x14ac:dyDescent="0.35">
      <c r="A367" t="s">
        <v>421</v>
      </c>
      <c r="B367" s="2">
        <v>45795</v>
      </c>
      <c r="C367" t="s">
        <v>15</v>
      </c>
      <c r="D367" t="s">
        <v>46</v>
      </c>
      <c r="E367" t="s">
        <v>17</v>
      </c>
      <c r="F367" t="s">
        <v>44</v>
      </c>
      <c r="G367" t="s">
        <v>22</v>
      </c>
      <c r="H367" t="s">
        <v>23</v>
      </c>
      <c r="I367">
        <v>7</v>
      </c>
      <c r="J367" s="3">
        <v>18.14</v>
      </c>
      <c r="K367" s="4">
        <v>0.15</v>
      </c>
      <c r="L367" s="3">
        <v>107.93</v>
      </c>
      <c r="M367" s="3">
        <v>68.05</v>
      </c>
      <c r="N367" s="3">
        <v>39.880000000000003</v>
      </c>
    </row>
    <row r="368" spans="1:14" x14ac:dyDescent="0.35">
      <c r="A368" t="s">
        <v>422</v>
      </c>
      <c r="B368" s="2">
        <v>45795</v>
      </c>
      <c r="C368" t="s">
        <v>40</v>
      </c>
      <c r="D368" t="s">
        <v>71</v>
      </c>
      <c r="E368" t="s">
        <v>17</v>
      </c>
      <c r="F368" t="s">
        <v>44</v>
      </c>
      <c r="G368" t="s">
        <v>29</v>
      </c>
      <c r="H368" t="s">
        <v>20</v>
      </c>
      <c r="I368">
        <v>9</v>
      </c>
      <c r="J368" s="3">
        <v>14.72</v>
      </c>
      <c r="K368" s="4">
        <v>0.1</v>
      </c>
      <c r="L368" s="3">
        <v>119.23</v>
      </c>
      <c r="M368" s="3">
        <v>69.459999999999994</v>
      </c>
      <c r="N368" s="3">
        <v>49.77</v>
      </c>
    </row>
    <row r="369" spans="1:14" x14ac:dyDescent="0.35">
      <c r="A369" t="s">
        <v>423</v>
      </c>
      <c r="B369" s="2">
        <v>45795</v>
      </c>
      <c r="C369" t="s">
        <v>15</v>
      </c>
      <c r="D369" t="s">
        <v>16</v>
      </c>
      <c r="E369" t="s">
        <v>53</v>
      </c>
      <c r="F369" t="s">
        <v>83</v>
      </c>
      <c r="G369" t="s">
        <v>22</v>
      </c>
      <c r="H369" t="s">
        <v>30</v>
      </c>
      <c r="I369">
        <v>12</v>
      </c>
      <c r="J369" s="3">
        <v>12.79</v>
      </c>
      <c r="K369" s="4">
        <v>0</v>
      </c>
      <c r="L369" s="3">
        <v>153.47999999999999</v>
      </c>
      <c r="M369" s="3">
        <v>80.61</v>
      </c>
      <c r="N369" s="3">
        <v>72.87</v>
      </c>
    </row>
    <row r="370" spans="1:14" x14ac:dyDescent="0.35">
      <c r="A370" t="s">
        <v>424</v>
      </c>
      <c r="B370" s="2">
        <v>45795</v>
      </c>
      <c r="C370" t="s">
        <v>32</v>
      </c>
      <c r="D370" t="s">
        <v>57</v>
      </c>
      <c r="E370" t="s">
        <v>53</v>
      </c>
      <c r="F370" t="s">
        <v>115</v>
      </c>
      <c r="G370" t="s">
        <v>29</v>
      </c>
      <c r="H370" t="s">
        <v>23</v>
      </c>
      <c r="I370">
        <v>1</v>
      </c>
      <c r="J370" s="3">
        <v>14.22</v>
      </c>
      <c r="K370" s="4">
        <v>0</v>
      </c>
      <c r="L370" s="3">
        <v>14.22</v>
      </c>
      <c r="M370" s="3">
        <v>9.14</v>
      </c>
      <c r="N370" s="3">
        <v>5.08</v>
      </c>
    </row>
    <row r="371" spans="1:14" x14ac:dyDescent="0.35">
      <c r="A371" t="s">
        <v>425</v>
      </c>
      <c r="B371" s="2">
        <v>45796</v>
      </c>
      <c r="C371" t="s">
        <v>40</v>
      </c>
      <c r="D371" t="s">
        <v>41</v>
      </c>
      <c r="E371" t="s">
        <v>27</v>
      </c>
      <c r="F371" t="s">
        <v>79</v>
      </c>
      <c r="G371" t="s">
        <v>22</v>
      </c>
      <c r="H371" t="s">
        <v>23</v>
      </c>
      <c r="I371">
        <v>4</v>
      </c>
      <c r="J371" s="3">
        <v>98.15</v>
      </c>
      <c r="K371" s="4">
        <v>0</v>
      </c>
      <c r="L371" s="3">
        <v>392.6</v>
      </c>
      <c r="M371" s="3">
        <v>225.61</v>
      </c>
      <c r="N371" s="3">
        <v>166.99</v>
      </c>
    </row>
    <row r="372" spans="1:14" x14ac:dyDescent="0.35">
      <c r="A372" t="s">
        <v>426</v>
      </c>
      <c r="B372" s="2">
        <v>45796</v>
      </c>
      <c r="C372" t="s">
        <v>25</v>
      </c>
      <c r="D372" t="s">
        <v>97</v>
      </c>
      <c r="E372" t="s">
        <v>17</v>
      </c>
      <c r="F372" t="s">
        <v>87</v>
      </c>
      <c r="G372" t="s">
        <v>22</v>
      </c>
      <c r="H372" t="s">
        <v>30</v>
      </c>
      <c r="I372">
        <v>12</v>
      </c>
      <c r="J372" s="3">
        <v>15.19</v>
      </c>
      <c r="K372" s="4">
        <v>0</v>
      </c>
      <c r="L372" s="3">
        <v>182.28</v>
      </c>
      <c r="M372" s="3">
        <v>128.93</v>
      </c>
      <c r="N372" s="3">
        <v>53.35</v>
      </c>
    </row>
    <row r="373" spans="1:14" x14ac:dyDescent="0.35">
      <c r="A373" t="s">
        <v>427</v>
      </c>
      <c r="B373" s="2">
        <v>45797</v>
      </c>
      <c r="C373" t="s">
        <v>15</v>
      </c>
      <c r="D373" t="s">
        <v>16</v>
      </c>
      <c r="E373" t="s">
        <v>17</v>
      </c>
      <c r="F373" t="s">
        <v>34</v>
      </c>
      <c r="G373" t="s">
        <v>22</v>
      </c>
      <c r="H373" t="s">
        <v>20</v>
      </c>
      <c r="I373">
        <v>4</v>
      </c>
      <c r="J373" s="3">
        <v>19.489999999999998</v>
      </c>
      <c r="K373" s="4">
        <v>0.1</v>
      </c>
      <c r="L373" s="3">
        <v>70.16</v>
      </c>
      <c r="M373" s="3">
        <v>47.52</v>
      </c>
      <c r="N373" s="3">
        <v>22.64</v>
      </c>
    </row>
    <row r="374" spans="1:14" x14ac:dyDescent="0.35">
      <c r="A374" t="s">
        <v>428</v>
      </c>
      <c r="B374" s="2">
        <v>45797</v>
      </c>
      <c r="C374" t="s">
        <v>32</v>
      </c>
      <c r="D374" t="s">
        <v>57</v>
      </c>
      <c r="E374" t="s">
        <v>17</v>
      </c>
      <c r="F374" t="s">
        <v>18</v>
      </c>
      <c r="G374" t="s">
        <v>22</v>
      </c>
      <c r="H374" t="s">
        <v>30</v>
      </c>
      <c r="I374">
        <v>8</v>
      </c>
      <c r="J374" s="3">
        <v>78</v>
      </c>
      <c r="K374" s="4">
        <v>0.1</v>
      </c>
      <c r="L374" s="3">
        <v>561.6</v>
      </c>
      <c r="M374" s="3">
        <v>484.38</v>
      </c>
      <c r="N374" s="3">
        <v>77.22</v>
      </c>
    </row>
    <row r="375" spans="1:14" x14ac:dyDescent="0.35">
      <c r="A375" t="s">
        <v>429</v>
      </c>
      <c r="B375" s="2">
        <v>45797</v>
      </c>
      <c r="C375" t="s">
        <v>32</v>
      </c>
      <c r="D375" t="s">
        <v>57</v>
      </c>
      <c r="E375" t="s">
        <v>27</v>
      </c>
      <c r="F375" t="s">
        <v>48</v>
      </c>
      <c r="G375" t="s">
        <v>29</v>
      </c>
      <c r="H375" t="s">
        <v>20</v>
      </c>
      <c r="I375">
        <v>11</v>
      </c>
      <c r="J375" s="3">
        <v>304</v>
      </c>
      <c r="K375" s="4">
        <v>0.05</v>
      </c>
      <c r="L375" s="3">
        <v>3176.8</v>
      </c>
      <c r="M375" s="3">
        <v>1653.99</v>
      </c>
      <c r="N375" s="3">
        <v>1522.81</v>
      </c>
    </row>
    <row r="376" spans="1:14" x14ac:dyDescent="0.35">
      <c r="A376" t="s">
        <v>430</v>
      </c>
      <c r="B376" s="2">
        <v>45797</v>
      </c>
      <c r="C376" t="s">
        <v>32</v>
      </c>
      <c r="D376" t="s">
        <v>33</v>
      </c>
      <c r="E376" t="s">
        <v>37</v>
      </c>
      <c r="F376" t="s">
        <v>38</v>
      </c>
      <c r="G376" t="s">
        <v>22</v>
      </c>
      <c r="H376" t="s">
        <v>30</v>
      </c>
      <c r="I376">
        <v>12</v>
      </c>
      <c r="J376" s="3">
        <v>65.52</v>
      </c>
      <c r="K376" s="4">
        <v>0</v>
      </c>
      <c r="L376" s="3">
        <v>786.24</v>
      </c>
      <c r="M376" s="3">
        <v>494.42</v>
      </c>
      <c r="N376" s="3">
        <v>291.82</v>
      </c>
    </row>
    <row r="377" spans="1:14" x14ac:dyDescent="0.35">
      <c r="A377" t="s">
        <v>431</v>
      </c>
      <c r="B377" s="2">
        <v>45797</v>
      </c>
      <c r="C377" t="s">
        <v>32</v>
      </c>
      <c r="D377" t="s">
        <v>57</v>
      </c>
      <c r="E377" t="s">
        <v>17</v>
      </c>
      <c r="F377" t="s">
        <v>87</v>
      </c>
      <c r="G377" t="s">
        <v>22</v>
      </c>
      <c r="H377" t="s">
        <v>30</v>
      </c>
      <c r="I377">
        <v>7</v>
      </c>
      <c r="J377" s="3">
        <v>12.35</v>
      </c>
      <c r="K377" s="4">
        <v>0</v>
      </c>
      <c r="L377" s="3">
        <v>86.45</v>
      </c>
      <c r="M377" s="3">
        <v>62.68</v>
      </c>
      <c r="N377" s="3">
        <v>23.77</v>
      </c>
    </row>
    <row r="378" spans="1:14" x14ac:dyDescent="0.35">
      <c r="A378" t="s">
        <v>432</v>
      </c>
      <c r="B378" s="2">
        <v>45798</v>
      </c>
      <c r="C378" t="s">
        <v>25</v>
      </c>
      <c r="D378" t="s">
        <v>97</v>
      </c>
      <c r="E378" t="s">
        <v>37</v>
      </c>
      <c r="F378" t="s">
        <v>42</v>
      </c>
      <c r="G378" t="s">
        <v>22</v>
      </c>
      <c r="H378" t="s">
        <v>23</v>
      </c>
      <c r="I378">
        <v>7</v>
      </c>
      <c r="J378" s="3">
        <v>21.47</v>
      </c>
      <c r="K378" s="4">
        <v>0</v>
      </c>
      <c r="L378" s="3">
        <v>150.29</v>
      </c>
      <c r="M378" s="3">
        <v>89.21</v>
      </c>
      <c r="N378" s="3">
        <v>61.08</v>
      </c>
    </row>
    <row r="379" spans="1:14" x14ac:dyDescent="0.35">
      <c r="A379" t="s">
        <v>433</v>
      </c>
      <c r="B379" s="2">
        <v>45798</v>
      </c>
      <c r="C379" t="s">
        <v>32</v>
      </c>
      <c r="D379" t="s">
        <v>57</v>
      </c>
      <c r="E379" t="s">
        <v>17</v>
      </c>
      <c r="F379" t="s">
        <v>87</v>
      </c>
      <c r="G379" t="s">
        <v>22</v>
      </c>
      <c r="H379" t="s">
        <v>20</v>
      </c>
      <c r="I379">
        <v>8</v>
      </c>
      <c r="J379" s="3">
        <v>13.33</v>
      </c>
      <c r="K379" s="4">
        <v>0.1</v>
      </c>
      <c r="L379" s="3">
        <v>95.98</v>
      </c>
      <c r="M379" s="3">
        <v>53.07</v>
      </c>
      <c r="N379" s="3">
        <v>42.91</v>
      </c>
    </row>
    <row r="380" spans="1:14" x14ac:dyDescent="0.35">
      <c r="A380" t="s">
        <v>434</v>
      </c>
      <c r="B380" s="2">
        <v>45800</v>
      </c>
      <c r="C380" t="s">
        <v>25</v>
      </c>
      <c r="D380" t="s">
        <v>97</v>
      </c>
      <c r="E380" t="s">
        <v>53</v>
      </c>
      <c r="F380" t="s">
        <v>115</v>
      </c>
      <c r="G380" t="s">
        <v>19</v>
      </c>
      <c r="H380" t="s">
        <v>30</v>
      </c>
      <c r="I380">
        <v>1</v>
      </c>
      <c r="J380" s="3">
        <v>13.29</v>
      </c>
      <c r="K380" s="4">
        <v>0.1</v>
      </c>
      <c r="L380" s="3">
        <v>11.96</v>
      </c>
      <c r="M380" s="3">
        <v>8.44</v>
      </c>
      <c r="N380" s="3">
        <v>3.52</v>
      </c>
    </row>
    <row r="381" spans="1:14" x14ac:dyDescent="0.35">
      <c r="A381" t="s">
        <v>435</v>
      </c>
      <c r="B381" s="2">
        <v>45800</v>
      </c>
      <c r="C381" t="s">
        <v>40</v>
      </c>
      <c r="D381" t="s">
        <v>41</v>
      </c>
      <c r="E381" t="s">
        <v>37</v>
      </c>
      <c r="F381" t="s">
        <v>75</v>
      </c>
      <c r="G381" t="s">
        <v>29</v>
      </c>
      <c r="H381" t="s">
        <v>23</v>
      </c>
      <c r="I381">
        <v>12</v>
      </c>
      <c r="J381" s="3">
        <v>27.73</v>
      </c>
      <c r="K381" s="4">
        <v>0</v>
      </c>
      <c r="L381" s="3">
        <v>332.76</v>
      </c>
      <c r="M381" s="3">
        <v>192.4</v>
      </c>
      <c r="N381" s="3">
        <v>140.36000000000001</v>
      </c>
    </row>
    <row r="382" spans="1:14" x14ac:dyDescent="0.35">
      <c r="A382" t="s">
        <v>436</v>
      </c>
      <c r="B382" s="2">
        <v>45800</v>
      </c>
      <c r="C382" t="s">
        <v>32</v>
      </c>
      <c r="D382" t="s">
        <v>36</v>
      </c>
      <c r="E382" t="s">
        <v>53</v>
      </c>
      <c r="F382" t="s">
        <v>115</v>
      </c>
      <c r="G382" t="s">
        <v>19</v>
      </c>
      <c r="H382" t="s">
        <v>30</v>
      </c>
      <c r="I382">
        <v>6</v>
      </c>
      <c r="J382" s="3">
        <v>14.38</v>
      </c>
      <c r="K382" s="4">
        <v>0</v>
      </c>
      <c r="L382" s="3">
        <v>86.28</v>
      </c>
      <c r="M382" s="3">
        <v>61.28</v>
      </c>
      <c r="N382" s="3">
        <v>25</v>
      </c>
    </row>
    <row r="383" spans="1:14" x14ac:dyDescent="0.35">
      <c r="A383" t="s">
        <v>437</v>
      </c>
      <c r="B383" s="2">
        <v>45800</v>
      </c>
      <c r="C383" t="s">
        <v>40</v>
      </c>
      <c r="D383" t="s">
        <v>50</v>
      </c>
      <c r="E383" t="s">
        <v>17</v>
      </c>
      <c r="F383" t="s">
        <v>87</v>
      </c>
      <c r="G383" t="s">
        <v>22</v>
      </c>
      <c r="H383" t="s">
        <v>20</v>
      </c>
      <c r="I383">
        <v>9</v>
      </c>
      <c r="J383" s="3">
        <v>12.85</v>
      </c>
      <c r="K383" s="4">
        <v>0.15</v>
      </c>
      <c r="L383" s="3">
        <v>98.3</v>
      </c>
      <c r="M383" s="3">
        <v>78.83</v>
      </c>
      <c r="N383" s="3">
        <v>19.47</v>
      </c>
    </row>
    <row r="384" spans="1:14" x14ac:dyDescent="0.35">
      <c r="A384" t="s">
        <v>438</v>
      </c>
      <c r="B384" s="2">
        <v>45800</v>
      </c>
      <c r="C384" t="s">
        <v>25</v>
      </c>
      <c r="D384" t="s">
        <v>26</v>
      </c>
      <c r="E384" t="s">
        <v>53</v>
      </c>
      <c r="F384" t="s">
        <v>66</v>
      </c>
      <c r="G384" t="s">
        <v>29</v>
      </c>
      <c r="H384" t="s">
        <v>20</v>
      </c>
      <c r="I384">
        <v>8</v>
      </c>
      <c r="J384" s="3">
        <v>23.11</v>
      </c>
      <c r="K384" s="4">
        <v>0.05</v>
      </c>
      <c r="L384" s="3">
        <v>175.64</v>
      </c>
      <c r="M384" s="3">
        <v>89.91</v>
      </c>
      <c r="N384" s="3">
        <v>85.73</v>
      </c>
    </row>
    <row r="385" spans="1:14" x14ac:dyDescent="0.35">
      <c r="A385" t="s">
        <v>439</v>
      </c>
      <c r="B385" s="2">
        <v>45800</v>
      </c>
      <c r="C385" t="s">
        <v>32</v>
      </c>
      <c r="D385" t="s">
        <v>57</v>
      </c>
      <c r="E385" t="s">
        <v>53</v>
      </c>
      <c r="F385" t="s">
        <v>54</v>
      </c>
      <c r="G385" t="s">
        <v>29</v>
      </c>
      <c r="H385" t="s">
        <v>30</v>
      </c>
      <c r="I385">
        <v>6</v>
      </c>
      <c r="J385" s="3">
        <v>7.09</v>
      </c>
      <c r="K385" s="4">
        <v>0.1</v>
      </c>
      <c r="L385" s="3">
        <v>38.29</v>
      </c>
      <c r="M385" s="3">
        <v>21.65</v>
      </c>
      <c r="N385" s="3">
        <v>16.64</v>
      </c>
    </row>
    <row r="386" spans="1:14" x14ac:dyDescent="0.35">
      <c r="A386" t="s">
        <v>440</v>
      </c>
      <c r="B386" s="2">
        <v>45801</v>
      </c>
      <c r="C386" t="s">
        <v>32</v>
      </c>
      <c r="D386" t="s">
        <v>36</v>
      </c>
      <c r="E386" t="s">
        <v>17</v>
      </c>
      <c r="F386" t="s">
        <v>44</v>
      </c>
      <c r="G386" t="s">
        <v>19</v>
      </c>
      <c r="H386" t="s">
        <v>20</v>
      </c>
      <c r="I386">
        <v>4</v>
      </c>
      <c r="J386" s="3">
        <v>14.35</v>
      </c>
      <c r="K386" s="4">
        <v>0.1</v>
      </c>
      <c r="L386" s="3">
        <v>51.66</v>
      </c>
      <c r="M386" s="3">
        <v>40.880000000000003</v>
      </c>
      <c r="N386" s="3">
        <v>10.78</v>
      </c>
    </row>
    <row r="387" spans="1:14" x14ac:dyDescent="0.35">
      <c r="A387" t="s">
        <v>441</v>
      </c>
      <c r="B387" s="2">
        <v>45801</v>
      </c>
      <c r="C387" t="s">
        <v>15</v>
      </c>
      <c r="D387" t="s">
        <v>59</v>
      </c>
      <c r="E387" t="s">
        <v>27</v>
      </c>
      <c r="F387" t="s">
        <v>28</v>
      </c>
      <c r="G387" t="s">
        <v>19</v>
      </c>
      <c r="H387" t="s">
        <v>20</v>
      </c>
      <c r="I387">
        <v>9</v>
      </c>
      <c r="J387" s="3">
        <v>171.36</v>
      </c>
      <c r="K387" s="4">
        <v>0</v>
      </c>
      <c r="L387" s="3">
        <v>1542.24</v>
      </c>
      <c r="M387" s="3">
        <v>851.94</v>
      </c>
      <c r="N387" s="3">
        <v>690.3</v>
      </c>
    </row>
    <row r="388" spans="1:14" x14ac:dyDescent="0.35">
      <c r="A388" t="s">
        <v>442</v>
      </c>
      <c r="B388" s="2">
        <v>45801</v>
      </c>
      <c r="C388" t="s">
        <v>15</v>
      </c>
      <c r="D388" t="s">
        <v>59</v>
      </c>
      <c r="E388" t="s">
        <v>37</v>
      </c>
      <c r="F388" t="s">
        <v>38</v>
      </c>
      <c r="G388" t="s">
        <v>22</v>
      </c>
      <c r="H388" t="s">
        <v>20</v>
      </c>
      <c r="I388">
        <v>7</v>
      </c>
      <c r="J388" s="3">
        <v>58.81</v>
      </c>
      <c r="K388" s="4">
        <v>0</v>
      </c>
      <c r="L388" s="3">
        <v>411.67</v>
      </c>
      <c r="M388" s="3">
        <v>268.12</v>
      </c>
      <c r="N388" s="3">
        <v>143.55000000000001</v>
      </c>
    </row>
    <row r="389" spans="1:14" x14ac:dyDescent="0.35">
      <c r="A389" t="s">
        <v>443</v>
      </c>
      <c r="B389" s="2">
        <v>45801</v>
      </c>
      <c r="C389" t="s">
        <v>15</v>
      </c>
      <c r="D389" t="s">
        <v>46</v>
      </c>
      <c r="E389" t="s">
        <v>53</v>
      </c>
      <c r="F389" t="s">
        <v>66</v>
      </c>
      <c r="G389" t="s">
        <v>29</v>
      </c>
      <c r="H389" t="s">
        <v>30</v>
      </c>
      <c r="I389">
        <v>1</v>
      </c>
      <c r="J389" s="3">
        <v>21.8</v>
      </c>
      <c r="K389" s="4">
        <v>0.15</v>
      </c>
      <c r="L389" s="3">
        <v>18.53</v>
      </c>
      <c r="M389" s="3">
        <v>11.16</v>
      </c>
      <c r="N389" s="3">
        <v>7.37</v>
      </c>
    </row>
    <row r="390" spans="1:14" x14ac:dyDescent="0.35">
      <c r="A390" t="s">
        <v>444</v>
      </c>
      <c r="B390" s="2">
        <v>45803</v>
      </c>
      <c r="C390" t="s">
        <v>25</v>
      </c>
      <c r="D390" t="s">
        <v>74</v>
      </c>
      <c r="E390" t="s">
        <v>53</v>
      </c>
      <c r="F390" t="s">
        <v>83</v>
      </c>
      <c r="G390" t="s">
        <v>29</v>
      </c>
      <c r="H390" t="s">
        <v>20</v>
      </c>
      <c r="I390">
        <v>9</v>
      </c>
      <c r="J390" s="3">
        <v>16.440000000000001</v>
      </c>
      <c r="K390" s="4">
        <v>0.15</v>
      </c>
      <c r="L390" s="3">
        <v>125.77</v>
      </c>
      <c r="M390" s="3">
        <v>114.69</v>
      </c>
      <c r="N390" s="3">
        <v>11.08</v>
      </c>
    </row>
    <row r="391" spans="1:14" x14ac:dyDescent="0.35">
      <c r="A391" t="s">
        <v>445</v>
      </c>
      <c r="B391" s="2">
        <v>45803</v>
      </c>
      <c r="C391" t="s">
        <v>40</v>
      </c>
      <c r="D391" t="s">
        <v>50</v>
      </c>
      <c r="E391" t="s">
        <v>27</v>
      </c>
      <c r="F391" t="s">
        <v>68</v>
      </c>
      <c r="G391" t="s">
        <v>29</v>
      </c>
      <c r="H391" t="s">
        <v>20</v>
      </c>
      <c r="I391">
        <v>1</v>
      </c>
      <c r="J391" s="3">
        <v>32.619999999999997</v>
      </c>
      <c r="K391" s="4">
        <v>0</v>
      </c>
      <c r="L391" s="3">
        <v>32.619999999999997</v>
      </c>
      <c r="M391" s="3">
        <v>16.21</v>
      </c>
      <c r="N391" s="3">
        <v>16.41</v>
      </c>
    </row>
    <row r="392" spans="1:14" x14ac:dyDescent="0.35">
      <c r="A392" t="s">
        <v>446</v>
      </c>
      <c r="B392" s="2">
        <v>45804</v>
      </c>
      <c r="C392" t="s">
        <v>15</v>
      </c>
      <c r="D392" t="s">
        <v>59</v>
      </c>
      <c r="E392" t="s">
        <v>17</v>
      </c>
      <c r="F392" t="s">
        <v>44</v>
      </c>
      <c r="G392" t="s">
        <v>19</v>
      </c>
      <c r="H392" t="s">
        <v>20</v>
      </c>
      <c r="I392">
        <v>12</v>
      </c>
      <c r="J392" s="3">
        <v>18.760000000000002</v>
      </c>
      <c r="K392" s="4">
        <v>0.1</v>
      </c>
      <c r="L392" s="3">
        <v>202.61</v>
      </c>
      <c r="M392" s="3">
        <v>128.29</v>
      </c>
      <c r="N392" s="3">
        <v>74.319999999999993</v>
      </c>
    </row>
    <row r="393" spans="1:14" x14ac:dyDescent="0.35">
      <c r="A393" t="s">
        <v>447</v>
      </c>
      <c r="B393" s="2">
        <v>45804</v>
      </c>
      <c r="C393" t="s">
        <v>32</v>
      </c>
      <c r="D393" t="s">
        <v>57</v>
      </c>
      <c r="E393" t="s">
        <v>17</v>
      </c>
      <c r="F393" t="s">
        <v>44</v>
      </c>
      <c r="G393" t="s">
        <v>19</v>
      </c>
      <c r="H393" t="s">
        <v>30</v>
      </c>
      <c r="I393">
        <v>3</v>
      </c>
      <c r="J393" s="3">
        <v>16.43</v>
      </c>
      <c r="K393" s="4">
        <v>0.05</v>
      </c>
      <c r="L393" s="3">
        <v>46.83</v>
      </c>
      <c r="M393" s="3">
        <v>27.39</v>
      </c>
      <c r="N393" s="3">
        <v>19.440000000000001</v>
      </c>
    </row>
    <row r="394" spans="1:14" x14ac:dyDescent="0.35">
      <c r="A394" t="s">
        <v>448</v>
      </c>
      <c r="B394" s="2">
        <v>45804</v>
      </c>
      <c r="C394" t="s">
        <v>40</v>
      </c>
      <c r="D394" t="s">
        <v>41</v>
      </c>
      <c r="E394" t="s">
        <v>53</v>
      </c>
      <c r="F394" t="s">
        <v>66</v>
      </c>
      <c r="G394" t="s">
        <v>22</v>
      </c>
      <c r="H394" t="s">
        <v>30</v>
      </c>
      <c r="I394">
        <v>6</v>
      </c>
      <c r="J394" s="3">
        <v>20.2</v>
      </c>
      <c r="K394" s="4">
        <v>0.15</v>
      </c>
      <c r="L394" s="3">
        <v>103.02</v>
      </c>
      <c r="M394" s="3">
        <v>61.11</v>
      </c>
      <c r="N394" s="3">
        <v>41.91</v>
      </c>
    </row>
    <row r="395" spans="1:14" x14ac:dyDescent="0.35">
      <c r="A395" t="s">
        <v>449</v>
      </c>
      <c r="B395" s="2">
        <v>45805</v>
      </c>
      <c r="C395" t="s">
        <v>32</v>
      </c>
      <c r="D395" t="s">
        <v>57</v>
      </c>
      <c r="E395" t="s">
        <v>53</v>
      </c>
      <c r="F395" t="s">
        <v>54</v>
      </c>
      <c r="G395" t="s">
        <v>22</v>
      </c>
      <c r="H395" t="s">
        <v>30</v>
      </c>
      <c r="I395">
        <v>6</v>
      </c>
      <c r="J395" s="3">
        <v>9.16</v>
      </c>
      <c r="K395" s="4">
        <v>0.15</v>
      </c>
      <c r="L395" s="3">
        <v>46.72</v>
      </c>
      <c r="M395" s="3">
        <v>27.26</v>
      </c>
      <c r="N395" s="3">
        <v>19.46</v>
      </c>
    </row>
    <row r="396" spans="1:14" x14ac:dyDescent="0.35">
      <c r="A396" t="s">
        <v>450</v>
      </c>
      <c r="B396" s="2">
        <v>45805</v>
      </c>
      <c r="C396" t="s">
        <v>25</v>
      </c>
      <c r="D396" t="s">
        <v>97</v>
      </c>
      <c r="E396" t="s">
        <v>37</v>
      </c>
      <c r="F396" t="s">
        <v>38</v>
      </c>
      <c r="G396" t="s">
        <v>19</v>
      </c>
      <c r="H396" t="s">
        <v>23</v>
      </c>
      <c r="I396">
        <v>12</v>
      </c>
      <c r="J396" s="3">
        <v>62.23</v>
      </c>
      <c r="K396" s="4">
        <v>0.05</v>
      </c>
      <c r="L396" s="3">
        <v>709.42</v>
      </c>
      <c r="M396" s="3">
        <v>459.27</v>
      </c>
      <c r="N396" s="3">
        <v>250.15</v>
      </c>
    </row>
    <row r="397" spans="1:14" x14ac:dyDescent="0.35">
      <c r="A397" t="s">
        <v>451</v>
      </c>
      <c r="B397" s="2">
        <v>45805</v>
      </c>
      <c r="C397" t="s">
        <v>15</v>
      </c>
      <c r="D397" t="s">
        <v>46</v>
      </c>
      <c r="E397" t="s">
        <v>17</v>
      </c>
      <c r="F397" t="s">
        <v>44</v>
      </c>
      <c r="G397" t="s">
        <v>29</v>
      </c>
      <c r="H397" t="s">
        <v>23</v>
      </c>
      <c r="I397">
        <v>8</v>
      </c>
      <c r="J397" s="3">
        <v>14.09</v>
      </c>
      <c r="K397" s="4">
        <v>0.05</v>
      </c>
      <c r="L397" s="3">
        <v>107.08</v>
      </c>
      <c r="M397" s="3">
        <v>65.040000000000006</v>
      </c>
      <c r="N397" s="3">
        <v>42.04</v>
      </c>
    </row>
    <row r="398" spans="1:14" x14ac:dyDescent="0.35">
      <c r="A398" t="s">
        <v>452</v>
      </c>
      <c r="B398" s="2">
        <v>45806</v>
      </c>
      <c r="C398" t="s">
        <v>32</v>
      </c>
      <c r="D398" t="s">
        <v>33</v>
      </c>
      <c r="E398" t="s">
        <v>37</v>
      </c>
      <c r="F398" t="s">
        <v>38</v>
      </c>
      <c r="G398" t="s">
        <v>19</v>
      </c>
      <c r="H398" t="s">
        <v>23</v>
      </c>
      <c r="I398">
        <v>2</v>
      </c>
      <c r="J398" s="3">
        <v>50.55</v>
      </c>
      <c r="K398" s="4">
        <v>0.15</v>
      </c>
      <c r="L398" s="3">
        <v>85.93</v>
      </c>
      <c r="M398" s="3">
        <v>63.3</v>
      </c>
      <c r="N398" s="3">
        <v>22.63</v>
      </c>
    </row>
    <row r="399" spans="1:14" x14ac:dyDescent="0.35">
      <c r="A399" t="s">
        <v>453</v>
      </c>
      <c r="B399" s="2">
        <v>45806</v>
      </c>
      <c r="C399" t="s">
        <v>32</v>
      </c>
      <c r="D399" t="s">
        <v>33</v>
      </c>
      <c r="E399" t="s">
        <v>37</v>
      </c>
      <c r="F399" t="s">
        <v>42</v>
      </c>
      <c r="G399" t="s">
        <v>19</v>
      </c>
      <c r="H399" t="s">
        <v>30</v>
      </c>
      <c r="I399">
        <v>5</v>
      </c>
      <c r="J399" s="3">
        <v>18.88</v>
      </c>
      <c r="K399" s="4">
        <v>0</v>
      </c>
      <c r="L399" s="3">
        <v>94.4</v>
      </c>
      <c r="M399" s="3">
        <v>71.61</v>
      </c>
      <c r="N399" s="3">
        <v>22.79</v>
      </c>
    </row>
    <row r="400" spans="1:14" x14ac:dyDescent="0.35">
      <c r="A400" t="s">
        <v>454</v>
      </c>
      <c r="B400" s="2">
        <v>45806</v>
      </c>
      <c r="C400" t="s">
        <v>15</v>
      </c>
      <c r="D400" t="s">
        <v>59</v>
      </c>
      <c r="E400" t="s">
        <v>37</v>
      </c>
      <c r="F400" t="s">
        <v>75</v>
      </c>
      <c r="G400" t="s">
        <v>29</v>
      </c>
      <c r="H400" t="s">
        <v>30</v>
      </c>
      <c r="I400">
        <v>1</v>
      </c>
      <c r="J400" s="3">
        <v>28.52</v>
      </c>
      <c r="K400" s="4">
        <v>0</v>
      </c>
      <c r="L400" s="3">
        <v>28.52</v>
      </c>
      <c r="M400" s="3">
        <v>20.55</v>
      </c>
      <c r="N400" s="3">
        <v>7.97</v>
      </c>
    </row>
    <row r="401" spans="1:14" x14ac:dyDescent="0.35">
      <c r="A401" t="s">
        <v>455</v>
      </c>
      <c r="B401" s="2">
        <v>45806</v>
      </c>
      <c r="C401" t="s">
        <v>32</v>
      </c>
      <c r="D401" t="s">
        <v>36</v>
      </c>
      <c r="E401" t="s">
        <v>17</v>
      </c>
      <c r="F401" t="s">
        <v>34</v>
      </c>
      <c r="G401" t="s">
        <v>22</v>
      </c>
      <c r="H401" t="s">
        <v>23</v>
      </c>
      <c r="I401">
        <v>4</v>
      </c>
      <c r="J401" s="3">
        <v>23.74</v>
      </c>
      <c r="K401" s="4">
        <v>0</v>
      </c>
      <c r="L401" s="3">
        <v>94.96</v>
      </c>
      <c r="M401" s="3">
        <v>68.760000000000005</v>
      </c>
      <c r="N401" s="3">
        <v>26.2</v>
      </c>
    </row>
    <row r="402" spans="1:14" x14ac:dyDescent="0.35">
      <c r="A402" t="s">
        <v>456</v>
      </c>
      <c r="B402" s="2">
        <v>45806</v>
      </c>
      <c r="C402" t="s">
        <v>25</v>
      </c>
      <c r="D402" t="s">
        <v>26</v>
      </c>
      <c r="E402" t="s">
        <v>27</v>
      </c>
      <c r="F402" t="s">
        <v>48</v>
      </c>
      <c r="G402" t="s">
        <v>29</v>
      </c>
      <c r="H402" t="s">
        <v>23</v>
      </c>
      <c r="I402">
        <v>4</v>
      </c>
      <c r="J402" s="3">
        <v>294.23</v>
      </c>
      <c r="K402" s="4">
        <v>0.1</v>
      </c>
      <c r="L402" s="3">
        <v>1059.23</v>
      </c>
      <c r="M402" s="3">
        <v>669.94</v>
      </c>
      <c r="N402" s="3">
        <v>389.29</v>
      </c>
    </row>
    <row r="403" spans="1:14" x14ac:dyDescent="0.35">
      <c r="A403" t="s">
        <v>457</v>
      </c>
      <c r="B403" s="2">
        <v>45806</v>
      </c>
      <c r="C403" t="s">
        <v>32</v>
      </c>
      <c r="D403" t="s">
        <v>33</v>
      </c>
      <c r="E403" t="s">
        <v>27</v>
      </c>
      <c r="F403" t="s">
        <v>28</v>
      </c>
      <c r="G403" t="s">
        <v>29</v>
      </c>
      <c r="H403" t="s">
        <v>23</v>
      </c>
      <c r="I403">
        <v>3</v>
      </c>
      <c r="J403" s="3">
        <v>172.11</v>
      </c>
      <c r="K403" s="4">
        <v>0.1</v>
      </c>
      <c r="L403" s="3">
        <v>464.7</v>
      </c>
      <c r="M403" s="3">
        <v>390.15</v>
      </c>
      <c r="N403" s="3">
        <v>74.55</v>
      </c>
    </row>
    <row r="404" spans="1:14" x14ac:dyDescent="0.35">
      <c r="A404" t="s">
        <v>458</v>
      </c>
      <c r="B404" s="2">
        <v>45806</v>
      </c>
      <c r="C404" t="s">
        <v>15</v>
      </c>
      <c r="D404" t="s">
        <v>59</v>
      </c>
      <c r="E404" t="s">
        <v>17</v>
      </c>
      <c r="F404" t="s">
        <v>44</v>
      </c>
      <c r="G404" t="s">
        <v>22</v>
      </c>
      <c r="H404" t="s">
        <v>23</v>
      </c>
      <c r="I404">
        <v>5</v>
      </c>
      <c r="J404" s="3">
        <v>18.27</v>
      </c>
      <c r="K404" s="4">
        <v>0.05</v>
      </c>
      <c r="L404" s="3">
        <v>86.78</v>
      </c>
      <c r="M404" s="3">
        <v>57.39</v>
      </c>
      <c r="N404" s="3">
        <v>29.39</v>
      </c>
    </row>
    <row r="405" spans="1:14" x14ac:dyDescent="0.35">
      <c r="A405" t="s">
        <v>459</v>
      </c>
      <c r="B405" s="2">
        <v>45806</v>
      </c>
      <c r="C405" t="s">
        <v>32</v>
      </c>
      <c r="D405" t="s">
        <v>36</v>
      </c>
      <c r="E405" t="s">
        <v>27</v>
      </c>
      <c r="F405" t="s">
        <v>68</v>
      </c>
      <c r="G405" t="s">
        <v>29</v>
      </c>
      <c r="H405" t="s">
        <v>23</v>
      </c>
      <c r="I405">
        <v>12</v>
      </c>
      <c r="J405" s="3">
        <v>40.950000000000003</v>
      </c>
      <c r="K405" s="4">
        <v>0</v>
      </c>
      <c r="L405" s="3">
        <v>491.4</v>
      </c>
      <c r="M405" s="3">
        <v>310.16000000000003</v>
      </c>
      <c r="N405" s="3">
        <v>181.24</v>
      </c>
    </row>
    <row r="406" spans="1:14" x14ac:dyDescent="0.35">
      <c r="A406" t="s">
        <v>460</v>
      </c>
      <c r="B406" s="2">
        <v>45807</v>
      </c>
      <c r="C406" t="s">
        <v>40</v>
      </c>
      <c r="D406" t="s">
        <v>41</v>
      </c>
      <c r="E406" t="s">
        <v>27</v>
      </c>
      <c r="F406" t="s">
        <v>48</v>
      </c>
      <c r="G406" t="s">
        <v>19</v>
      </c>
      <c r="H406" t="s">
        <v>23</v>
      </c>
      <c r="I406">
        <v>8</v>
      </c>
      <c r="J406" s="3">
        <v>310.2</v>
      </c>
      <c r="K406" s="4">
        <v>0</v>
      </c>
      <c r="L406" s="3">
        <v>2481.6</v>
      </c>
      <c r="M406" s="3">
        <v>1531.24</v>
      </c>
      <c r="N406" s="3">
        <v>950.36</v>
      </c>
    </row>
    <row r="407" spans="1:14" x14ac:dyDescent="0.35">
      <c r="A407" t="s">
        <v>461</v>
      </c>
      <c r="B407" s="2">
        <v>45808</v>
      </c>
      <c r="C407" t="s">
        <v>25</v>
      </c>
      <c r="D407" t="s">
        <v>97</v>
      </c>
      <c r="E407" t="s">
        <v>37</v>
      </c>
      <c r="F407" t="s">
        <v>51</v>
      </c>
      <c r="G407" t="s">
        <v>22</v>
      </c>
      <c r="H407" t="s">
        <v>20</v>
      </c>
      <c r="I407">
        <v>8</v>
      </c>
      <c r="J407" s="3">
        <v>36.49</v>
      </c>
      <c r="K407" s="4">
        <v>0.1</v>
      </c>
      <c r="L407" s="3">
        <v>262.73</v>
      </c>
      <c r="M407" s="3">
        <v>148.04</v>
      </c>
      <c r="N407" s="3">
        <v>114.69</v>
      </c>
    </row>
    <row r="408" spans="1:14" x14ac:dyDescent="0.35">
      <c r="A408" t="s">
        <v>462</v>
      </c>
      <c r="B408" s="2">
        <v>45808</v>
      </c>
      <c r="C408" t="s">
        <v>32</v>
      </c>
      <c r="D408" t="s">
        <v>57</v>
      </c>
      <c r="E408" t="s">
        <v>27</v>
      </c>
      <c r="F408" t="s">
        <v>68</v>
      </c>
      <c r="G408" t="s">
        <v>29</v>
      </c>
      <c r="H408" t="s">
        <v>20</v>
      </c>
      <c r="I408">
        <v>1</v>
      </c>
      <c r="J408" s="3">
        <v>42.12</v>
      </c>
      <c r="K408" s="4">
        <v>0.15</v>
      </c>
      <c r="L408" s="3">
        <v>35.799999999999997</v>
      </c>
      <c r="M408" s="3">
        <v>25.19</v>
      </c>
      <c r="N408" s="3">
        <v>10.61</v>
      </c>
    </row>
    <row r="409" spans="1:14" x14ac:dyDescent="0.35">
      <c r="A409" t="s">
        <v>463</v>
      </c>
      <c r="B409" s="2">
        <v>45808</v>
      </c>
      <c r="C409" t="s">
        <v>25</v>
      </c>
      <c r="D409" t="s">
        <v>97</v>
      </c>
      <c r="E409" t="s">
        <v>17</v>
      </c>
      <c r="F409" t="s">
        <v>44</v>
      </c>
      <c r="G409" t="s">
        <v>19</v>
      </c>
      <c r="H409" t="s">
        <v>23</v>
      </c>
      <c r="I409">
        <v>8</v>
      </c>
      <c r="J409" s="3">
        <v>13.9</v>
      </c>
      <c r="K409" s="4">
        <v>0.15</v>
      </c>
      <c r="L409" s="3">
        <v>94.52</v>
      </c>
      <c r="M409" s="3">
        <v>72.739999999999995</v>
      </c>
      <c r="N409" s="3">
        <v>21.78</v>
      </c>
    </row>
    <row r="410" spans="1:14" x14ac:dyDescent="0.35">
      <c r="A410" t="s">
        <v>464</v>
      </c>
      <c r="B410" s="2">
        <v>45809</v>
      </c>
      <c r="C410" t="s">
        <v>15</v>
      </c>
      <c r="D410" t="s">
        <v>46</v>
      </c>
      <c r="E410" t="s">
        <v>53</v>
      </c>
      <c r="F410" t="s">
        <v>115</v>
      </c>
      <c r="G410" t="s">
        <v>29</v>
      </c>
      <c r="H410" t="s">
        <v>20</v>
      </c>
      <c r="I410">
        <v>1</v>
      </c>
      <c r="J410" s="3">
        <v>12.22</v>
      </c>
      <c r="K410" s="4">
        <v>0.05</v>
      </c>
      <c r="L410" s="3">
        <v>11.61</v>
      </c>
      <c r="M410" s="3">
        <v>6.46</v>
      </c>
      <c r="N410" s="3">
        <v>5.15</v>
      </c>
    </row>
    <row r="411" spans="1:14" x14ac:dyDescent="0.35">
      <c r="A411" t="s">
        <v>465</v>
      </c>
      <c r="B411" s="2">
        <v>45810</v>
      </c>
      <c r="C411" t="s">
        <v>25</v>
      </c>
      <c r="D411" t="s">
        <v>97</v>
      </c>
      <c r="E411" t="s">
        <v>53</v>
      </c>
      <c r="F411" t="s">
        <v>115</v>
      </c>
      <c r="G411" t="s">
        <v>19</v>
      </c>
      <c r="H411" t="s">
        <v>20</v>
      </c>
      <c r="I411">
        <v>6</v>
      </c>
      <c r="J411" s="3">
        <v>10.47</v>
      </c>
      <c r="K411" s="4">
        <v>0.15</v>
      </c>
      <c r="L411" s="3">
        <v>53.4</v>
      </c>
      <c r="M411" s="3">
        <v>33.64</v>
      </c>
      <c r="N411" s="3">
        <v>19.760000000000002</v>
      </c>
    </row>
    <row r="412" spans="1:14" x14ac:dyDescent="0.35">
      <c r="A412" t="s">
        <v>466</v>
      </c>
      <c r="B412" s="2">
        <v>45810</v>
      </c>
      <c r="C412" t="s">
        <v>15</v>
      </c>
      <c r="D412" t="s">
        <v>59</v>
      </c>
      <c r="E412" t="s">
        <v>17</v>
      </c>
      <c r="F412" t="s">
        <v>87</v>
      </c>
      <c r="G412" t="s">
        <v>19</v>
      </c>
      <c r="H412" t="s">
        <v>30</v>
      </c>
      <c r="I412">
        <v>8</v>
      </c>
      <c r="J412" s="3">
        <v>14.54</v>
      </c>
      <c r="K412" s="4">
        <v>0.05</v>
      </c>
      <c r="L412" s="3">
        <v>110.5</v>
      </c>
      <c r="M412" s="3">
        <v>67.430000000000007</v>
      </c>
      <c r="N412" s="3">
        <v>43.07</v>
      </c>
    </row>
    <row r="413" spans="1:14" x14ac:dyDescent="0.35">
      <c r="A413" t="s">
        <v>467</v>
      </c>
      <c r="B413" s="2">
        <v>45810</v>
      </c>
      <c r="C413" t="s">
        <v>40</v>
      </c>
      <c r="D413" t="s">
        <v>71</v>
      </c>
      <c r="E413" t="s">
        <v>53</v>
      </c>
      <c r="F413" t="s">
        <v>66</v>
      </c>
      <c r="G413" t="s">
        <v>29</v>
      </c>
      <c r="H413" t="s">
        <v>30</v>
      </c>
      <c r="I413">
        <v>1</v>
      </c>
      <c r="J413" s="3">
        <v>24.2</v>
      </c>
      <c r="K413" s="4">
        <v>0</v>
      </c>
      <c r="L413" s="3">
        <v>24.2</v>
      </c>
      <c r="M413" s="3">
        <v>18.68</v>
      </c>
      <c r="N413" s="3">
        <v>5.52</v>
      </c>
    </row>
    <row r="414" spans="1:14" x14ac:dyDescent="0.35">
      <c r="A414" t="s">
        <v>468</v>
      </c>
      <c r="B414" s="2">
        <v>45810</v>
      </c>
      <c r="C414" t="s">
        <v>32</v>
      </c>
      <c r="D414" t="s">
        <v>33</v>
      </c>
      <c r="E414" t="s">
        <v>27</v>
      </c>
      <c r="F414" t="s">
        <v>28</v>
      </c>
      <c r="G414" t="s">
        <v>29</v>
      </c>
      <c r="H414" t="s">
        <v>20</v>
      </c>
      <c r="I414">
        <v>1</v>
      </c>
      <c r="J414" s="3">
        <v>128.78</v>
      </c>
      <c r="K414" s="4">
        <v>0</v>
      </c>
      <c r="L414" s="3">
        <v>128.78</v>
      </c>
      <c r="M414" s="3">
        <v>68.05</v>
      </c>
      <c r="N414" s="3">
        <v>60.73</v>
      </c>
    </row>
    <row r="415" spans="1:14" x14ac:dyDescent="0.35">
      <c r="A415" t="s">
        <v>469</v>
      </c>
      <c r="B415" s="2">
        <v>45810</v>
      </c>
      <c r="C415" t="s">
        <v>40</v>
      </c>
      <c r="D415" t="s">
        <v>71</v>
      </c>
      <c r="E415" t="s">
        <v>37</v>
      </c>
      <c r="F415" t="s">
        <v>75</v>
      </c>
      <c r="G415" t="s">
        <v>19</v>
      </c>
      <c r="H415" t="s">
        <v>30</v>
      </c>
      <c r="I415">
        <v>6</v>
      </c>
      <c r="J415" s="3">
        <v>28.66</v>
      </c>
      <c r="K415" s="4">
        <v>0.15</v>
      </c>
      <c r="L415" s="3">
        <v>146.16999999999999</v>
      </c>
      <c r="M415" s="3">
        <v>111.72</v>
      </c>
      <c r="N415" s="3">
        <v>34.450000000000003</v>
      </c>
    </row>
    <row r="416" spans="1:14" x14ac:dyDescent="0.35">
      <c r="A416" t="s">
        <v>470</v>
      </c>
      <c r="B416" s="2">
        <v>45810</v>
      </c>
      <c r="C416" t="s">
        <v>40</v>
      </c>
      <c r="D416" t="s">
        <v>71</v>
      </c>
      <c r="E416" t="s">
        <v>53</v>
      </c>
      <c r="F416" t="s">
        <v>54</v>
      </c>
      <c r="G416" t="s">
        <v>29</v>
      </c>
      <c r="H416" t="s">
        <v>30</v>
      </c>
      <c r="I416">
        <v>6</v>
      </c>
      <c r="J416" s="3">
        <v>9.44</v>
      </c>
      <c r="K416" s="4">
        <v>0.1</v>
      </c>
      <c r="L416" s="3">
        <v>50.98</v>
      </c>
      <c r="M416" s="3">
        <v>35.270000000000003</v>
      </c>
      <c r="N416" s="3">
        <v>15.71</v>
      </c>
    </row>
    <row r="417" spans="1:14" x14ac:dyDescent="0.35">
      <c r="A417" t="s">
        <v>471</v>
      </c>
      <c r="B417" s="2">
        <v>45811</v>
      </c>
      <c r="C417" t="s">
        <v>25</v>
      </c>
      <c r="D417" t="s">
        <v>74</v>
      </c>
      <c r="E417" t="s">
        <v>27</v>
      </c>
      <c r="F417" t="s">
        <v>48</v>
      </c>
      <c r="G417" t="s">
        <v>29</v>
      </c>
      <c r="H417" t="s">
        <v>20</v>
      </c>
      <c r="I417">
        <v>12</v>
      </c>
      <c r="J417" s="3">
        <v>310.41000000000003</v>
      </c>
      <c r="K417" s="4">
        <v>0.05</v>
      </c>
      <c r="L417" s="3">
        <v>3538.67</v>
      </c>
      <c r="M417" s="3">
        <v>2894.59</v>
      </c>
      <c r="N417" s="3">
        <v>644.08000000000004</v>
      </c>
    </row>
    <row r="418" spans="1:14" x14ac:dyDescent="0.35">
      <c r="A418" t="s">
        <v>472</v>
      </c>
      <c r="B418" s="2">
        <v>45811</v>
      </c>
      <c r="C418" t="s">
        <v>32</v>
      </c>
      <c r="D418" t="s">
        <v>57</v>
      </c>
      <c r="E418" t="s">
        <v>27</v>
      </c>
      <c r="F418" t="s">
        <v>48</v>
      </c>
      <c r="G418" t="s">
        <v>19</v>
      </c>
      <c r="H418" t="s">
        <v>20</v>
      </c>
      <c r="I418">
        <v>12</v>
      </c>
      <c r="J418" s="3">
        <v>272.23</v>
      </c>
      <c r="K418" s="4">
        <v>0.1</v>
      </c>
      <c r="L418" s="3">
        <v>2940.08</v>
      </c>
      <c r="M418" s="3">
        <v>2367.5</v>
      </c>
      <c r="N418" s="3">
        <v>572.58000000000004</v>
      </c>
    </row>
    <row r="419" spans="1:14" x14ac:dyDescent="0.35">
      <c r="A419" t="s">
        <v>473</v>
      </c>
      <c r="B419" s="2">
        <v>45811</v>
      </c>
      <c r="C419" t="s">
        <v>25</v>
      </c>
      <c r="D419" t="s">
        <v>26</v>
      </c>
      <c r="E419" t="s">
        <v>53</v>
      </c>
      <c r="F419" t="s">
        <v>83</v>
      </c>
      <c r="G419" t="s">
        <v>29</v>
      </c>
      <c r="H419" t="s">
        <v>20</v>
      </c>
      <c r="I419">
        <v>3</v>
      </c>
      <c r="J419" s="3">
        <v>16.12</v>
      </c>
      <c r="K419" s="4">
        <v>0</v>
      </c>
      <c r="L419" s="3">
        <v>48.36</v>
      </c>
      <c r="M419" s="3">
        <v>24.21</v>
      </c>
      <c r="N419" s="3">
        <v>24.15</v>
      </c>
    </row>
    <row r="420" spans="1:14" x14ac:dyDescent="0.35">
      <c r="A420" t="s">
        <v>474</v>
      </c>
      <c r="B420" s="2">
        <v>45811</v>
      </c>
      <c r="C420" t="s">
        <v>40</v>
      </c>
      <c r="D420" t="s">
        <v>50</v>
      </c>
      <c r="E420" t="s">
        <v>37</v>
      </c>
      <c r="F420" t="s">
        <v>75</v>
      </c>
      <c r="G420" t="s">
        <v>22</v>
      </c>
      <c r="H420" t="s">
        <v>30</v>
      </c>
      <c r="I420">
        <v>12</v>
      </c>
      <c r="J420" s="3">
        <v>20.69</v>
      </c>
      <c r="K420" s="4">
        <v>0.15</v>
      </c>
      <c r="L420" s="3">
        <v>211.04</v>
      </c>
      <c r="M420" s="3">
        <v>186.24</v>
      </c>
      <c r="N420" s="3">
        <v>24.8</v>
      </c>
    </row>
    <row r="421" spans="1:14" x14ac:dyDescent="0.35">
      <c r="A421" t="s">
        <v>475</v>
      </c>
      <c r="B421" s="2">
        <v>45811</v>
      </c>
      <c r="C421" t="s">
        <v>15</v>
      </c>
      <c r="D421" t="s">
        <v>46</v>
      </c>
      <c r="E421" t="s">
        <v>37</v>
      </c>
      <c r="F421" t="s">
        <v>42</v>
      </c>
      <c r="G421" t="s">
        <v>22</v>
      </c>
      <c r="H421" t="s">
        <v>23</v>
      </c>
      <c r="I421">
        <v>6</v>
      </c>
      <c r="J421" s="3">
        <v>20.32</v>
      </c>
      <c r="K421" s="4">
        <v>0.05</v>
      </c>
      <c r="L421" s="3">
        <v>115.82</v>
      </c>
      <c r="M421" s="3">
        <v>71.63</v>
      </c>
      <c r="N421" s="3">
        <v>44.19</v>
      </c>
    </row>
    <row r="422" spans="1:14" x14ac:dyDescent="0.35">
      <c r="A422" t="s">
        <v>476</v>
      </c>
      <c r="B422" s="2">
        <v>45812</v>
      </c>
      <c r="C422" t="s">
        <v>32</v>
      </c>
      <c r="D422" t="s">
        <v>57</v>
      </c>
      <c r="E422" t="s">
        <v>53</v>
      </c>
      <c r="F422" t="s">
        <v>83</v>
      </c>
      <c r="G422" t="s">
        <v>29</v>
      </c>
      <c r="H422" t="s">
        <v>30</v>
      </c>
      <c r="I422">
        <v>8</v>
      </c>
      <c r="J422" s="3">
        <v>13.31</v>
      </c>
      <c r="K422" s="4">
        <v>0.1</v>
      </c>
      <c r="L422" s="3">
        <v>95.83</v>
      </c>
      <c r="M422" s="3">
        <v>69.38</v>
      </c>
      <c r="N422" s="3">
        <v>26.45</v>
      </c>
    </row>
    <row r="423" spans="1:14" x14ac:dyDescent="0.35">
      <c r="A423" t="s">
        <v>477</v>
      </c>
      <c r="B423" s="2">
        <v>45812</v>
      </c>
      <c r="C423" t="s">
        <v>40</v>
      </c>
      <c r="D423" t="s">
        <v>50</v>
      </c>
      <c r="E423" t="s">
        <v>17</v>
      </c>
      <c r="F423" t="s">
        <v>87</v>
      </c>
      <c r="G423" t="s">
        <v>22</v>
      </c>
      <c r="H423" t="s">
        <v>23</v>
      </c>
      <c r="I423">
        <v>8</v>
      </c>
      <c r="J423" s="3">
        <v>16.579999999999998</v>
      </c>
      <c r="K423" s="4">
        <v>0.1</v>
      </c>
      <c r="L423" s="3">
        <v>119.38</v>
      </c>
      <c r="M423" s="3">
        <v>90.04</v>
      </c>
      <c r="N423" s="3">
        <v>29.34</v>
      </c>
    </row>
    <row r="424" spans="1:14" x14ac:dyDescent="0.35">
      <c r="A424" t="s">
        <v>478</v>
      </c>
      <c r="B424" s="2">
        <v>45812</v>
      </c>
      <c r="C424" t="s">
        <v>25</v>
      </c>
      <c r="D424" t="s">
        <v>97</v>
      </c>
      <c r="E424" t="s">
        <v>37</v>
      </c>
      <c r="F424" t="s">
        <v>42</v>
      </c>
      <c r="G424" t="s">
        <v>19</v>
      </c>
      <c r="H424" t="s">
        <v>20</v>
      </c>
      <c r="I424">
        <v>4</v>
      </c>
      <c r="J424" s="3">
        <v>17.940000000000001</v>
      </c>
      <c r="K424" s="4">
        <v>0.15</v>
      </c>
      <c r="L424" s="3">
        <v>61</v>
      </c>
      <c r="M424" s="3">
        <v>44.29</v>
      </c>
      <c r="N424" s="3">
        <v>16.71</v>
      </c>
    </row>
    <row r="425" spans="1:14" x14ac:dyDescent="0.35">
      <c r="A425" t="s">
        <v>479</v>
      </c>
      <c r="B425" s="2">
        <v>45812</v>
      </c>
      <c r="C425" t="s">
        <v>32</v>
      </c>
      <c r="D425" t="s">
        <v>57</v>
      </c>
      <c r="E425" t="s">
        <v>27</v>
      </c>
      <c r="F425" t="s">
        <v>79</v>
      </c>
      <c r="G425" t="s">
        <v>29</v>
      </c>
      <c r="H425" t="s">
        <v>23</v>
      </c>
      <c r="I425">
        <v>2</v>
      </c>
      <c r="J425" s="3">
        <v>103.94</v>
      </c>
      <c r="K425" s="4">
        <v>0.1</v>
      </c>
      <c r="L425" s="3">
        <v>187.09</v>
      </c>
      <c r="M425" s="3">
        <v>141.05000000000001</v>
      </c>
      <c r="N425" s="3">
        <v>46.04</v>
      </c>
    </row>
    <row r="426" spans="1:14" x14ac:dyDescent="0.35">
      <c r="A426" t="s">
        <v>480</v>
      </c>
      <c r="B426" s="2">
        <v>45812</v>
      </c>
      <c r="C426" t="s">
        <v>32</v>
      </c>
      <c r="D426" t="s">
        <v>36</v>
      </c>
      <c r="E426" t="s">
        <v>27</v>
      </c>
      <c r="F426" t="s">
        <v>48</v>
      </c>
      <c r="G426" t="s">
        <v>29</v>
      </c>
      <c r="H426" t="s">
        <v>20</v>
      </c>
      <c r="I426">
        <v>11</v>
      </c>
      <c r="J426" s="3">
        <v>270.14</v>
      </c>
      <c r="K426" s="4">
        <v>0</v>
      </c>
      <c r="L426" s="3">
        <v>2971.54</v>
      </c>
      <c r="M426" s="3">
        <v>1795.68</v>
      </c>
      <c r="N426" s="3">
        <v>1175.8599999999999</v>
      </c>
    </row>
    <row r="427" spans="1:14" x14ac:dyDescent="0.35">
      <c r="A427" t="s">
        <v>481</v>
      </c>
      <c r="B427" s="2">
        <v>45813</v>
      </c>
      <c r="C427" t="s">
        <v>32</v>
      </c>
      <c r="D427" t="s">
        <v>57</v>
      </c>
      <c r="E427" t="s">
        <v>27</v>
      </c>
      <c r="F427" t="s">
        <v>28</v>
      </c>
      <c r="G427" t="s">
        <v>29</v>
      </c>
      <c r="H427" t="s">
        <v>20</v>
      </c>
      <c r="I427">
        <v>11</v>
      </c>
      <c r="J427" s="3">
        <v>147.26</v>
      </c>
      <c r="K427" s="4">
        <v>0</v>
      </c>
      <c r="L427" s="3">
        <v>1619.86</v>
      </c>
      <c r="M427" s="3">
        <v>1055.92</v>
      </c>
      <c r="N427" s="3">
        <v>563.94000000000005</v>
      </c>
    </row>
    <row r="428" spans="1:14" x14ac:dyDescent="0.35">
      <c r="A428" t="s">
        <v>482</v>
      </c>
      <c r="B428" s="2">
        <v>45813</v>
      </c>
      <c r="C428" t="s">
        <v>32</v>
      </c>
      <c r="D428" t="s">
        <v>36</v>
      </c>
      <c r="E428" t="s">
        <v>37</v>
      </c>
      <c r="F428" t="s">
        <v>75</v>
      </c>
      <c r="G428" t="s">
        <v>19</v>
      </c>
      <c r="H428" t="s">
        <v>30</v>
      </c>
      <c r="I428">
        <v>6</v>
      </c>
      <c r="J428" s="3">
        <v>27.47</v>
      </c>
      <c r="K428" s="4">
        <v>0.1</v>
      </c>
      <c r="L428" s="3">
        <v>148.34</v>
      </c>
      <c r="M428" s="3">
        <v>118.87</v>
      </c>
      <c r="N428" s="3">
        <v>29.47</v>
      </c>
    </row>
    <row r="429" spans="1:14" x14ac:dyDescent="0.35">
      <c r="A429" t="s">
        <v>483</v>
      </c>
      <c r="B429" s="2">
        <v>45814</v>
      </c>
      <c r="C429" t="s">
        <v>32</v>
      </c>
      <c r="D429" t="s">
        <v>57</v>
      </c>
      <c r="E429" t="s">
        <v>17</v>
      </c>
      <c r="F429" t="s">
        <v>44</v>
      </c>
      <c r="G429" t="s">
        <v>29</v>
      </c>
      <c r="H429" t="s">
        <v>23</v>
      </c>
      <c r="I429">
        <v>9</v>
      </c>
      <c r="J429" s="3">
        <v>15.55</v>
      </c>
      <c r="K429" s="4">
        <v>0.15</v>
      </c>
      <c r="L429" s="3">
        <v>118.96</v>
      </c>
      <c r="M429" s="3">
        <v>103.51</v>
      </c>
      <c r="N429" s="3">
        <v>15.45</v>
      </c>
    </row>
    <row r="430" spans="1:14" x14ac:dyDescent="0.35">
      <c r="A430" t="s">
        <v>484</v>
      </c>
      <c r="B430" s="2">
        <v>45814</v>
      </c>
      <c r="C430" t="s">
        <v>40</v>
      </c>
      <c r="D430" t="s">
        <v>41</v>
      </c>
      <c r="E430" t="s">
        <v>53</v>
      </c>
      <c r="F430" t="s">
        <v>66</v>
      </c>
      <c r="G430" t="s">
        <v>22</v>
      </c>
      <c r="H430" t="s">
        <v>20</v>
      </c>
      <c r="I430">
        <v>6</v>
      </c>
      <c r="J430" s="3">
        <v>24.9</v>
      </c>
      <c r="K430" s="4">
        <v>0</v>
      </c>
      <c r="L430" s="3">
        <v>149.4</v>
      </c>
      <c r="M430" s="3">
        <v>71.930000000000007</v>
      </c>
      <c r="N430" s="3">
        <v>77.47</v>
      </c>
    </row>
    <row r="431" spans="1:14" x14ac:dyDescent="0.35">
      <c r="A431" t="s">
        <v>485</v>
      </c>
      <c r="B431" s="2">
        <v>45815</v>
      </c>
      <c r="C431" t="s">
        <v>25</v>
      </c>
      <c r="D431" t="s">
        <v>26</v>
      </c>
      <c r="E431" t="s">
        <v>17</v>
      </c>
      <c r="F431" t="s">
        <v>34</v>
      </c>
      <c r="G431" t="s">
        <v>19</v>
      </c>
      <c r="H431" t="s">
        <v>23</v>
      </c>
      <c r="I431">
        <v>1</v>
      </c>
      <c r="J431" s="3">
        <v>17.260000000000002</v>
      </c>
      <c r="K431" s="4">
        <v>0</v>
      </c>
      <c r="L431" s="3">
        <v>17.260000000000002</v>
      </c>
      <c r="M431" s="3">
        <v>10.029999999999999</v>
      </c>
      <c r="N431" s="3">
        <v>7.23</v>
      </c>
    </row>
    <row r="432" spans="1:14" x14ac:dyDescent="0.35">
      <c r="A432" t="s">
        <v>486</v>
      </c>
      <c r="B432" s="2">
        <v>45815</v>
      </c>
      <c r="C432" t="s">
        <v>32</v>
      </c>
      <c r="D432" t="s">
        <v>57</v>
      </c>
      <c r="E432" t="s">
        <v>27</v>
      </c>
      <c r="F432" t="s">
        <v>28</v>
      </c>
      <c r="G432" t="s">
        <v>19</v>
      </c>
      <c r="H432" t="s">
        <v>30</v>
      </c>
      <c r="I432">
        <v>5</v>
      </c>
      <c r="J432" s="3">
        <v>144.25</v>
      </c>
      <c r="K432" s="4">
        <v>0.1</v>
      </c>
      <c r="L432" s="3">
        <v>649.12</v>
      </c>
      <c r="M432" s="3">
        <v>535.97</v>
      </c>
      <c r="N432" s="3">
        <v>113.15</v>
      </c>
    </row>
    <row r="433" spans="1:14" x14ac:dyDescent="0.35">
      <c r="A433" t="s">
        <v>487</v>
      </c>
      <c r="B433" s="2">
        <v>45815</v>
      </c>
      <c r="C433" t="s">
        <v>25</v>
      </c>
      <c r="D433" t="s">
        <v>74</v>
      </c>
      <c r="E433" t="s">
        <v>37</v>
      </c>
      <c r="F433" t="s">
        <v>51</v>
      </c>
      <c r="G433" t="s">
        <v>22</v>
      </c>
      <c r="H433" t="s">
        <v>20</v>
      </c>
      <c r="I433">
        <v>9</v>
      </c>
      <c r="J433" s="3">
        <v>38.21</v>
      </c>
      <c r="K433" s="4">
        <v>0.1</v>
      </c>
      <c r="L433" s="3">
        <v>309.5</v>
      </c>
      <c r="M433" s="3">
        <v>215.83</v>
      </c>
      <c r="N433" s="3">
        <v>93.67</v>
      </c>
    </row>
    <row r="434" spans="1:14" x14ac:dyDescent="0.35">
      <c r="A434" t="s">
        <v>488</v>
      </c>
      <c r="B434" s="2">
        <v>45816</v>
      </c>
      <c r="C434" t="s">
        <v>25</v>
      </c>
      <c r="D434" t="s">
        <v>26</v>
      </c>
      <c r="E434" t="s">
        <v>53</v>
      </c>
      <c r="F434" t="s">
        <v>54</v>
      </c>
      <c r="G434" t="s">
        <v>29</v>
      </c>
      <c r="H434" t="s">
        <v>30</v>
      </c>
      <c r="I434">
        <v>11</v>
      </c>
      <c r="J434" s="3">
        <v>9.4</v>
      </c>
      <c r="K434" s="4">
        <v>0</v>
      </c>
      <c r="L434" s="3">
        <v>103.4</v>
      </c>
      <c r="M434" s="3">
        <v>57.98</v>
      </c>
      <c r="N434" s="3">
        <v>45.42</v>
      </c>
    </row>
    <row r="435" spans="1:14" x14ac:dyDescent="0.35">
      <c r="A435" t="s">
        <v>489</v>
      </c>
      <c r="B435" s="2">
        <v>45816</v>
      </c>
      <c r="C435" t="s">
        <v>15</v>
      </c>
      <c r="D435" t="s">
        <v>46</v>
      </c>
      <c r="E435" t="s">
        <v>17</v>
      </c>
      <c r="F435" t="s">
        <v>18</v>
      </c>
      <c r="G435" t="s">
        <v>29</v>
      </c>
      <c r="H435" t="s">
        <v>30</v>
      </c>
      <c r="I435">
        <v>7</v>
      </c>
      <c r="J435" s="3">
        <v>78.77</v>
      </c>
      <c r="K435" s="4">
        <v>0.15</v>
      </c>
      <c r="L435" s="3">
        <v>468.68</v>
      </c>
      <c r="M435" s="3">
        <v>285.72000000000003</v>
      </c>
      <c r="N435" s="3">
        <v>182.96</v>
      </c>
    </row>
    <row r="436" spans="1:14" x14ac:dyDescent="0.35">
      <c r="A436" t="s">
        <v>490</v>
      </c>
      <c r="B436" s="2">
        <v>45816</v>
      </c>
      <c r="C436" t="s">
        <v>40</v>
      </c>
      <c r="D436" t="s">
        <v>41</v>
      </c>
      <c r="E436" t="s">
        <v>37</v>
      </c>
      <c r="F436" t="s">
        <v>75</v>
      </c>
      <c r="G436" t="s">
        <v>22</v>
      </c>
      <c r="H436" t="s">
        <v>30</v>
      </c>
      <c r="I436">
        <v>2</v>
      </c>
      <c r="J436" s="3">
        <v>24.22</v>
      </c>
      <c r="K436" s="4">
        <v>0</v>
      </c>
      <c r="L436" s="3">
        <v>48.44</v>
      </c>
      <c r="M436" s="3">
        <v>36.82</v>
      </c>
      <c r="N436" s="3">
        <v>11.62</v>
      </c>
    </row>
    <row r="437" spans="1:14" x14ac:dyDescent="0.35">
      <c r="A437" t="s">
        <v>491</v>
      </c>
      <c r="B437" s="2">
        <v>45816</v>
      </c>
      <c r="C437" t="s">
        <v>40</v>
      </c>
      <c r="D437" t="s">
        <v>41</v>
      </c>
      <c r="E437" t="s">
        <v>53</v>
      </c>
      <c r="F437" t="s">
        <v>54</v>
      </c>
      <c r="G437" t="s">
        <v>22</v>
      </c>
      <c r="H437" t="s">
        <v>23</v>
      </c>
      <c r="I437">
        <v>12</v>
      </c>
      <c r="J437" s="3">
        <v>7.6</v>
      </c>
      <c r="K437" s="4">
        <v>0</v>
      </c>
      <c r="L437" s="3">
        <v>91.2</v>
      </c>
      <c r="M437" s="3">
        <v>47.37</v>
      </c>
      <c r="N437" s="3">
        <v>43.83</v>
      </c>
    </row>
    <row r="438" spans="1:14" x14ac:dyDescent="0.35">
      <c r="A438" t="s">
        <v>492</v>
      </c>
      <c r="B438" s="2">
        <v>45817</v>
      </c>
      <c r="C438" t="s">
        <v>40</v>
      </c>
      <c r="D438" t="s">
        <v>71</v>
      </c>
      <c r="E438" t="s">
        <v>17</v>
      </c>
      <c r="F438" t="s">
        <v>18</v>
      </c>
      <c r="G438" t="s">
        <v>22</v>
      </c>
      <c r="H438" t="s">
        <v>30</v>
      </c>
      <c r="I438">
        <v>8</v>
      </c>
      <c r="J438" s="3">
        <v>78.760000000000005</v>
      </c>
      <c r="K438" s="4">
        <v>0</v>
      </c>
      <c r="L438" s="3">
        <v>630.08000000000004</v>
      </c>
      <c r="M438" s="3">
        <v>364.86</v>
      </c>
      <c r="N438" s="3">
        <v>265.22000000000003</v>
      </c>
    </row>
    <row r="439" spans="1:14" x14ac:dyDescent="0.35">
      <c r="A439" t="s">
        <v>493</v>
      </c>
      <c r="B439" s="2">
        <v>45817</v>
      </c>
      <c r="C439" t="s">
        <v>25</v>
      </c>
      <c r="D439" t="s">
        <v>74</v>
      </c>
      <c r="E439" t="s">
        <v>53</v>
      </c>
      <c r="F439" t="s">
        <v>115</v>
      </c>
      <c r="G439" t="s">
        <v>19</v>
      </c>
      <c r="H439" t="s">
        <v>30</v>
      </c>
      <c r="I439">
        <v>7</v>
      </c>
      <c r="J439" s="3">
        <v>12.31</v>
      </c>
      <c r="K439" s="4">
        <v>0.05</v>
      </c>
      <c r="L439" s="3">
        <v>81.86</v>
      </c>
      <c r="M439" s="3">
        <v>45.68</v>
      </c>
      <c r="N439" s="3">
        <v>36.18</v>
      </c>
    </row>
    <row r="440" spans="1:14" x14ac:dyDescent="0.35">
      <c r="A440" t="s">
        <v>494</v>
      </c>
      <c r="B440" s="2">
        <v>45818</v>
      </c>
      <c r="C440" t="s">
        <v>25</v>
      </c>
      <c r="D440" t="s">
        <v>97</v>
      </c>
      <c r="E440" t="s">
        <v>53</v>
      </c>
      <c r="F440" t="s">
        <v>66</v>
      </c>
      <c r="G440" t="s">
        <v>22</v>
      </c>
      <c r="H440" t="s">
        <v>30</v>
      </c>
      <c r="I440">
        <v>7</v>
      </c>
      <c r="J440" s="3">
        <v>18.809999999999999</v>
      </c>
      <c r="K440" s="4">
        <v>0.05</v>
      </c>
      <c r="L440" s="3">
        <v>125.09</v>
      </c>
      <c r="M440" s="3">
        <v>81.260000000000005</v>
      </c>
      <c r="N440" s="3">
        <v>43.83</v>
      </c>
    </row>
    <row r="441" spans="1:14" x14ac:dyDescent="0.35">
      <c r="A441" t="s">
        <v>495</v>
      </c>
      <c r="B441" s="2">
        <v>45818</v>
      </c>
      <c r="C441" t="s">
        <v>40</v>
      </c>
      <c r="D441" t="s">
        <v>50</v>
      </c>
      <c r="E441" t="s">
        <v>17</v>
      </c>
      <c r="F441" t="s">
        <v>34</v>
      </c>
      <c r="G441" t="s">
        <v>19</v>
      </c>
      <c r="H441" t="s">
        <v>23</v>
      </c>
      <c r="I441">
        <v>3</v>
      </c>
      <c r="J441" s="3">
        <v>17.38</v>
      </c>
      <c r="K441" s="4">
        <v>0.05</v>
      </c>
      <c r="L441" s="3">
        <v>49.53</v>
      </c>
      <c r="M441" s="3">
        <v>35.14</v>
      </c>
      <c r="N441" s="3">
        <v>14.39</v>
      </c>
    </row>
    <row r="442" spans="1:14" x14ac:dyDescent="0.35">
      <c r="A442" t="s">
        <v>496</v>
      </c>
      <c r="B442" s="2">
        <v>45818</v>
      </c>
      <c r="C442" t="s">
        <v>15</v>
      </c>
      <c r="D442" t="s">
        <v>46</v>
      </c>
      <c r="E442" t="s">
        <v>37</v>
      </c>
      <c r="F442" t="s">
        <v>42</v>
      </c>
      <c r="G442" t="s">
        <v>19</v>
      </c>
      <c r="H442" t="s">
        <v>23</v>
      </c>
      <c r="I442">
        <v>2</v>
      </c>
      <c r="J442" s="3">
        <v>15.38</v>
      </c>
      <c r="K442" s="4">
        <v>0</v>
      </c>
      <c r="L442" s="3">
        <v>30.76</v>
      </c>
      <c r="M442" s="3">
        <v>19.61</v>
      </c>
      <c r="N442" s="3">
        <v>11.15</v>
      </c>
    </row>
    <row r="443" spans="1:14" x14ac:dyDescent="0.35">
      <c r="A443" t="s">
        <v>497</v>
      </c>
      <c r="B443" s="2">
        <v>45818</v>
      </c>
      <c r="C443" t="s">
        <v>15</v>
      </c>
      <c r="D443" t="s">
        <v>16</v>
      </c>
      <c r="E443" t="s">
        <v>17</v>
      </c>
      <c r="F443" t="s">
        <v>44</v>
      </c>
      <c r="G443" t="s">
        <v>19</v>
      </c>
      <c r="H443" t="s">
        <v>30</v>
      </c>
      <c r="I443">
        <v>5</v>
      </c>
      <c r="J443" s="3">
        <v>13.95</v>
      </c>
      <c r="K443" s="4">
        <v>0.15</v>
      </c>
      <c r="L443" s="3">
        <v>59.29</v>
      </c>
      <c r="M443" s="3">
        <v>37.450000000000003</v>
      </c>
      <c r="N443" s="3">
        <v>21.84</v>
      </c>
    </row>
    <row r="444" spans="1:14" x14ac:dyDescent="0.35">
      <c r="A444" t="s">
        <v>498</v>
      </c>
      <c r="B444" s="2">
        <v>45818</v>
      </c>
      <c r="C444" t="s">
        <v>15</v>
      </c>
      <c r="D444" t="s">
        <v>59</v>
      </c>
      <c r="E444" t="s">
        <v>17</v>
      </c>
      <c r="F444" t="s">
        <v>87</v>
      </c>
      <c r="G444" t="s">
        <v>29</v>
      </c>
      <c r="H444" t="s">
        <v>20</v>
      </c>
      <c r="I444">
        <v>7</v>
      </c>
      <c r="J444" s="3">
        <v>15.28</v>
      </c>
      <c r="K444" s="4">
        <v>0.1</v>
      </c>
      <c r="L444" s="3">
        <v>96.26</v>
      </c>
      <c r="M444" s="3">
        <v>67.44</v>
      </c>
      <c r="N444" s="3">
        <v>28.82</v>
      </c>
    </row>
    <row r="445" spans="1:14" x14ac:dyDescent="0.35">
      <c r="A445" t="s">
        <v>499</v>
      </c>
      <c r="B445" s="2">
        <v>45819</v>
      </c>
      <c r="C445" t="s">
        <v>32</v>
      </c>
      <c r="D445" t="s">
        <v>36</v>
      </c>
      <c r="E445" t="s">
        <v>17</v>
      </c>
      <c r="F445" t="s">
        <v>18</v>
      </c>
      <c r="G445" t="s">
        <v>22</v>
      </c>
      <c r="H445" t="s">
        <v>20</v>
      </c>
      <c r="I445">
        <v>2</v>
      </c>
      <c r="J445" s="3">
        <v>66.52</v>
      </c>
      <c r="K445" s="4">
        <v>0.15</v>
      </c>
      <c r="L445" s="3">
        <v>113.08</v>
      </c>
      <c r="M445" s="3">
        <v>98.84</v>
      </c>
      <c r="N445" s="3">
        <v>14.24</v>
      </c>
    </row>
    <row r="446" spans="1:14" x14ac:dyDescent="0.35">
      <c r="A446" t="s">
        <v>500</v>
      </c>
      <c r="B446" s="2">
        <v>45819</v>
      </c>
      <c r="C446" t="s">
        <v>40</v>
      </c>
      <c r="D446" t="s">
        <v>50</v>
      </c>
      <c r="E446" t="s">
        <v>17</v>
      </c>
      <c r="F446" t="s">
        <v>18</v>
      </c>
      <c r="G446" t="s">
        <v>22</v>
      </c>
      <c r="H446" t="s">
        <v>20</v>
      </c>
      <c r="I446">
        <v>6</v>
      </c>
      <c r="J446" s="3">
        <v>72.61</v>
      </c>
      <c r="K446" s="4">
        <v>0</v>
      </c>
      <c r="L446" s="3">
        <v>435.66</v>
      </c>
      <c r="M446" s="3">
        <v>218.88</v>
      </c>
      <c r="N446" s="3">
        <v>216.78</v>
      </c>
    </row>
    <row r="447" spans="1:14" x14ac:dyDescent="0.35">
      <c r="A447" t="s">
        <v>501</v>
      </c>
      <c r="B447" s="2">
        <v>45819</v>
      </c>
      <c r="C447" t="s">
        <v>40</v>
      </c>
      <c r="D447" t="s">
        <v>50</v>
      </c>
      <c r="E447" t="s">
        <v>27</v>
      </c>
      <c r="F447" t="s">
        <v>48</v>
      </c>
      <c r="G447" t="s">
        <v>19</v>
      </c>
      <c r="H447" t="s">
        <v>30</v>
      </c>
      <c r="I447">
        <v>9</v>
      </c>
      <c r="J447" s="3">
        <v>264.08</v>
      </c>
      <c r="K447" s="4">
        <v>0</v>
      </c>
      <c r="L447" s="3">
        <v>2376.7199999999998</v>
      </c>
      <c r="M447" s="3">
        <v>1677.93</v>
      </c>
      <c r="N447" s="3">
        <v>698.79</v>
      </c>
    </row>
    <row r="448" spans="1:14" x14ac:dyDescent="0.35">
      <c r="A448" t="s">
        <v>502</v>
      </c>
      <c r="B448" s="2">
        <v>45820</v>
      </c>
      <c r="C448" t="s">
        <v>25</v>
      </c>
      <c r="D448" t="s">
        <v>97</v>
      </c>
      <c r="E448" t="s">
        <v>17</v>
      </c>
      <c r="F448" t="s">
        <v>34</v>
      </c>
      <c r="G448" t="s">
        <v>19</v>
      </c>
      <c r="H448" t="s">
        <v>20</v>
      </c>
      <c r="I448">
        <v>2</v>
      </c>
      <c r="J448" s="3">
        <v>20.39</v>
      </c>
      <c r="K448" s="4">
        <v>0.1</v>
      </c>
      <c r="L448" s="3">
        <v>36.700000000000003</v>
      </c>
      <c r="M448" s="3">
        <v>27.33</v>
      </c>
      <c r="N448" s="3">
        <v>9.3699999999999992</v>
      </c>
    </row>
    <row r="449" spans="1:14" x14ac:dyDescent="0.35">
      <c r="A449" t="s">
        <v>503</v>
      </c>
      <c r="B449" s="2">
        <v>45820</v>
      </c>
      <c r="C449" t="s">
        <v>15</v>
      </c>
      <c r="D449" t="s">
        <v>46</v>
      </c>
      <c r="E449" t="s">
        <v>53</v>
      </c>
      <c r="F449" t="s">
        <v>83</v>
      </c>
      <c r="G449" t="s">
        <v>22</v>
      </c>
      <c r="H449" t="s">
        <v>23</v>
      </c>
      <c r="I449">
        <v>10</v>
      </c>
      <c r="J449" s="3">
        <v>14.96</v>
      </c>
      <c r="K449" s="4">
        <v>0.15</v>
      </c>
      <c r="L449" s="3">
        <v>127.16</v>
      </c>
      <c r="M449" s="3">
        <v>102.46</v>
      </c>
      <c r="N449" s="3">
        <v>24.7</v>
      </c>
    </row>
    <row r="450" spans="1:14" x14ac:dyDescent="0.35">
      <c r="A450" t="s">
        <v>504</v>
      </c>
      <c r="B450" s="2">
        <v>45820</v>
      </c>
      <c r="C450" t="s">
        <v>40</v>
      </c>
      <c r="D450" t="s">
        <v>71</v>
      </c>
      <c r="E450" t="s">
        <v>27</v>
      </c>
      <c r="F450" t="s">
        <v>28</v>
      </c>
      <c r="G450" t="s">
        <v>19</v>
      </c>
      <c r="H450" t="s">
        <v>20</v>
      </c>
      <c r="I450">
        <v>12</v>
      </c>
      <c r="J450" s="3">
        <v>158.80000000000001</v>
      </c>
      <c r="K450" s="4">
        <v>0.15</v>
      </c>
      <c r="L450" s="3">
        <v>1619.76</v>
      </c>
      <c r="M450" s="3">
        <v>1236.8900000000001</v>
      </c>
      <c r="N450" s="3">
        <v>382.87</v>
      </c>
    </row>
    <row r="451" spans="1:14" x14ac:dyDescent="0.35">
      <c r="A451" t="s">
        <v>505</v>
      </c>
      <c r="B451" s="2">
        <v>45820</v>
      </c>
      <c r="C451" t="s">
        <v>25</v>
      </c>
      <c r="D451" t="s">
        <v>74</v>
      </c>
      <c r="E451" t="s">
        <v>37</v>
      </c>
      <c r="F451" t="s">
        <v>51</v>
      </c>
      <c r="G451" t="s">
        <v>29</v>
      </c>
      <c r="H451" t="s">
        <v>30</v>
      </c>
      <c r="I451">
        <v>8</v>
      </c>
      <c r="J451" s="3">
        <v>37.659999999999997</v>
      </c>
      <c r="K451" s="4">
        <v>0.1</v>
      </c>
      <c r="L451" s="3">
        <v>271.14999999999998</v>
      </c>
      <c r="M451" s="3">
        <v>222.73</v>
      </c>
      <c r="N451" s="3">
        <v>48.42</v>
      </c>
    </row>
    <row r="452" spans="1:14" x14ac:dyDescent="0.35">
      <c r="A452" t="s">
        <v>506</v>
      </c>
      <c r="B452" s="2">
        <v>45821</v>
      </c>
      <c r="C452" t="s">
        <v>32</v>
      </c>
      <c r="D452" t="s">
        <v>33</v>
      </c>
      <c r="E452" t="s">
        <v>27</v>
      </c>
      <c r="F452" t="s">
        <v>68</v>
      </c>
      <c r="G452" t="s">
        <v>19</v>
      </c>
      <c r="H452" t="s">
        <v>23</v>
      </c>
      <c r="I452">
        <v>5</v>
      </c>
      <c r="J452" s="3">
        <v>43.95</v>
      </c>
      <c r="K452" s="4">
        <v>0.15</v>
      </c>
      <c r="L452" s="3">
        <v>186.79</v>
      </c>
      <c r="M452" s="3">
        <v>120.05</v>
      </c>
      <c r="N452" s="3">
        <v>66.739999999999995</v>
      </c>
    </row>
    <row r="453" spans="1:14" x14ac:dyDescent="0.35">
      <c r="A453" t="s">
        <v>507</v>
      </c>
      <c r="B453" s="2">
        <v>45822</v>
      </c>
      <c r="C453" t="s">
        <v>40</v>
      </c>
      <c r="D453" t="s">
        <v>71</v>
      </c>
      <c r="E453" t="s">
        <v>17</v>
      </c>
      <c r="F453" t="s">
        <v>34</v>
      </c>
      <c r="G453" t="s">
        <v>29</v>
      </c>
      <c r="H453" t="s">
        <v>23</v>
      </c>
      <c r="I453">
        <v>8</v>
      </c>
      <c r="J453" s="3">
        <v>21.73</v>
      </c>
      <c r="K453" s="4">
        <v>0.15</v>
      </c>
      <c r="L453" s="3">
        <v>147.76</v>
      </c>
      <c r="M453" s="3">
        <v>108.12</v>
      </c>
      <c r="N453" s="3">
        <v>39.64</v>
      </c>
    </row>
    <row r="454" spans="1:14" x14ac:dyDescent="0.35">
      <c r="A454" t="s">
        <v>508</v>
      </c>
      <c r="B454" s="2">
        <v>45822</v>
      </c>
      <c r="C454" t="s">
        <v>32</v>
      </c>
      <c r="D454" t="s">
        <v>36</v>
      </c>
      <c r="E454" t="s">
        <v>27</v>
      </c>
      <c r="F454" t="s">
        <v>48</v>
      </c>
      <c r="G454" t="s">
        <v>29</v>
      </c>
      <c r="H454" t="s">
        <v>30</v>
      </c>
      <c r="I454">
        <v>8</v>
      </c>
      <c r="J454" s="3">
        <v>269.56</v>
      </c>
      <c r="K454" s="4">
        <v>0.05</v>
      </c>
      <c r="L454" s="3">
        <v>2048.66</v>
      </c>
      <c r="M454" s="3">
        <v>1234.6400000000001</v>
      </c>
      <c r="N454" s="3">
        <v>814.02</v>
      </c>
    </row>
    <row r="455" spans="1:14" x14ac:dyDescent="0.35">
      <c r="A455" t="s">
        <v>509</v>
      </c>
      <c r="B455" s="2">
        <v>45823</v>
      </c>
      <c r="C455" t="s">
        <v>25</v>
      </c>
      <c r="D455" t="s">
        <v>74</v>
      </c>
      <c r="E455" t="s">
        <v>53</v>
      </c>
      <c r="F455" t="s">
        <v>115</v>
      </c>
      <c r="G455" t="s">
        <v>29</v>
      </c>
      <c r="H455" t="s">
        <v>20</v>
      </c>
      <c r="I455">
        <v>2</v>
      </c>
      <c r="J455" s="3">
        <v>10.68</v>
      </c>
      <c r="K455" s="4">
        <v>0.1</v>
      </c>
      <c r="L455" s="3">
        <v>19.22</v>
      </c>
      <c r="M455" s="3">
        <v>14.32</v>
      </c>
      <c r="N455" s="3">
        <v>4.9000000000000004</v>
      </c>
    </row>
    <row r="456" spans="1:14" x14ac:dyDescent="0.35">
      <c r="A456" t="s">
        <v>510</v>
      </c>
      <c r="B456" s="2">
        <v>45823</v>
      </c>
      <c r="C456" t="s">
        <v>15</v>
      </c>
      <c r="D456" t="s">
        <v>16</v>
      </c>
      <c r="E456" t="s">
        <v>37</v>
      </c>
      <c r="F456" t="s">
        <v>38</v>
      </c>
      <c r="G456" t="s">
        <v>29</v>
      </c>
      <c r="H456" t="s">
        <v>30</v>
      </c>
      <c r="I456">
        <v>12</v>
      </c>
      <c r="J456" s="3">
        <v>51.82</v>
      </c>
      <c r="K456" s="4">
        <v>0.15</v>
      </c>
      <c r="L456" s="3">
        <v>528.55999999999995</v>
      </c>
      <c r="M456" s="3">
        <v>404.85</v>
      </c>
      <c r="N456" s="3">
        <v>123.71</v>
      </c>
    </row>
    <row r="457" spans="1:14" x14ac:dyDescent="0.35">
      <c r="A457" t="s">
        <v>511</v>
      </c>
      <c r="B457" s="2">
        <v>45823</v>
      </c>
      <c r="C457" t="s">
        <v>32</v>
      </c>
      <c r="D457" t="s">
        <v>36</v>
      </c>
      <c r="E457" t="s">
        <v>27</v>
      </c>
      <c r="F457" t="s">
        <v>68</v>
      </c>
      <c r="G457" t="s">
        <v>22</v>
      </c>
      <c r="H457" t="s">
        <v>30</v>
      </c>
      <c r="I457">
        <v>2</v>
      </c>
      <c r="J457" s="3">
        <v>35.99</v>
      </c>
      <c r="K457" s="4">
        <v>0</v>
      </c>
      <c r="L457" s="3">
        <v>71.98</v>
      </c>
      <c r="M457" s="3">
        <v>42.82</v>
      </c>
      <c r="N457" s="3">
        <v>29.16</v>
      </c>
    </row>
    <row r="458" spans="1:14" x14ac:dyDescent="0.35">
      <c r="A458" t="s">
        <v>512</v>
      </c>
      <c r="B458" s="2">
        <v>45823</v>
      </c>
      <c r="C458" t="s">
        <v>32</v>
      </c>
      <c r="D458" t="s">
        <v>36</v>
      </c>
      <c r="E458" t="s">
        <v>53</v>
      </c>
      <c r="F458" t="s">
        <v>66</v>
      </c>
      <c r="G458" t="s">
        <v>22</v>
      </c>
      <c r="H458" t="s">
        <v>20</v>
      </c>
      <c r="I458">
        <v>9</v>
      </c>
      <c r="J458" s="3">
        <v>24.43</v>
      </c>
      <c r="K458" s="4">
        <v>0</v>
      </c>
      <c r="L458" s="3">
        <v>219.87</v>
      </c>
      <c r="M458" s="3">
        <v>122.07</v>
      </c>
      <c r="N458" s="3">
        <v>97.8</v>
      </c>
    </row>
    <row r="459" spans="1:14" x14ac:dyDescent="0.35">
      <c r="A459" t="s">
        <v>513</v>
      </c>
      <c r="B459" s="2">
        <v>45824</v>
      </c>
      <c r="C459" t="s">
        <v>40</v>
      </c>
      <c r="D459" t="s">
        <v>50</v>
      </c>
      <c r="E459" t="s">
        <v>53</v>
      </c>
      <c r="F459" t="s">
        <v>115</v>
      </c>
      <c r="G459" t="s">
        <v>19</v>
      </c>
      <c r="H459" t="s">
        <v>23</v>
      </c>
      <c r="I459">
        <v>6</v>
      </c>
      <c r="J459" s="3">
        <v>11.16</v>
      </c>
      <c r="K459" s="4">
        <v>0</v>
      </c>
      <c r="L459" s="3">
        <v>66.959999999999994</v>
      </c>
      <c r="M459" s="3">
        <v>46.96</v>
      </c>
      <c r="N459" s="3">
        <v>20</v>
      </c>
    </row>
    <row r="460" spans="1:14" x14ac:dyDescent="0.35">
      <c r="A460" t="s">
        <v>514</v>
      </c>
      <c r="B460" s="2">
        <v>45824</v>
      </c>
      <c r="C460" t="s">
        <v>15</v>
      </c>
      <c r="D460" t="s">
        <v>16</v>
      </c>
      <c r="E460" t="s">
        <v>37</v>
      </c>
      <c r="F460" t="s">
        <v>42</v>
      </c>
      <c r="G460" t="s">
        <v>19</v>
      </c>
      <c r="H460" t="s">
        <v>23</v>
      </c>
      <c r="I460">
        <v>3</v>
      </c>
      <c r="J460" s="3">
        <v>16.27</v>
      </c>
      <c r="K460" s="4">
        <v>0.05</v>
      </c>
      <c r="L460" s="3">
        <v>46.37</v>
      </c>
      <c r="M460" s="3">
        <v>31.75</v>
      </c>
      <c r="N460" s="3">
        <v>14.62</v>
      </c>
    </row>
    <row r="461" spans="1:14" x14ac:dyDescent="0.35">
      <c r="A461" t="s">
        <v>515</v>
      </c>
      <c r="B461" s="2">
        <v>45825</v>
      </c>
      <c r="C461" t="s">
        <v>32</v>
      </c>
      <c r="D461" t="s">
        <v>57</v>
      </c>
      <c r="E461" t="s">
        <v>37</v>
      </c>
      <c r="F461" t="s">
        <v>75</v>
      </c>
      <c r="G461" t="s">
        <v>29</v>
      </c>
      <c r="H461" t="s">
        <v>20</v>
      </c>
      <c r="I461">
        <v>1</v>
      </c>
      <c r="J461" s="3">
        <v>23.5</v>
      </c>
      <c r="K461" s="4">
        <v>0.05</v>
      </c>
      <c r="L461" s="3">
        <v>22.32</v>
      </c>
      <c r="M461" s="3">
        <v>15.25</v>
      </c>
      <c r="N461" s="3">
        <v>7.07</v>
      </c>
    </row>
    <row r="462" spans="1:14" x14ac:dyDescent="0.35">
      <c r="A462" t="s">
        <v>516</v>
      </c>
      <c r="B462" s="2">
        <v>45825</v>
      </c>
      <c r="C462" t="s">
        <v>15</v>
      </c>
      <c r="D462" t="s">
        <v>59</v>
      </c>
      <c r="E462" t="s">
        <v>53</v>
      </c>
      <c r="F462" t="s">
        <v>115</v>
      </c>
      <c r="G462" t="s">
        <v>22</v>
      </c>
      <c r="H462" t="s">
        <v>20</v>
      </c>
      <c r="I462">
        <v>11</v>
      </c>
      <c r="J462" s="3">
        <v>13.54</v>
      </c>
      <c r="K462" s="4">
        <v>0</v>
      </c>
      <c r="L462" s="3">
        <v>148.94</v>
      </c>
      <c r="M462" s="3">
        <v>109.54</v>
      </c>
      <c r="N462" s="3">
        <v>39.4</v>
      </c>
    </row>
    <row r="463" spans="1:14" x14ac:dyDescent="0.35">
      <c r="A463" t="s">
        <v>517</v>
      </c>
      <c r="B463" s="2">
        <v>45826</v>
      </c>
      <c r="C463" t="s">
        <v>25</v>
      </c>
      <c r="D463" t="s">
        <v>97</v>
      </c>
      <c r="E463" t="s">
        <v>53</v>
      </c>
      <c r="F463" t="s">
        <v>115</v>
      </c>
      <c r="G463" t="s">
        <v>29</v>
      </c>
      <c r="H463" t="s">
        <v>23</v>
      </c>
      <c r="I463">
        <v>8</v>
      </c>
      <c r="J463" s="3">
        <v>13.88</v>
      </c>
      <c r="K463" s="4">
        <v>0</v>
      </c>
      <c r="L463" s="3">
        <v>111.04</v>
      </c>
      <c r="M463" s="3">
        <v>69.819999999999993</v>
      </c>
      <c r="N463" s="3">
        <v>41.22</v>
      </c>
    </row>
    <row r="464" spans="1:14" x14ac:dyDescent="0.35">
      <c r="A464" t="s">
        <v>518</v>
      </c>
      <c r="B464" s="2">
        <v>45826</v>
      </c>
      <c r="C464" t="s">
        <v>32</v>
      </c>
      <c r="D464" t="s">
        <v>36</v>
      </c>
      <c r="E464" t="s">
        <v>27</v>
      </c>
      <c r="F464" t="s">
        <v>48</v>
      </c>
      <c r="G464" t="s">
        <v>22</v>
      </c>
      <c r="H464" t="s">
        <v>23</v>
      </c>
      <c r="I464">
        <v>10</v>
      </c>
      <c r="J464" s="3">
        <v>245.42</v>
      </c>
      <c r="K464" s="4">
        <v>0</v>
      </c>
      <c r="L464" s="3">
        <v>2454.1999999999998</v>
      </c>
      <c r="M464" s="3">
        <v>1452.36</v>
      </c>
      <c r="N464" s="3">
        <v>1001.84</v>
      </c>
    </row>
    <row r="465" spans="1:14" x14ac:dyDescent="0.35">
      <c r="A465" t="s">
        <v>519</v>
      </c>
      <c r="B465" s="2">
        <v>45827</v>
      </c>
      <c r="C465" t="s">
        <v>32</v>
      </c>
      <c r="D465" t="s">
        <v>33</v>
      </c>
      <c r="E465" t="s">
        <v>17</v>
      </c>
      <c r="F465" t="s">
        <v>87</v>
      </c>
      <c r="G465" t="s">
        <v>19</v>
      </c>
      <c r="H465" t="s">
        <v>20</v>
      </c>
      <c r="I465">
        <v>1</v>
      </c>
      <c r="J465" s="3">
        <v>12.65</v>
      </c>
      <c r="K465" s="4">
        <v>0.05</v>
      </c>
      <c r="L465" s="3">
        <v>12.02</v>
      </c>
      <c r="M465" s="3">
        <v>8.34</v>
      </c>
      <c r="N465" s="3">
        <v>3.68</v>
      </c>
    </row>
    <row r="466" spans="1:14" x14ac:dyDescent="0.35">
      <c r="A466" t="s">
        <v>520</v>
      </c>
      <c r="B466" s="2">
        <v>45827</v>
      </c>
      <c r="C466" t="s">
        <v>40</v>
      </c>
      <c r="D466" t="s">
        <v>71</v>
      </c>
      <c r="E466" t="s">
        <v>17</v>
      </c>
      <c r="F466" t="s">
        <v>44</v>
      </c>
      <c r="G466" t="s">
        <v>19</v>
      </c>
      <c r="H466" t="s">
        <v>20</v>
      </c>
      <c r="I466">
        <v>11</v>
      </c>
      <c r="J466" s="3">
        <v>17.920000000000002</v>
      </c>
      <c r="K466" s="4">
        <v>0</v>
      </c>
      <c r="L466" s="3">
        <v>197.12</v>
      </c>
      <c r="M466" s="3">
        <v>151.66</v>
      </c>
      <c r="N466" s="3">
        <v>45.46</v>
      </c>
    </row>
    <row r="467" spans="1:14" x14ac:dyDescent="0.35">
      <c r="A467" t="s">
        <v>521</v>
      </c>
      <c r="B467" s="2">
        <v>45827</v>
      </c>
      <c r="C467" t="s">
        <v>40</v>
      </c>
      <c r="D467" t="s">
        <v>71</v>
      </c>
      <c r="E467" t="s">
        <v>27</v>
      </c>
      <c r="F467" t="s">
        <v>28</v>
      </c>
      <c r="G467" t="s">
        <v>22</v>
      </c>
      <c r="H467" t="s">
        <v>30</v>
      </c>
      <c r="I467">
        <v>9</v>
      </c>
      <c r="J467" s="3">
        <v>134.55000000000001</v>
      </c>
      <c r="K467" s="4">
        <v>0.1</v>
      </c>
      <c r="L467" s="3">
        <v>1089.8599999999999</v>
      </c>
      <c r="M467" s="3">
        <v>727.76</v>
      </c>
      <c r="N467" s="3">
        <v>362.1</v>
      </c>
    </row>
    <row r="468" spans="1:14" x14ac:dyDescent="0.35">
      <c r="A468" t="s">
        <v>522</v>
      </c>
      <c r="B468" s="2">
        <v>45828</v>
      </c>
      <c r="C468" t="s">
        <v>32</v>
      </c>
      <c r="D468" t="s">
        <v>33</v>
      </c>
      <c r="E468" t="s">
        <v>53</v>
      </c>
      <c r="F468" t="s">
        <v>115</v>
      </c>
      <c r="G468" t="s">
        <v>19</v>
      </c>
      <c r="H468" t="s">
        <v>20</v>
      </c>
      <c r="I468">
        <v>9</v>
      </c>
      <c r="J468" s="3">
        <v>12.86</v>
      </c>
      <c r="K468" s="4">
        <v>0.15</v>
      </c>
      <c r="L468" s="3">
        <v>98.38</v>
      </c>
      <c r="M468" s="3">
        <v>73.260000000000005</v>
      </c>
      <c r="N468" s="3">
        <v>25.12</v>
      </c>
    </row>
    <row r="469" spans="1:14" x14ac:dyDescent="0.35">
      <c r="A469" t="s">
        <v>523</v>
      </c>
      <c r="B469" s="2">
        <v>45828</v>
      </c>
      <c r="C469" t="s">
        <v>32</v>
      </c>
      <c r="D469" t="s">
        <v>33</v>
      </c>
      <c r="E469" t="s">
        <v>17</v>
      </c>
      <c r="F469" t="s">
        <v>34</v>
      </c>
      <c r="G469" t="s">
        <v>22</v>
      </c>
      <c r="H469" t="s">
        <v>30</v>
      </c>
      <c r="I469">
        <v>3</v>
      </c>
      <c r="J469" s="3">
        <v>21.24</v>
      </c>
      <c r="K469" s="4">
        <v>0.15</v>
      </c>
      <c r="L469" s="3">
        <v>54.16</v>
      </c>
      <c r="M469" s="3">
        <v>33.26</v>
      </c>
      <c r="N469" s="3">
        <v>20.9</v>
      </c>
    </row>
    <row r="470" spans="1:14" x14ac:dyDescent="0.35">
      <c r="A470" t="s">
        <v>524</v>
      </c>
      <c r="B470" s="2">
        <v>45828</v>
      </c>
      <c r="C470" t="s">
        <v>25</v>
      </c>
      <c r="D470" t="s">
        <v>26</v>
      </c>
      <c r="E470" t="s">
        <v>17</v>
      </c>
      <c r="F470" t="s">
        <v>87</v>
      </c>
      <c r="G470" t="s">
        <v>19</v>
      </c>
      <c r="H470" t="s">
        <v>23</v>
      </c>
      <c r="I470">
        <v>5</v>
      </c>
      <c r="J470" s="3">
        <v>12.68</v>
      </c>
      <c r="K470" s="4">
        <v>0</v>
      </c>
      <c r="L470" s="3">
        <v>63.4</v>
      </c>
      <c r="M470" s="3">
        <v>37.71</v>
      </c>
      <c r="N470" s="3">
        <v>25.69</v>
      </c>
    </row>
    <row r="471" spans="1:14" x14ac:dyDescent="0.35">
      <c r="A471" t="s">
        <v>525</v>
      </c>
      <c r="B471" s="2">
        <v>45828</v>
      </c>
      <c r="C471" t="s">
        <v>40</v>
      </c>
      <c r="D471" t="s">
        <v>41</v>
      </c>
      <c r="E471" t="s">
        <v>27</v>
      </c>
      <c r="F471" t="s">
        <v>48</v>
      </c>
      <c r="G471" t="s">
        <v>19</v>
      </c>
      <c r="H471" t="s">
        <v>30</v>
      </c>
      <c r="I471">
        <v>12</v>
      </c>
      <c r="J471" s="3">
        <v>272.77</v>
      </c>
      <c r="K471" s="4">
        <v>0</v>
      </c>
      <c r="L471" s="3">
        <v>3273.24</v>
      </c>
      <c r="M471" s="3">
        <v>2388.1999999999998</v>
      </c>
      <c r="N471" s="3">
        <v>885.04</v>
      </c>
    </row>
    <row r="472" spans="1:14" x14ac:dyDescent="0.35">
      <c r="A472" t="s">
        <v>526</v>
      </c>
      <c r="B472" s="2">
        <v>45829</v>
      </c>
      <c r="C472" t="s">
        <v>40</v>
      </c>
      <c r="D472" t="s">
        <v>41</v>
      </c>
      <c r="E472" t="s">
        <v>27</v>
      </c>
      <c r="F472" t="s">
        <v>28</v>
      </c>
      <c r="G472" t="s">
        <v>19</v>
      </c>
      <c r="H472" t="s">
        <v>30</v>
      </c>
      <c r="I472">
        <v>2</v>
      </c>
      <c r="J472" s="3">
        <v>157.19999999999999</v>
      </c>
      <c r="K472" s="4">
        <v>0.15</v>
      </c>
      <c r="L472" s="3">
        <v>267.24</v>
      </c>
      <c r="M472" s="3">
        <v>223.58</v>
      </c>
      <c r="N472" s="3">
        <v>43.66</v>
      </c>
    </row>
    <row r="473" spans="1:14" x14ac:dyDescent="0.35">
      <c r="A473" t="s">
        <v>527</v>
      </c>
      <c r="B473" s="2">
        <v>45829</v>
      </c>
      <c r="C473" t="s">
        <v>40</v>
      </c>
      <c r="D473" t="s">
        <v>71</v>
      </c>
      <c r="E473" t="s">
        <v>53</v>
      </c>
      <c r="F473" t="s">
        <v>54</v>
      </c>
      <c r="G473" t="s">
        <v>29</v>
      </c>
      <c r="H473" t="s">
        <v>30</v>
      </c>
      <c r="I473">
        <v>1</v>
      </c>
      <c r="J473" s="3">
        <v>7.6</v>
      </c>
      <c r="K473" s="4">
        <v>0.1</v>
      </c>
      <c r="L473" s="3">
        <v>6.84</v>
      </c>
      <c r="M473" s="3">
        <v>5.24</v>
      </c>
      <c r="N473" s="3">
        <v>1.6</v>
      </c>
    </row>
    <row r="474" spans="1:14" x14ac:dyDescent="0.35">
      <c r="A474" t="s">
        <v>528</v>
      </c>
      <c r="B474" s="2">
        <v>45830</v>
      </c>
      <c r="C474" t="s">
        <v>32</v>
      </c>
      <c r="D474" t="s">
        <v>57</v>
      </c>
      <c r="E474" t="s">
        <v>17</v>
      </c>
      <c r="F474" t="s">
        <v>44</v>
      </c>
      <c r="G474" t="s">
        <v>19</v>
      </c>
      <c r="H474" t="s">
        <v>30</v>
      </c>
      <c r="I474">
        <v>10</v>
      </c>
      <c r="J474" s="3">
        <v>14.87</v>
      </c>
      <c r="K474" s="4">
        <v>0.15</v>
      </c>
      <c r="L474" s="3">
        <v>126.39</v>
      </c>
      <c r="M474" s="3">
        <v>81.37</v>
      </c>
      <c r="N474" s="3">
        <v>45.02</v>
      </c>
    </row>
    <row r="475" spans="1:14" x14ac:dyDescent="0.35">
      <c r="A475" t="s">
        <v>529</v>
      </c>
      <c r="B475" s="2">
        <v>45830</v>
      </c>
      <c r="C475" t="s">
        <v>25</v>
      </c>
      <c r="D475" t="s">
        <v>97</v>
      </c>
      <c r="E475" t="s">
        <v>17</v>
      </c>
      <c r="F475" t="s">
        <v>44</v>
      </c>
      <c r="G475" t="s">
        <v>29</v>
      </c>
      <c r="H475" t="s">
        <v>23</v>
      </c>
      <c r="I475">
        <v>5</v>
      </c>
      <c r="J475" s="3">
        <v>14.22</v>
      </c>
      <c r="K475" s="4">
        <v>0</v>
      </c>
      <c r="L475" s="3">
        <v>71.099999999999994</v>
      </c>
      <c r="M475" s="3">
        <v>52.92</v>
      </c>
      <c r="N475" s="3">
        <v>18.18</v>
      </c>
    </row>
    <row r="476" spans="1:14" x14ac:dyDescent="0.35">
      <c r="A476" t="s">
        <v>530</v>
      </c>
      <c r="B476" s="2">
        <v>45830</v>
      </c>
      <c r="C476" t="s">
        <v>32</v>
      </c>
      <c r="D476" t="s">
        <v>33</v>
      </c>
      <c r="E476" t="s">
        <v>17</v>
      </c>
      <c r="F476" t="s">
        <v>18</v>
      </c>
      <c r="G476" t="s">
        <v>22</v>
      </c>
      <c r="H476" t="s">
        <v>23</v>
      </c>
      <c r="I476">
        <v>2</v>
      </c>
      <c r="J476" s="3">
        <v>85.79</v>
      </c>
      <c r="K476" s="4">
        <v>0.15</v>
      </c>
      <c r="L476" s="3">
        <v>145.84</v>
      </c>
      <c r="M476" s="3">
        <v>110.46</v>
      </c>
      <c r="N476" s="3">
        <v>35.380000000000003</v>
      </c>
    </row>
    <row r="477" spans="1:14" x14ac:dyDescent="0.35">
      <c r="A477" t="s">
        <v>531</v>
      </c>
      <c r="B477" s="2">
        <v>45830</v>
      </c>
      <c r="C477" t="s">
        <v>32</v>
      </c>
      <c r="D477" t="s">
        <v>57</v>
      </c>
      <c r="E477" t="s">
        <v>17</v>
      </c>
      <c r="F477" t="s">
        <v>34</v>
      </c>
      <c r="G477" t="s">
        <v>19</v>
      </c>
      <c r="H477" t="s">
        <v>20</v>
      </c>
      <c r="I477">
        <v>6</v>
      </c>
      <c r="J477" s="3">
        <v>22.3</v>
      </c>
      <c r="K477" s="4">
        <v>0.1</v>
      </c>
      <c r="L477" s="3">
        <v>120.42</v>
      </c>
      <c r="M477" s="3">
        <v>67.11</v>
      </c>
      <c r="N477" s="3">
        <v>53.31</v>
      </c>
    </row>
    <row r="478" spans="1:14" x14ac:dyDescent="0.35">
      <c r="A478" t="s">
        <v>532</v>
      </c>
      <c r="B478" s="2">
        <v>45831</v>
      </c>
      <c r="C478" t="s">
        <v>25</v>
      </c>
      <c r="D478" t="s">
        <v>74</v>
      </c>
      <c r="E478" t="s">
        <v>17</v>
      </c>
      <c r="F478" t="s">
        <v>44</v>
      </c>
      <c r="G478" t="s">
        <v>22</v>
      </c>
      <c r="H478" t="s">
        <v>30</v>
      </c>
      <c r="I478">
        <v>3</v>
      </c>
      <c r="J478" s="3">
        <v>13.76</v>
      </c>
      <c r="K478" s="4">
        <v>0</v>
      </c>
      <c r="L478" s="3">
        <v>41.28</v>
      </c>
      <c r="M478" s="3">
        <v>21.13</v>
      </c>
      <c r="N478" s="3">
        <v>20.149999999999999</v>
      </c>
    </row>
    <row r="479" spans="1:14" x14ac:dyDescent="0.35">
      <c r="A479" t="s">
        <v>533</v>
      </c>
      <c r="B479" s="2">
        <v>45831</v>
      </c>
      <c r="C479" t="s">
        <v>32</v>
      </c>
      <c r="D479" t="s">
        <v>33</v>
      </c>
      <c r="E479" t="s">
        <v>53</v>
      </c>
      <c r="F479" t="s">
        <v>83</v>
      </c>
      <c r="G479" t="s">
        <v>29</v>
      </c>
      <c r="H479" t="s">
        <v>20</v>
      </c>
      <c r="I479">
        <v>2</v>
      </c>
      <c r="J479" s="3">
        <v>13.97</v>
      </c>
      <c r="K479" s="4">
        <v>0.1</v>
      </c>
      <c r="L479" s="3">
        <v>25.15</v>
      </c>
      <c r="M479" s="3">
        <v>19.489999999999998</v>
      </c>
      <c r="N479" s="3">
        <v>5.66</v>
      </c>
    </row>
    <row r="480" spans="1:14" x14ac:dyDescent="0.35">
      <c r="A480" t="s">
        <v>534</v>
      </c>
      <c r="B480" s="2">
        <v>45831</v>
      </c>
      <c r="C480" t="s">
        <v>32</v>
      </c>
      <c r="D480" t="s">
        <v>33</v>
      </c>
      <c r="E480" t="s">
        <v>37</v>
      </c>
      <c r="F480" t="s">
        <v>38</v>
      </c>
      <c r="G480" t="s">
        <v>19</v>
      </c>
      <c r="H480" t="s">
        <v>20</v>
      </c>
      <c r="I480">
        <v>2</v>
      </c>
      <c r="J480" s="3">
        <v>53.1</v>
      </c>
      <c r="K480" s="4">
        <v>0.15</v>
      </c>
      <c r="L480" s="3">
        <v>90.27</v>
      </c>
      <c r="M480" s="3">
        <v>72.59</v>
      </c>
      <c r="N480" s="3">
        <v>17.68</v>
      </c>
    </row>
    <row r="481" spans="1:14" x14ac:dyDescent="0.35">
      <c r="A481" t="s">
        <v>535</v>
      </c>
      <c r="B481" s="2">
        <v>45832</v>
      </c>
      <c r="C481" t="s">
        <v>15</v>
      </c>
      <c r="D481" t="s">
        <v>16</v>
      </c>
      <c r="E481" t="s">
        <v>27</v>
      </c>
      <c r="F481" t="s">
        <v>28</v>
      </c>
      <c r="G481" t="s">
        <v>29</v>
      </c>
      <c r="H481" t="s">
        <v>20</v>
      </c>
      <c r="I481">
        <v>4</v>
      </c>
      <c r="J481" s="3">
        <v>166.1</v>
      </c>
      <c r="K481" s="4">
        <v>0.05</v>
      </c>
      <c r="L481" s="3">
        <v>631.17999999999995</v>
      </c>
      <c r="M481" s="3">
        <v>430.56</v>
      </c>
      <c r="N481" s="3">
        <v>200.62</v>
      </c>
    </row>
    <row r="482" spans="1:14" x14ac:dyDescent="0.35">
      <c r="A482" t="s">
        <v>536</v>
      </c>
      <c r="B482" s="2">
        <v>45832</v>
      </c>
      <c r="C482" t="s">
        <v>25</v>
      </c>
      <c r="D482" t="s">
        <v>74</v>
      </c>
      <c r="E482" t="s">
        <v>17</v>
      </c>
      <c r="F482" t="s">
        <v>87</v>
      </c>
      <c r="G482" t="s">
        <v>19</v>
      </c>
      <c r="H482" t="s">
        <v>30</v>
      </c>
      <c r="I482">
        <v>11</v>
      </c>
      <c r="J482" s="3">
        <v>15.26</v>
      </c>
      <c r="K482" s="4">
        <v>0</v>
      </c>
      <c r="L482" s="3">
        <v>167.86</v>
      </c>
      <c r="M482" s="3">
        <v>127.44</v>
      </c>
      <c r="N482" s="3">
        <v>40.42</v>
      </c>
    </row>
    <row r="483" spans="1:14" x14ac:dyDescent="0.35">
      <c r="A483" t="s">
        <v>537</v>
      </c>
      <c r="B483" s="2">
        <v>45832</v>
      </c>
      <c r="C483" t="s">
        <v>25</v>
      </c>
      <c r="D483" t="s">
        <v>26</v>
      </c>
      <c r="E483" t="s">
        <v>53</v>
      </c>
      <c r="F483" t="s">
        <v>115</v>
      </c>
      <c r="G483" t="s">
        <v>19</v>
      </c>
      <c r="H483" t="s">
        <v>30</v>
      </c>
      <c r="I483">
        <v>4</v>
      </c>
      <c r="J483" s="3">
        <v>10.85</v>
      </c>
      <c r="K483" s="4">
        <v>0</v>
      </c>
      <c r="L483" s="3">
        <v>43.4</v>
      </c>
      <c r="M483" s="3">
        <v>31.66</v>
      </c>
      <c r="N483" s="3">
        <v>11.74</v>
      </c>
    </row>
    <row r="484" spans="1:14" x14ac:dyDescent="0.35">
      <c r="A484" t="s">
        <v>538</v>
      </c>
      <c r="B484" s="2">
        <v>45832</v>
      </c>
      <c r="C484" t="s">
        <v>25</v>
      </c>
      <c r="D484" t="s">
        <v>97</v>
      </c>
      <c r="E484" t="s">
        <v>53</v>
      </c>
      <c r="F484" t="s">
        <v>66</v>
      </c>
      <c r="G484" t="s">
        <v>22</v>
      </c>
      <c r="H484" t="s">
        <v>23</v>
      </c>
      <c r="I484">
        <v>5</v>
      </c>
      <c r="J484" s="3">
        <v>23.15</v>
      </c>
      <c r="K484" s="4">
        <v>0.15</v>
      </c>
      <c r="L484" s="3">
        <v>98.39</v>
      </c>
      <c r="M484" s="3">
        <v>76.260000000000005</v>
      </c>
      <c r="N484" s="3">
        <v>22.13</v>
      </c>
    </row>
    <row r="485" spans="1:14" x14ac:dyDescent="0.35">
      <c r="A485" t="s">
        <v>539</v>
      </c>
      <c r="B485" s="2">
        <v>45833</v>
      </c>
      <c r="C485" t="s">
        <v>25</v>
      </c>
      <c r="D485" t="s">
        <v>97</v>
      </c>
      <c r="E485" t="s">
        <v>53</v>
      </c>
      <c r="F485" t="s">
        <v>83</v>
      </c>
      <c r="G485" t="s">
        <v>19</v>
      </c>
      <c r="H485" t="s">
        <v>20</v>
      </c>
      <c r="I485">
        <v>3</v>
      </c>
      <c r="J485" s="3">
        <v>16.59</v>
      </c>
      <c r="K485" s="4">
        <v>0.15</v>
      </c>
      <c r="L485" s="3">
        <v>42.3</v>
      </c>
      <c r="M485" s="3">
        <v>37.950000000000003</v>
      </c>
      <c r="N485" s="3">
        <v>4.3499999999999996</v>
      </c>
    </row>
    <row r="486" spans="1:14" x14ac:dyDescent="0.35">
      <c r="A486" t="s">
        <v>540</v>
      </c>
      <c r="B486" s="2">
        <v>45833</v>
      </c>
      <c r="C486" t="s">
        <v>32</v>
      </c>
      <c r="D486" t="s">
        <v>36</v>
      </c>
      <c r="E486" t="s">
        <v>27</v>
      </c>
      <c r="F486" t="s">
        <v>79</v>
      </c>
      <c r="G486" t="s">
        <v>22</v>
      </c>
      <c r="H486" t="s">
        <v>30</v>
      </c>
      <c r="I486">
        <v>10</v>
      </c>
      <c r="J486" s="3">
        <v>112.14</v>
      </c>
      <c r="K486" s="4">
        <v>0</v>
      </c>
      <c r="L486" s="3">
        <v>1121.4000000000001</v>
      </c>
      <c r="M486" s="3">
        <v>632.14</v>
      </c>
      <c r="N486" s="3">
        <v>489.26</v>
      </c>
    </row>
    <row r="487" spans="1:14" x14ac:dyDescent="0.35">
      <c r="A487" t="s">
        <v>541</v>
      </c>
      <c r="B487" s="2">
        <v>45834</v>
      </c>
      <c r="C487" t="s">
        <v>15</v>
      </c>
      <c r="D487" t="s">
        <v>46</v>
      </c>
      <c r="E487" t="s">
        <v>53</v>
      </c>
      <c r="F487" t="s">
        <v>66</v>
      </c>
      <c r="G487" t="s">
        <v>22</v>
      </c>
      <c r="H487" t="s">
        <v>23</v>
      </c>
      <c r="I487">
        <v>12</v>
      </c>
      <c r="J487" s="3">
        <v>23.96</v>
      </c>
      <c r="K487" s="4">
        <v>0</v>
      </c>
      <c r="L487" s="3">
        <v>287.52</v>
      </c>
      <c r="M487" s="3">
        <v>162.6</v>
      </c>
      <c r="N487" s="3">
        <v>124.92</v>
      </c>
    </row>
    <row r="488" spans="1:14" x14ac:dyDescent="0.35">
      <c r="A488" t="s">
        <v>542</v>
      </c>
      <c r="B488" s="2">
        <v>45834</v>
      </c>
      <c r="C488" t="s">
        <v>40</v>
      </c>
      <c r="D488" t="s">
        <v>50</v>
      </c>
      <c r="E488" t="s">
        <v>53</v>
      </c>
      <c r="F488" t="s">
        <v>54</v>
      </c>
      <c r="G488" t="s">
        <v>19</v>
      </c>
      <c r="H488" t="s">
        <v>23</v>
      </c>
      <c r="I488">
        <v>3</v>
      </c>
      <c r="J488" s="3">
        <v>8.01</v>
      </c>
      <c r="K488" s="4">
        <v>0</v>
      </c>
      <c r="L488" s="3">
        <v>24.03</v>
      </c>
      <c r="M488" s="3">
        <v>17.53</v>
      </c>
      <c r="N488" s="3">
        <v>6.5</v>
      </c>
    </row>
    <row r="489" spans="1:14" x14ac:dyDescent="0.35">
      <c r="A489" t="s">
        <v>543</v>
      </c>
      <c r="B489" s="2">
        <v>45834</v>
      </c>
      <c r="C489" t="s">
        <v>25</v>
      </c>
      <c r="D489" t="s">
        <v>26</v>
      </c>
      <c r="E489" t="s">
        <v>53</v>
      </c>
      <c r="F489" t="s">
        <v>66</v>
      </c>
      <c r="G489" t="s">
        <v>22</v>
      </c>
      <c r="H489" t="s">
        <v>30</v>
      </c>
      <c r="I489">
        <v>12</v>
      </c>
      <c r="J489" s="3">
        <v>19.39</v>
      </c>
      <c r="K489" s="4">
        <v>0.1</v>
      </c>
      <c r="L489" s="3">
        <v>209.41</v>
      </c>
      <c r="M489" s="3">
        <v>160.47999999999999</v>
      </c>
      <c r="N489" s="3">
        <v>48.93</v>
      </c>
    </row>
    <row r="490" spans="1:14" x14ac:dyDescent="0.35">
      <c r="A490" t="s">
        <v>544</v>
      </c>
      <c r="B490" s="2">
        <v>45834</v>
      </c>
      <c r="C490" t="s">
        <v>40</v>
      </c>
      <c r="D490" t="s">
        <v>71</v>
      </c>
      <c r="E490" t="s">
        <v>37</v>
      </c>
      <c r="F490" t="s">
        <v>75</v>
      </c>
      <c r="G490" t="s">
        <v>19</v>
      </c>
      <c r="H490" t="s">
        <v>30</v>
      </c>
      <c r="I490">
        <v>2</v>
      </c>
      <c r="J490" s="3">
        <v>23.35</v>
      </c>
      <c r="K490" s="4">
        <v>0.15</v>
      </c>
      <c r="L490" s="3">
        <v>39.700000000000003</v>
      </c>
      <c r="M490" s="3">
        <v>25.2</v>
      </c>
      <c r="N490" s="3">
        <v>14.5</v>
      </c>
    </row>
    <row r="491" spans="1:14" x14ac:dyDescent="0.35">
      <c r="A491" t="s">
        <v>545</v>
      </c>
      <c r="B491" s="2">
        <v>45835</v>
      </c>
      <c r="C491" t="s">
        <v>40</v>
      </c>
      <c r="D491" t="s">
        <v>50</v>
      </c>
      <c r="E491" t="s">
        <v>17</v>
      </c>
      <c r="F491" t="s">
        <v>34</v>
      </c>
      <c r="G491" t="s">
        <v>19</v>
      </c>
      <c r="H491" t="s">
        <v>23</v>
      </c>
      <c r="I491">
        <v>10</v>
      </c>
      <c r="J491" s="3">
        <v>22.3</v>
      </c>
      <c r="K491" s="4">
        <v>0</v>
      </c>
      <c r="L491" s="3">
        <v>223</v>
      </c>
      <c r="M491" s="3">
        <v>138.62</v>
      </c>
      <c r="N491" s="3">
        <v>84.38</v>
      </c>
    </row>
    <row r="492" spans="1:14" x14ac:dyDescent="0.35">
      <c r="A492" t="s">
        <v>546</v>
      </c>
      <c r="B492" s="2">
        <v>45835</v>
      </c>
      <c r="C492" t="s">
        <v>25</v>
      </c>
      <c r="D492" t="s">
        <v>74</v>
      </c>
      <c r="E492" t="s">
        <v>27</v>
      </c>
      <c r="F492" t="s">
        <v>79</v>
      </c>
      <c r="G492" t="s">
        <v>29</v>
      </c>
      <c r="H492" t="s">
        <v>30</v>
      </c>
      <c r="I492">
        <v>11</v>
      </c>
      <c r="J492" s="3">
        <v>105.14</v>
      </c>
      <c r="K492" s="4">
        <v>0.15</v>
      </c>
      <c r="L492" s="3">
        <v>983.06</v>
      </c>
      <c r="M492" s="3">
        <v>650.86</v>
      </c>
      <c r="N492" s="3">
        <v>332.2</v>
      </c>
    </row>
    <row r="493" spans="1:14" x14ac:dyDescent="0.35">
      <c r="A493" t="s">
        <v>547</v>
      </c>
      <c r="B493" s="2">
        <v>45836</v>
      </c>
      <c r="C493" t="s">
        <v>15</v>
      </c>
      <c r="D493" t="s">
        <v>46</v>
      </c>
      <c r="E493" t="s">
        <v>27</v>
      </c>
      <c r="F493" t="s">
        <v>79</v>
      </c>
      <c r="G493" t="s">
        <v>22</v>
      </c>
      <c r="H493" t="s">
        <v>30</v>
      </c>
      <c r="I493">
        <v>8</v>
      </c>
      <c r="J493" s="3">
        <v>123.69</v>
      </c>
      <c r="K493" s="4">
        <v>0.15</v>
      </c>
      <c r="L493" s="3">
        <v>841.09</v>
      </c>
      <c r="M493" s="3">
        <v>618.33000000000004</v>
      </c>
      <c r="N493" s="3">
        <v>222.76</v>
      </c>
    </row>
    <row r="494" spans="1:14" x14ac:dyDescent="0.35">
      <c r="A494" t="s">
        <v>548</v>
      </c>
      <c r="B494" s="2">
        <v>45837</v>
      </c>
      <c r="C494" t="s">
        <v>15</v>
      </c>
      <c r="D494" t="s">
        <v>59</v>
      </c>
      <c r="E494" t="s">
        <v>17</v>
      </c>
      <c r="F494" t="s">
        <v>44</v>
      </c>
      <c r="G494" t="s">
        <v>19</v>
      </c>
      <c r="H494" t="s">
        <v>20</v>
      </c>
      <c r="I494">
        <v>12</v>
      </c>
      <c r="J494" s="3">
        <v>18.47</v>
      </c>
      <c r="K494" s="4">
        <v>0.05</v>
      </c>
      <c r="L494" s="3">
        <v>210.56</v>
      </c>
      <c r="M494" s="3">
        <v>147.27000000000001</v>
      </c>
      <c r="N494" s="3">
        <v>63.29</v>
      </c>
    </row>
    <row r="495" spans="1:14" x14ac:dyDescent="0.35">
      <c r="A495" t="s">
        <v>549</v>
      </c>
      <c r="B495" s="2">
        <v>45838</v>
      </c>
      <c r="C495" t="s">
        <v>25</v>
      </c>
      <c r="D495" t="s">
        <v>74</v>
      </c>
      <c r="E495" t="s">
        <v>17</v>
      </c>
      <c r="F495" t="s">
        <v>34</v>
      </c>
      <c r="G495" t="s">
        <v>22</v>
      </c>
      <c r="H495" t="s">
        <v>20</v>
      </c>
      <c r="I495">
        <v>10</v>
      </c>
      <c r="J495" s="3">
        <v>18.399999999999999</v>
      </c>
      <c r="K495" s="4">
        <v>0</v>
      </c>
      <c r="L495" s="3">
        <v>184</v>
      </c>
      <c r="M495" s="3">
        <v>129</v>
      </c>
      <c r="N495" s="3">
        <v>55</v>
      </c>
    </row>
    <row r="496" spans="1:14" x14ac:dyDescent="0.35">
      <c r="A496" t="s">
        <v>550</v>
      </c>
      <c r="B496" s="2">
        <v>45838</v>
      </c>
      <c r="C496" t="s">
        <v>25</v>
      </c>
      <c r="D496" t="s">
        <v>26</v>
      </c>
      <c r="E496" t="s">
        <v>37</v>
      </c>
      <c r="F496" t="s">
        <v>42</v>
      </c>
      <c r="G496" t="s">
        <v>22</v>
      </c>
      <c r="H496" t="s">
        <v>30</v>
      </c>
      <c r="I496">
        <v>5</v>
      </c>
      <c r="J496" s="3">
        <v>18.420000000000002</v>
      </c>
      <c r="K496" s="4">
        <v>0.1</v>
      </c>
      <c r="L496" s="3">
        <v>82.89</v>
      </c>
      <c r="M496" s="3">
        <v>52.1</v>
      </c>
      <c r="N496" s="3">
        <v>30.79</v>
      </c>
    </row>
    <row r="497" spans="1:14" x14ac:dyDescent="0.35">
      <c r="A497" t="s">
        <v>551</v>
      </c>
      <c r="B497" s="2">
        <v>45838</v>
      </c>
      <c r="C497" t="s">
        <v>15</v>
      </c>
      <c r="D497" t="s">
        <v>59</v>
      </c>
      <c r="E497" t="s">
        <v>27</v>
      </c>
      <c r="F497" t="s">
        <v>48</v>
      </c>
      <c r="G497" t="s">
        <v>29</v>
      </c>
      <c r="H497" t="s">
        <v>20</v>
      </c>
      <c r="I497">
        <v>5</v>
      </c>
      <c r="J497" s="3">
        <v>225.96</v>
      </c>
      <c r="K497" s="4">
        <v>0.05</v>
      </c>
      <c r="L497" s="3">
        <v>1073.31</v>
      </c>
      <c r="M497" s="3">
        <v>659.32</v>
      </c>
      <c r="N497" s="3">
        <v>413.99</v>
      </c>
    </row>
    <row r="498" spans="1:14" x14ac:dyDescent="0.35">
      <c r="A498" t="s">
        <v>552</v>
      </c>
      <c r="B498" s="2">
        <v>45838</v>
      </c>
      <c r="C498" t="s">
        <v>25</v>
      </c>
      <c r="D498" t="s">
        <v>26</v>
      </c>
      <c r="E498" t="s">
        <v>53</v>
      </c>
      <c r="F498" t="s">
        <v>54</v>
      </c>
      <c r="G498" t="s">
        <v>19</v>
      </c>
      <c r="H498" t="s">
        <v>30</v>
      </c>
      <c r="I498">
        <v>10</v>
      </c>
      <c r="J498" s="3">
        <v>7.5</v>
      </c>
      <c r="K498" s="4">
        <v>0</v>
      </c>
      <c r="L498" s="3">
        <v>75</v>
      </c>
      <c r="M498" s="3">
        <v>50.14</v>
      </c>
      <c r="N498" s="3">
        <v>24.86</v>
      </c>
    </row>
    <row r="499" spans="1:14" x14ac:dyDescent="0.35">
      <c r="A499" t="s">
        <v>553</v>
      </c>
      <c r="B499" s="2">
        <v>45839</v>
      </c>
      <c r="C499" t="s">
        <v>40</v>
      </c>
      <c r="D499" t="s">
        <v>71</v>
      </c>
      <c r="E499" t="s">
        <v>17</v>
      </c>
      <c r="F499" t="s">
        <v>44</v>
      </c>
      <c r="G499" t="s">
        <v>22</v>
      </c>
      <c r="H499" t="s">
        <v>20</v>
      </c>
      <c r="I499">
        <v>5</v>
      </c>
      <c r="J499" s="3">
        <v>16.96</v>
      </c>
      <c r="K499" s="4">
        <v>0.05</v>
      </c>
      <c r="L499" s="3">
        <v>80.56</v>
      </c>
      <c r="M499" s="3">
        <v>43.34</v>
      </c>
      <c r="N499" s="3">
        <v>37.22</v>
      </c>
    </row>
    <row r="500" spans="1:14" x14ac:dyDescent="0.35">
      <c r="A500" t="s">
        <v>554</v>
      </c>
      <c r="B500" s="2">
        <v>45840</v>
      </c>
      <c r="C500" t="s">
        <v>32</v>
      </c>
      <c r="D500" t="s">
        <v>57</v>
      </c>
      <c r="E500" t="s">
        <v>53</v>
      </c>
      <c r="F500" t="s">
        <v>115</v>
      </c>
      <c r="G500" t="s">
        <v>19</v>
      </c>
      <c r="H500" t="s">
        <v>20</v>
      </c>
      <c r="I500">
        <v>3</v>
      </c>
      <c r="J500" s="3">
        <v>12.25</v>
      </c>
      <c r="K500" s="4">
        <v>0.05</v>
      </c>
      <c r="L500" s="3">
        <v>34.909999999999997</v>
      </c>
      <c r="M500" s="3">
        <v>28.46</v>
      </c>
      <c r="N500" s="3">
        <v>6.45</v>
      </c>
    </row>
    <row r="501" spans="1:14" x14ac:dyDescent="0.35">
      <c r="A501" t="s">
        <v>555</v>
      </c>
      <c r="B501" s="2">
        <v>45840</v>
      </c>
      <c r="C501" t="s">
        <v>15</v>
      </c>
      <c r="D501" t="s">
        <v>46</v>
      </c>
      <c r="E501" t="s">
        <v>27</v>
      </c>
      <c r="F501" t="s">
        <v>48</v>
      </c>
      <c r="G501" t="s">
        <v>22</v>
      </c>
      <c r="H501" t="s">
        <v>20</v>
      </c>
      <c r="I501">
        <v>8</v>
      </c>
      <c r="J501" s="3">
        <v>309.72000000000003</v>
      </c>
      <c r="K501" s="4">
        <v>0.15</v>
      </c>
      <c r="L501" s="3">
        <v>2106.1</v>
      </c>
      <c r="M501" s="3">
        <v>1884.23</v>
      </c>
      <c r="N501" s="3">
        <v>221.87</v>
      </c>
    </row>
    <row r="502" spans="1:14" x14ac:dyDescent="0.35">
      <c r="A502" t="s">
        <v>556</v>
      </c>
      <c r="B502" s="2">
        <v>45841</v>
      </c>
      <c r="C502" t="s">
        <v>15</v>
      </c>
      <c r="D502" t="s">
        <v>59</v>
      </c>
      <c r="E502" t="s">
        <v>17</v>
      </c>
      <c r="F502" t="s">
        <v>18</v>
      </c>
      <c r="G502" t="s">
        <v>19</v>
      </c>
      <c r="H502" t="s">
        <v>23</v>
      </c>
      <c r="I502">
        <v>3</v>
      </c>
      <c r="J502" s="3">
        <v>62.19</v>
      </c>
      <c r="K502" s="4">
        <v>0.1</v>
      </c>
      <c r="L502" s="3">
        <v>167.91</v>
      </c>
      <c r="M502" s="3">
        <v>140.51</v>
      </c>
      <c r="N502" s="3">
        <v>27.4</v>
      </c>
    </row>
    <row r="503" spans="1:14" x14ac:dyDescent="0.35">
      <c r="A503" t="s">
        <v>557</v>
      </c>
      <c r="B503" s="2">
        <v>45841</v>
      </c>
      <c r="C503" t="s">
        <v>15</v>
      </c>
      <c r="D503" t="s">
        <v>16</v>
      </c>
      <c r="E503" t="s">
        <v>37</v>
      </c>
      <c r="F503" t="s">
        <v>51</v>
      </c>
      <c r="G503" t="s">
        <v>22</v>
      </c>
      <c r="H503" t="s">
        <v>23</v>
      </c>
      <c r="I503">
        <v>8</v>
      </c>
      <c r="J503" s="3">
        <v>37.51</v>
      </c>
      <c r="K503" s="4">
        <v>0</v>
      </c>
      <c r="L503" s="3">
        <v>300.08</v>
      </c>
      <c r="M503" s="3">
        <v>223.94</v>
      </c>
      <c r="N503" s="3">
        <v>76.14</v>
      </c>
    </row>
    <row r="504" spans="1:14" x14ac:dyDescent="0.35">
      <c r="A504" t="s">
        <v>558</v>
      </c>
      <c r="B504" s="2">
        <v>45841</v>
      </c>
      <c r="C504" t="s">
        <v>40</v>
      </c>
      <c r="D504" t="s">
        <v>41</v>
      </c>
      <c r="E504" t="s">
        <v>37</v>
      </c>
      <c r="F504" t="s">
        <v>38</v>
      </c>
      <c r="G504" t="s">
        <v>19</v>
      </c>
      <c r="H504" t="s">
        <v>20</v>
      </c>
      <c r="I504">
        <v>9</v>
      </c>
      <c r="J504" s="3">
        <v>50.98</v>
      </c>
      <c r="K504" s="4">
        <v>0</v>
      </c>
      <c r="L504" s="3">
        <v>458.82</v>
      </c>
      <c r="M504" s="3">
        <v>291.89</v>
      </c>
      <c r="N504" s="3">
        <v>166.93</v>
      </c>
    </row>
    <row r="505" spans="1:14" x14ac:dyDescent="0.35">
      <c r="A505" t="s">
        <v>559</v>
      </c>
      <c r="B505" s="2">
        <v>45843</v>
      </c>
      <c r="C505" t="s">
        <v>25</v>
      </c>
      <c r="D505" t="s">
        <v>97</v>
      </c>
      <c r="E505" t="s">
        <v>27</v>
      </c>
      <c r="F505" t="s">
        <v>68</v>
      </c>
      <c r="G505" t="s">
        <v>22</v>
      </c>
      <c r="H505" t="s">
        <v>20</v>
      </c>
      <c r="I505">
        <v>11</v>
      </c>
      <c r="J505" s="3">
        <v>35.97</v>
      </c>
      <c r="K505" s="4">
        <v>0.15</v>
      </c>
      <c r="L505" s="3">
        <v>336.32</v>
      </c>
      <c r="M505" s="3">
        <v>235.51</v>
      </c>
      <c r="N505" s="3">
        <v>100.81</v>
      </c>
    </row>
    <row r="506" spans="1:14" x14ac:dyDescent="0.35">
      <c r="A506" t="s">
        <v>560</v>
      </c>
      <c r="B506" s="2">
        <v>45843</v>
      </c>
      <c r="C506" t="s">
        <v>25</v>
      </c>
      <c r="D506" t="s">
        <v>74</v>
      </c>
      <c r="E506" t="s">
        <v>37</v>
      </c>
      <c r="F506" t="s">
        <v>51</v>
      </c>
      <c r="G506" t="s">
        <v>22</v>
      </c>
      <c r="H506" t="s">
        <v>30</v>
      </c>
      <c r="I506">
        <v>1</v>
      </c>
      <c r="J506" s="3">
        <v>31.26</v>
      </c>
      <c r="K506" s="4">
        <v>0.1</v>
      </c>
      <c r="L506" s="3">
        <v>28.13</v>
      </c>
      <c r="M506" s="3">
        <v>23.99</v>
      </c>
      <c r="N506" s="3">
        <v>4.1399999999999997</v>
      </c>
    </row>
    <row r="507" spans="1:14" x14ac:dyDescent="0.35">
      <c r="A507" t="s">
        <v>561</v>
      </c>
      <c r="B507" s="2">
        <v>45844</v>
      </c>
      <c r="C507" t="s">
        <v>40</v>
      </c>
      <c r="D507" t="s">
        <v>71</v>
      </c>
      <c r="E507" t="s">
        <v>17</v>
      </c>
      <c r="F507" t="s">
        <v>18</v>
      </c>
      <c r="G507" t="s">
        <v>22</v>
      </c>
      <c r="H507" t="s">
        <v>20</v>
      </c>
      <c r="I507">
        <v>8</v>
      </c>
      <c r="J507" s="3">
        <v>65.73</v>
      </c>
      <c r="K507" s="4">
        <v>0</v>
      </c>
      <c r="L507" s="3">
        <v>525.84</v>
      </c>
      <c r="M507" s="3">
        <v>406.89</v>
      </c>
      <c r="N507" s="3">
        <v>118.95</v>
      </c>
    </row>
    <row r="508" spans="1:14" x14ac:dyDescent="0.35">
      <c r="A508" t="s">
        <v>562</v>
      </c>
      <c r="B508" s="2">
        <v>45844</v>
      </c>
      <c r="C508" t="s">
        <v>32</v>
      </c>
      <c r="D508" t="s">
        <v>57</v>
      </c>
      <c r="E508" t="s">
        <v>17</v>
      </c>
      <c r="F508" t="s">
        <v>87</v>
      </c>
      <c r="G508" t="s">
        <v>19</v>
      </c>
      <c r="H508" t="s">
        <v>30</v>
      </c>
      <c r="I508">
        <v>12</v>
      </c>
      <c r="J508" s="3">
        <v>16.39</v>
      </c>
      <c r="K508" s="4">
        <v>0.05</v>
      </c>
      <c r="L508" s="3">
        <v>186.85</v>
      </c>
      <c r="M508" s="3">
        <v>140.94999999999999</v>
      </c>
      <c r="N508" s="3">
        <v>45.9</v>
      </c>
    </row>
    <row r="509" spans="1:14" x14ac:dyDescent="0.35">
      <c r="A509" t="s">
        <v>563</v>
      </c>
      <c r="B509" s="2">
        <v>45844</v>
      </c>
      <c r="C509" t="s">
        <v>25</v>
      </c>
      <c r="D509" t="s">
        <v>26</v>
      </c>
      <c r="E509" t="s">
        <v>53</v>
      </c>
      <c r="F509" t="s">
        <v>66</v>
      </c>
      <c r="G509" t="s">
        <v>29</v>
      </c>
      <c r="H509" t="s">
        <v>20</v>
      </c>
      <c r="I509">
        <v>6</v>
      </c>
      <c r="J509" s="3">
        <v>19.39</v>
      </c>
      <c r="K509" s="4">
        <v>0.05</v>
      </c>
      <c r="L509" s="3">
        <v>110.52</v>
      </c>
      <c r="M509" s="3">
        <v>80.34</v>
      </c>
      <c r="N509" s="3">
        <v>30.18</v>
      </c>
    </row>
    <row r="510" spans="1:14" x14ac:dyDescent="0.35">
      <c r="A510" t="s">
        <v>564</v>
      </c>
      <c r="B510" s="2">
        <v>45844</v>
      </c>
      <c r="C510" t="s">
        <v>15</v>
      </c>
      <c r="D510" t="s">
        <v>46</v>
      </c>
      <c r="E510" t="s">
        <v>27</v>
      </c>
      <c r="F510" t="s">
        <v>28</v>
      </c>
      <c r="G510" t="s">
        <v>19</v>
      </c>
      <c r="H510" t="s">
        <v>30</v>
      </c>
      <c r="I510">
        <v>2</v>
      </c>
      <c r="J510" s="3">
        <v>132.34</v>
      </c>
      <c r="K510" s="4">
        <v>0.1</v>
      </c>
      <c r="L510" s="3">
        <v>238.21</v>
      </c>
      <c r="M510" s="3">
        <v>147.53</v>
      </c>
      <c r="N510" s="3">
        <v>90.68</v>
      </c>
    </row>
    <row r="511" spans="1:14" x14ac:dyDescent="0.35">
      <c r="A511" t="s">
        <v>565</v>
      </c>
      <c r="B511" s="2">
        <v>45845</v>
      </c>
      <c r="C511" t="s">
        <v>32</v>
      </c>
      <c r="D511" t="s">
        <v>57</v>
      </c>
      <c r="E511" t="s">
        <v>27</v>
      </c>
      <c r="F511" t="s">
        <v>68</v>
      </c>
      <c r="G511" t="s">
        <v>29</v>
      </c>
      <c r="H511" t="s">
        <v>30</v>
      </c>
      <c r="I511">
        <v>5</v>
      </c>
      <c r="J511" s="3">
        <v>44.46</v>
      </c>
      <c r="K511" s="4">
        <v>0.1</v>
      </c>
      <c r="L511" s="3">
        <v>200.07</v>
      </c>
      <c r="M511" s="3">
        <v>171.22</v>
      </c>
      <c r="N511" s="3">
        <v>28.85</v>
      </c>
    </row>
    <row r="512" spans="1:14" x14ac:dyDescent="0.35">
      <c r="A512" t="s">
        <v>566</v>
      </c>
      <c r="B512" s="2">
        <v>45845</v>
      </c>
      <c r="C512" t="s">
        <v>15</v>
      </c>
      <c r="D512" t="s">
        <v>59</v>
      </c>
      <c r="E512" t="s">
        <v>37</v>
      </c>
      <c r="F512" t="s">
        <v>42</v>
      </c>
      <c r="G512" t="s">
        <v>29</v>
      </c>
      <c r="H512" t="s">
        <v>23</v>
      </c>
      <c r="I512">
        <v>10</v>
      </c>
      <c r="J512" s="3">
        <v>18.34</v>
      </c>
      <c r="K512" s="4">
        <v>0.05</v>
      </c>
      <c r="L512" s="3">
        <v>174.23</v>
      </c>
      <c r="M512" s="3">
        <v>94.26</v>
      </c>
      <c r="N512" s="3">
        <v>79.97</v>
      </c>
    </row>
    <row r="513" spans="1:14" x14ac:dyDescent="0.35">
      <c r="A513" t="s">
        <v>567</v>
      </c>
      <c r="B513" s="2">
        <v>45845</v>
      </c>
      <c r="C513" t="s">
        <v>40</v>
      </c>
      <c r="D513" t="s">
        <v>50</v>
      </c>
      <c r="E513" t="s">
        <v>17</v>
      </c>
      <c r="F513" t="s">
        <v>44</v>
      </c>
      <c r="G513" t="s">
        <v>22</v>
      </c>
      <c r="H513" t="s">
        <v>30</v>
      </c>
      <c r="I513">
        <v>6</v>
      </c>
      <c r="J513" s="3">
        <v>15.65</v>
      </c>
      <c r="K513" s="4">
        <v>0.15</v>
      </c>
      <c r="L513" s="3">
        <v>79.81</v>
      </c>
      <c r="M513" s="3">
        <v>64.930000000000007</v>
      </c>
      <c r="N513" s="3">
        <v>14.88</v>
      </c>
    </row>
    <row r="514" spans="1:14" x14ac:dyDescent="0.35">
      <c r="A514" t="s">
        <v>568</v>
      </c>
      <c r="B514" s="2">
        <v>45846</v>
      </c>
      <c r="C514" t="s">
        <v>15</v>
      </c>
      <c r="D514" t="s">
        <v>59</v>
      </c>
      <c r="E514" t="s">
        <v>27</v>
      </c>
      <c r="F514" t="s">
        <v>28</v>
      </c>
      <c r="G514" t="s">
        <v>22</v>
      </c>
      <c r="H514" t="s">
        <v>20</v>
      </c>
      <c r="I514">
        <v>7</v>
      </c>
      <c r="J514" s="3">
        <v>137.25</v>
      </c>
      <c r="K514" s="4">
        <v>0</v>
      </c>
      <c r="L514" s="3">
        <v>960.75</v>
      </c>
      <c r="M514" s="3">
        <v>734.69</v>
      </c>
      <c r="N514" s="3">
        <v>226.06</v>
      </c>
    </row>
    <row r="515" spans="1:14" x14ac:dyDescent="0.35">
      <c r="A515" t="s">
        <v>569</v>
      </c>
      <c r="B515" s="2">
        <v>45846</v>
      </c>
      <c r="C515" t="s">
        <v>40</v>
      </c>
      <c r="D515" t="s">
        <v>50</v>
      </c>
      <c r="E515" t="s">
        <v>17</v>
      </c>
      <c r="F515" t="s">
        <v>34</v>
      </c>
      <c r="G515" t="s">
        <v>22</v>
      </c>
      <c r="H515" t="s">
        <v>20</v>
      </c>
      <c r="I515">
        <v>5</v>
      </c>
      <c r="J515" s="3">
        <v>22.45</v>
      </c>
      <c r="K515" s="4">
        <v>0.15</v>
      </c>
      <c r="L515" s="3">
        <v>95.41</v>
      </c>
      <c r="M515" s="3">
        <v>71.64</v>
      </c>
      <c r="N515" s="3">
        <v>23.77</v>
      </c>
    </row>
    <row r="516" spans="1:14" x14ac:dyDescent="0.35">
      <c r="A516" t="s">
        <v>570</v>
      </c>
      <c r="B516" s="2">
        <v>45847</v>
      </c>
      <c r="C516" t="s">
        <v>15</v>
      </c>
      <c r="D516" t="s">
        <v>59</v>
      </c>
      <c r="E516" t="s">
        <v>17</v>
      </c>
      <c r="F516" t="s">
        <v>34</v>
      </c>
      <c r="G516" t="s">
        <v>29</v>
      </c>
      <c r="H516" t="s">
        <v>30</v>
      </c>
      <c r="I516">
        <v>5</v>
      </c>
      <c r="J516" s="3">
        <v>21.09</v>
      </c>
      <c r="K516" s="4">
        <v>0.1</v>
      </c>
      <c r="L516" s="3">
        <v>94.91</v>
      </c>
      <c r="M516" s="3">
        <v>82.14</v>
      </c>
      <c r="N516" s="3">
        <v>12.77</v>
      </c>
    </row>
    <row r="517" spans="1:14" x14ac:dyDescent="0.35">
      <c r="A517" t="s">
        <v>571</v>
      </c>
      <c r="B517" s="2">
        <v>45847</v>
      </c>
      <c r="C517" t="s">
        <v>15</v>
      </c>
      <c r="D517" t="s">
        <v>46</v>
      </c>
      <c r="E517" t="s">
        <v>53</v>
      </c>
      <c r="F517" t="s">
        <v>115</v>
      </c>
      <c r="G517" t="s">
        <v>22</v>
      </c>
      <c r="H517" t="s">
        <v>23</v>
      </c>
      <c r="I517">
        <v>11</v>
      </c>
      <c r="J517" s="3">
        <v>11.07</v>
      </c>
      <c r="K517" s="4">
        <v>0.05</v>
      </c>
      <c r="L517" s="3">
        <v>115.68</v>
      </c>
      <c r="M517" s="3">
        <v>72.63</v>
      </c>
      <c r="N517" s="3">
        <v>43.05</v>
      </c>
    </row>
    <row r="518" spans="1:14" x14ac:dyDescent="0.35">
      <c r="A518" t="s">
        <v>572</v>
      </c>
      <c r="B518" s="2">
        <v>45847</v>
      </c>
      <c r="C518" t="s">
        <v>15</v>
      </c>
      <c r="D518" t="s">
        <v>16</v>
      </c>
      <c r="E518" t="s">
        <v>53</v>
      </c>
      <c r="F518" t="s">
        <v>83</v>
      </c>
      <c r="G518" t="s">
        <v>29</v>
      </c>
      <c r="H518" t="s">
        <v>30</v>
      </c>
      <c r="I518">
        <v>12</v>
      </c>
      <c r="J518" s="3">
        <v>15.15</v>
      </c>
      <c r="K518" s="4">
        <v>0.1</v>
      </c>
      <c r="L518" s="3">
        <v>163.62</v>
      </c>
      <c r="M518" s="3">
        <v>141.05000000000001</v>
      </c>
      <c r="N518" s="3">
        <v>22.57</v>
      </c>
    </row>
    <row r="519" spans="1:14" x14ac:dyDescent="0.35">
      <c r="A519" t="s">
        <v>573</v>
      </c>
      <c r="B519" s="2">
        <v>45848</v>
      </c>
      <c r="C519" t="s">
        <v>40</v>
      </c>
      <c r="D519" t="s">
        <v>41</v>
      </c>
      <c r="E519" t="s">
        <v>17</v>
      </c>
      <c r="F519" t="s">
        <v>34</v>
      </c>
      <c r="G519" t="s">
        <v>19</v>
      </c>
      <c r="H519" t="s">
        <v>20</v>
      </c>
      <c r="I519">
        <v>12</v>
      </c>
      <c r="J519" s="3">
        <v>19.260000000000002</v>
      </c>
      <c r="K519" s="4">
        <v>0</v>
      </c>
      <c r="L519" s="3">
        <v>231.12</v>
      </c>
      <c r="M519" s="3">
        <v>149.97999999999999</v>
      </c>
      <c r="N519" s="3">
        <v>81.14</v>
      </c>
    </row>
    <row r="520" spans="1:14" x14ac:dyDescent="0.35">
      <c r="A520" t="s">
        <v>574</v>
      </c>
      <c r="B520" s="2">
        <v>45849</v>
      </c>
      <c r="C520" t="s">
        <v>25</v>
      </c>
      <c r="D520" t="s">
        <v>26</v>
      </c>
      <c r="E520" t="s">
        <v>17</v>
      </c>
      <c r="F520" t="s">
        <v>34</v>
      </c>
      <c r="G520" t="s">
        <v>22</v>
      </c>
      <c r="H520" t="s">
        <v>23</v>
      </c>
      <c r="I520">
        <v>8</v>
      </c>
      <c r="J520" s="3">
        <v>18.88</v>
      </c>
      <c r="K520" s="4">
        <v>0.1</v>
      </c>
      <c r="L520" s="3">
        <v>135.94</v>
      </c>
      <c r="M520" s="3">
        <v>101.41</v>
      </c>
      <c r="N520" s="3">
        <v>34.53</v>
      </c>
    </row>
    <row r="521" spans="1:14" x14ac:dyDescent="0.35">
      <c r="A521" t="s">
        <v>575</v>
      </c>
      <c r="B521" s="2">
        <v>45849</v>
      </c>
      <c r="C521" t="s">
        <v>40</v>
      </c>
      <c r="D521" t="s">
        <v>50</v>
      </c>
      <c r="E521" t="s">
        <v>27</v>
      </c>
      <c r="F521" t="s">
        <v>48</v>
      </c>
      <c r="G521" t="s">
        <v>29</v>
      </c>
      <c r="H521" t="s">
        <v>30</v>
      </c>
      <c r="I521">
        <v>11</v>
      </c>
      <c r="J521" s="3">
        <v>243.25</v>
      </c>
      <c r="K521" s="4">
        <v>0</v>
      </c>
      <c r="L521" s="3">
        <v>2675.75</v>
      </c>
      <c r="M521" s="3">
        <v>1896.91</v>
      </c>
      <c r="N521" s="3">
        <v>778.84</v>
      </c>
    </row>
    <row r="522" spans="1:14" x14ac:dyDescent="0.35">
      <c r="A522" t="s">
        <v>576</v>
      </c>
      <c r="B522" s="2">
        <v>45849</v>
      </c>
      <c r="C522" t="s">
        <v>40</v>
      </c>
      <c r="D522" t="s">
        <v>71</v>
      </c>
      <c r="E522" t="s">
        <v>37</v>
      </c>
      <c r="F522" t="s">
        <v>38</v>
      </c>
      <c r="G522" t="s">
        <v>22</v>
      </c>
      <c r="H522" t="s">
        <v>20</v>
      </c>
      <c r="I522">
        <v>9</v>
      </c>
      <c r="J522" s="3">
        <v>50.42</v>
      </c>
      <c r="K522" s="4">
        <v>0</v>
      </c>
      <c r="L522" s="3">
        <v>453.78</v>
      </c>
      <c r="M522" s="3">
        <v>303.13</v>
      </c>
      <c r="N522" s="3">
        <v>150.65</v>
      </c>
    </row>
    <row r="523" spans="1:14" x14ac:dyDescent="0.35">
      <c r="A523" t="s">
        <v>577</v>
      </c>
      <c r="B523" s="2">
        <v>45849</v>
      </c>
      <c r="C523" t="s">
        <v>32</v>
      </c>
      <c r="D523" t="s">
        <v>33</v>
      </c>
      <c r="E523" t="s">
        <v>53</v>
      </c>
      <c r="F523" t="s">
        <v>54</v>
      </c>
      <c r="G523" t="s">
        <v>22</v>
      </c>
      <c r="H523" t="s">
        <v>20</v>
      </c>
      <c r="I523">
        <v>2</v>
      </c>
      <c r="J523" s="3">
        <v>6.84</v>
      </c>
      <c r="K523" s="4">
        <v>0</v>
      </c>
      <c r="L523" s="3">
        <v>13.68</v>
      </c>
      <c r="M523" s="3">
        <v>10.63</v>
      </c>
      <c r="N523" s="3">
        <v>3.05</v>
      </c>
    </row>
    <row r="524" spans="1:14" x14ac:dyDescent="0.35">
      <c r="A524" t="s">
        <v>578</v>
      </c>
      <c r="B524" s="2">
        <v>45849</v>
      </c>
      <c r="C524" t="s">
        <v>25</v>
      </c>
      <c r="D524" t="s">
        <v>26</v>
      </c>
      <c r="E524" t="s">
        <v>27</v>
      </c>
      <c r="F524" t="s">
        <v>79</v>
      </c>
      <c r="G524" t="s">
        <v>22</v>
      </c>
      <c r="H524" t="s">
        <v>23</v>
      </c>
      <c r="I524">
        <v>3</v>
      </c>
      <c r="J524" s="3">
        <v>101.16</v>
      </c>
      <c r="K524" s="4">
        <v>0.15</v>
      </c>
      <c r="L524" s="3">
        <v>257.95999999999998</v>
      </c>
      <c r="M524" s="3">
        <v>182.21</v>
      </c>
      <c r="N524" s="3">
        <v>75.75</v>
      </c>
    </row>
    <row r="525" spans="1:14" x14ac:dyDescent="0.35">
      <c r="A525" t="s">
        <v>579</v>
      </c>
      <c r="B525" s="2">
        <v>45850</v>
      </c>
      <c r="C525" t="s">
        <v>32</v>
      </c>
      <c r="D525" t="s">
        <v>57</v>
      </c>
      <c r="E525" t="s">
        <v>27</v>
      </c>
      <c r="F525" t="s">
        <v>48</v>
      </c>
      <c r="G525" t="s">
        <v>22</v>
      </c>
      <c r="H525" t="s">
        <v>30</v>
      </c>
      <c r="I525">
        <v>3</v>
      </c>
      <c r="J525" s="3">
        <v>297.36</v>
      </c>
      <c r="K525" s="4">
        <v>0</v>
      </c>
      <c r="L525" s="3">
        <v>892.08</v>
      </c>
      <c r="M525" s="3">
        <v>461.59</v>
      </c>
      <c r="N525" s="3">
        <v>430.49</v>
      </c>
    </row>
    <row r="526" spans="1:14" x14ac:dyDescent="0.35">
      <c r="A526" t="s">
        <v>580</v>
      </c>
      <c r="B526" s="2">
        <v>45851</v>
      </c>
      <c r="C526" t="s">
        <v>15</v>
      </c>
      <c r="D526" t="s">
        <v>59</v>
      </c>
      <c r="E526" t="s">
        <v>37</v>
      </c>
      <c r="F526" t="s">
        <v>38</v>
      </c>
      <c r="G526" t="s">
        <v>29</v>
      </c>
      <c r="H526" t="s">
        <v>23</v>
      </c>
      <c r="I526">
        <v>2</v>
      </c>
      <c r="J526" s="3">
        <v>53.34</v>
      </c>
      <c r="K526" s="4">
        <v>0.15</v>
      </c>
      <c r="L526" s="3">
        <v>90.68</v>
      </c>
      <c r="M526" s="3">
        <v>58.72</v>
      </c>
      <c r="N526" s="3">
        <v>31.96</v>
      </c>
    </row>
    <row r="527" spans="1:14" x14ac:dyDescent="0.35">
      <c r="A527" t="s">
        <v>581</v>
      </c>
      <c r="B527" s="2">
        <v>45851</v>
      </c>
      <c r="C527" t="s">
        <v>32</v>
      </c>
      <c r="D527" t="s">
        <v>33</v>
      </c>
      <c r="E527" t="s">
        <v>17</v>
      </c>
      <c r="F527" t="s">
        <v>44</v>
      </c>
      <c r="G527" t="s">
        <v>22</v>
      </c>
      <c r="H527" t="s">
        <v>23</v>
      </c>
      <c r="I527">
        <v>11</v>
      </c>
      <c r="J527" s="3">
        <v>19</v>
      </c>
      <c r="K527" s="4">
        <v>0.15</v>
      </c>
      <c r="L527" s="3">
        <v>177.65</v>
      </c>
      <c r="M527" s="3">
        <v>108.66</v>
      </c>
      <c r="N527" s="3">
        <v>68.989999999999995</v>
      </c>
    </row>
    <row r="528" spans="1:14" x14ac:dyDescent="0.35">
      <c r="A528" t="s">
        <v>582</v>
      </c>
      <c r="B528" s="2">
        <v>45851</v>
      </c>
      <c r="C528" t="s">
        <v>15</v>
      </c>
      <c r="D528" t="s">
        <v>46</v>
      </c>
      <c r="E528" t="s">
        <v>17</v>
      </c>
      <c r="F528" t="s">
        <v>44</v>
      </c>
      <c r="G528" t="s">
        <v>29</v>
      </c>
      <c r="H528" t="s">
        <v>30</v>
      </c>
      <c r="I528">
        <v>11</v>
      </c>
      <c r="J528" s="3">
        <v>13.65</v>
      </c>
      <c r="K528" s="4">
        <v>0</v>
      </c>
      <c r="L528" s="3">
        <v>150.15</v>
      </c>
      <c r="M528" s="3">
        <v>75.8</v>
      </c>
      <c r="N528" s="3">
        <v>74.349999999999994</v>
      </c>
    </row>
    <row r="529" spans="1:14" x14ac:dyDescent="0.35">
      <c r="A529" t="s">
        <v>583</v>
      </c>
      <c r="B529" s="2">
        <v>45851</v>
      </c>
      <c r="C529" t="s">
        <v>40</v>
      </c>
      <c r="D529" t="s">
        <v>41</v>
      </c>
      <c r="E529" t="s">
        <v>17</v>
      </c>
      <c r="F529" t="s">
        <v>18</v>
      </c>
      <c r="G529" t="s">
        <v>19</v>
      </c>
      <c r="H529" t="s">
        <v>30</v>
      </c>
      <c r="I529">
        <v>10</v>
      </c>
      <c r="J529" s="3">
        <v>63.66</v>
      </c>
      <c r="K529" s="4">
        <v>0.1</v>
      </c>
      <c r="L529" s="3">
        <v>572.94000000000005</v>
      </c>
      <c r="M529" s="3">
        <v>324.68</v>
      </c>
      <c r="N529" s="3">
        <v>248.26</v>
      </c>
    </row>
    <row r="530" spans="1:14" x14ac:dyDescent="0.35">
      <c r="A530" t="s">
        <v>584</v>
      </c>
      <c r="B530" s="2">
        <v>45851</v>
      </c>
      <c r="C530" t="s">
        <v>15</v>
      </c>
      <c r="D530" t="s">
        <v>16</v>
      </c>
      <c r="E530" t="s">
        <v>17</v>
      </c>
      <c r="F530" t="s">
        <v>87</v>
      </c>
      <c r="G530" t="s">
        <v>22</v>
      </c>
      <c r="H530" t="s">
        <v>20</v>
      </c>
      <c r="I530">
        <v>3</v>
      </c>
      <c r="J530" s="3">
        <v>14.37</v>
      </c>
      <c r="K530" s="4">
        <v>0.1</v>
      </c>
      <c r="L530" s="3">
        <v>38.799999999999997</v>
      </c>
      <c r="M530" s="3">
        <v>30.54</v>
      </c>
      <c r="N530" s="3">
        <v>8.26</v>
      </c>
    </row>
    <row r="531" spans="1:14" x14ac:dyDescent="0.35">
      <c r="A531" t="s">
        <v>585</v>
      </c>
      <c r="B531" s="2">
        <v>45852</v>
      </c>
      <c r="C531" t="s">
        <v>25</v>
      </c>
      <c r="D531" t="s">
        <v>74</v>
      </c>
      <c r="E531" t="s">
        <v>53</v>
      </c>
      <c r="F531" t="s">
        <v>115</v>
      </c>
      <c r="G531" t="s">
        <v>29</v>
      </c>
      <c r="H531" t="s">
        <v>20</v>
      </c>
      <c r="I531">
        <v>10</v>
      </c>
      <c r="J531" s="3">
        <v>13.8</v>
      </c>
      <c r="K531" s="4">
        <v>0.15</v>
      </c>
      <c r="L531" s="3">
        <v>117.3</v>
      </c>
      <c r="M531" s="3">
        <v>76.13</v>
      </c>
      <c r="N531" s="3">
        <v>41.17</v>
      </c>
    </row>
    <row r="532" spans="1:14" x14ac:dyDescent="0.35">
      <c r="A532" t="s">
        <v>586</v>
      </c>
      <c r="B532" s="2">
        <v>45853</v>
      </c>
      <c r="C532" t="s">
        <v>32</v>
      </c>
      <c r="D532" t="s">
        <v>36</v>
      </c>
      <c r="E532" t="s">
        <v>37</v>
      </c>
      <c r="F532" t="s">
        <v>75</v>
      </c>
      <c r="G532" t="s">
        <v>29</v>
      </c>
      <c r="H532" t="s">
        <v>20</v>
      </c>
      <c r="I532">
        <v>5</v>
      </c>
      <c r="J532" s="3">
        <v>24.94</v>
      </c>
      <c r="K532" s="4">
        <v>0.05</v>
      </c>
      <c r="L532" s="3">
        <v>118.47</v>
      </c>
      <c r="M532" s="3">
        <v>60.78</v>
      </c>
      <c r="N532" s="3">
        <v>57.69</v>
      </c>
    </row>
    <row r="533" spans="1:14" x14ac:dyDescent="0.35">
      <c r="A533" t="s">
        <v>587</v>
      </c>
      <c r="B533" s="2">
        <v>45854</v>
      </c>
      <c r="C533" t="s">
        <v>40</v>
      </c>
      <c r="D533" t="s">
        <v>41</v>
      </c>
      <c r="E533" t="s">
        <v>17</v>
      </c>
      <c r="F533" t="s">
        <v>18</v>
      </c>
      <c r="G533" t="s">
        <v>19</v>
      </c>
      <c r="H533" t="s">
        <v>30</v>
      </c>
      <c r="I533">
        <v>2</v>
      </c>
      <c r="J533" s="3">
        <v>63.6</v>
      </c>
      <c r="K533" s="4">
        <v>0</v>
      </c>
      <c r="L533" s="3">
        <v>127.2</v>
      </c>
      <c r="M533" s="3">
        <v>63.04</v>
      </c>
      <c r="N533" s="3">
        <v>64.16</v>
      </c>
    </row>
    <row r="534" spans="1:14" x14ac:dyDescent="0.35">
      <c r="A534" t="s">
        <v>588</v>
      </c>
      <c r="B534" s="2">
        <v>45855</v>
      </c>
      <c r="C534" t="s">
        <v>15</v>
      </c>
      <c r="D534" t="s">
        <v>59</v>
      </c>
      <c r="E534" t="s">
        <v>27</v>
      </c>
      <c r="F534" t="s">
        <v>48</v>
      </c>
      <c r="G534" t="s">
        <v>19</v>
      </c>
      <c r="H534" t="s">
        <v>30</v>
      </c>
      <c r="I534">
        <v>10</v>
      </c>
      <c r="J534" s="3">
        <v>287.99</v>
      </c>
      <c r="K534" s="4">
        <v>0.1</v>
      </c>
      <c r="L534" s="3">
        <v>2591.91</v>
      </c>
      <c r="M534" s="3">
        <v>1577.5</v>
      </c>
      <c r="N534" s="3">
        <v>1014.41</v>
      </c>
    </row>
    <row r="535" spans="1:14" x14ac:dyDescent="0.35">
      <c r="A535" t="s">
        <v>589</v>
      </c>
      <c r="B535" s="2">
        <v>45855</v>
      </c>
      <c r="C535" t="s">
        <v>25</v>
      </c>
      <c r="D535" t="s">
        <v>26</v>
      </c>
      <c r="E535" t="s">
        <v>17</v>
      </c>
      <c r="F535" t="s">
        <v>87</v>
      </c>
      <c r="G535" t="s">
        <v>29</v>
      </c>
      <c r="H535" t="s">
        <v>20</v>
      </c>
      <c r="I535">
        <v>12</v>
      </c>
      <c r="J535" s="3">
        <v>16.77</v>
      </c>
      <c r="K535" s="4">
        <v>0</v>
      </c>
      <c r="L535" s="3">
        <v>201.24</v>
      </c>
      <c r="M535" s="3">
        <v>124.42</v>
      </c>
      <c r="N535" s="3">
        <v>76.819999999999993</v>
      </c>
    </row>
    <row r="536" spans="1:14" x14ac:dyDescent="0.35">
      <c r="A536" t="s">
        <v>590</v>
      </c>
      <c r="B536" s="2">
        <v>45856</v>
      </c>
      <c r="C536" t="s">
        <v>25</v>
      </c>
      <c r="D536" t="s">
        <v>74</v>
      </c>
      <c r="E536" t="s">
        <v>27</v>
      </c>
      <c r="F536" t="s">
        <v>79</v>
      </c>
      <c r="G536" t="s">
        <v>29</v>
      </c>
      <c r="H536" t="s">
        <v>20</v>
      </c>
      <c r="I536">
        <v>12</v>
      </c>
      <c r="J536" s="3">
        <v>94.13</v>
      </c>
      <c r="K536" s="4">
        <v>0</v>
      </c>
      <c r="L536" s="3">
        <v>1129.56</v>
      </c>
      <c r="M536" s="3">
        <v>659.03</v>
      </c>
      <c r="N536" s="3">
        <v>470.53</v>
      </c>
    </row>
    <row r="537" spans="1:14" x14ac:dyDescent="0.35">
      <c r="A537" t="s">
        <v>591</v>
      </c>
      <c r="B537" s="2">
        <v>45856</v>
      </c>
      <c r="C537" t="s">
        <v>40</v>
      </c>
      <c r="D537" t="s">
        <v>71</v>
      </c>
      <c r="E537" t="s">
        <v>37</v>
      </c>
      <c r="F537" t="s">
        <v>75</v>
      </c>
      <c r="G537" t="s">
        <v>19</v>
      </c>
      <c r="H537" t="s">
        <v>20</v>
      </c>
      <c r="I537">
        <v>5</v>
      </c>
      <c r="J537" s="3">
        <v>22.93</v>
      </c>
      <c r="K537" s="4">
        <v>0</v>
      </c>
      <c r="L537" s="3">
        <v>114.65</v>
      </c>
      <c r="M537" s="3">
        <v>65.260000000000005</v>
      </c>
      <c r="N537" s="3">
        <v>49.39</v>
      </c>
    </row>
    <row r="538" spans="1:14" x14ac:dyDescent="0.35">
      <c r="A538" t="s">
        <v>592</v>
      </c>
      <c r="B538" s="2">
        <v>45856</v>
      </c>
      <c r="C538" t="s">
        <v>15</v>
      </c>
      <c r="D538" t="s">
        <v>59</v>
      </c>
      <c r="E538" t="s">
        <v>53</v>
      </c>
      <c r="F538" t="s">
        <v>54</v>
      </c>
      <c r="G538" t="s">
        <v>22</v>
      </c>
      <c r="H538" t="s">
        <v>23</v>
      </c>
      <c r="I538">
        <v>10</v>
      </c>
      <c r="J538" s="3">
        <v>8.5</v>
      </c>
      <c r="K538" s="4">
        <v>0</v>
      </c>
      <c r="L538" s="3">
        <v>85</v>
      </c>
      <c r="M538" s="3">
        <v>55.26</v>
      </c>
      <c r="N538" s="3">
        <v>29.74</v>
      </c>
    </row>
    <row r="539" spans="1:14" x14ac:dyDescent="0.35">
      <c r="A539" t="s">
        <v>593</v>
      </c>
      <c r="B539" s="2">
        <v>45857</v>
      </c>
      <c r="C539" t="s">
        <v>32</v>
      </c>
      <c r="D539" t="s">
        <v>36</v>
      </c>
      <c r="E539" t="s">
        <v>53</v>
      </c>
      <c r="F539" t="s">
        <v>83</v>
      </c>
      <c r="G539" t="s">
        <v>19</v>
      </c>
      <c r="H539" t="s">
        <v>30</v>
      </c>
      <c r="I539">
        <v>4</v>
      </c>
      <c r="J539" s="3">
        <v>13.51</v>
      </c>
      <c r="K539" s="4">
        <v>0</v>
      </c>
      <c r="L539" s="3">
        <v>54.04</v>
      </c>
      <c r="M539" s="3">
        <v>29.41</v>
      </c>
      <c r="N539" s="3">
        <v>24.63</v>
      </c>
    </row>
    <row r="540" spans="1:14" x14ac:dyDescent="0.35">
      <c r="A540" t="s">
        <v>594</v>
      </c>
      <c r="B540" s="2">
        <v>45857</v>
      </c>
      <c r="C540" t="s">
        <v>32</v>
      </c>
      <c r="D540" t="s">
        <v>33</v>
      </c>
      <c r="E540" t="s">
        <v>17</v>
      </c>
      <c r="F540" t="s">
        <v>87</v>
      </c>
      <c r="G540" t="s">
        <v>19</v>
      </c>
      <c r="H540" t="s">
        <v>20</v>
      </c>
      <c r="I540">
        <v>5</v>
      </c>
      <c r="J540" s="3">
        <v>12.29</v>
      </c>
      <c r="K540" s="4">
        <v>0</v>
      </c>
      <c r="L540" s="3">
        <v>61.45</v>
      </c>
      <c r="M540" s="3">
        <v>39.020000000000003</v>
      </c>
      <c r="N540" s="3">
        <v>22.43</v>
      </c>
    </row>
    <row r="541" spans="1:14" x14ac:dyDescent="0.35">
      <c r="A541" t="s">
        <v>595</v>
      </c>
      <c r="B541" s="2">
        <v>45857</v>
      </c>
      <c r="C541" t="s">
        <v>25</v>
      </c>
      <c r="D541" t="s">
        <v>26</v>
      </c>
      <c r="E541" t="s">
        <v>53</v>
      </c>
      <c r="F541" t="s">
        <v>115</v>
      </c>
      <c r="G541" t="s">
        <v>29</v>
      </c>
      <c r="H541" t="s">
        <v>23</v>
      </c>
      <c r="I541">
        <v>2</v>
      </c>
      <c r="J541" s="3">
        <v>13.53</v>
      </c>
      <c r="K541" s="4">
        <v>0</v>
      </c>
      <c r="L541" s="3">
        <v>27.06</v>
      </c>
      <c r="M541" s="3">
        <v>14.25</v>
      </c>
      <c r="N541" s="3">
        <v>12.81</v>
      </c>
    </row>
    <row r="542" spans="1:14" x14ac:dyDescent="0.35">
      <c r="A542" t="s">
        <v>596</v>
      </c>
      <c r="B542" s="2">
        <v>45858</v>
      </c>
      <c r="C542" t="s">
        <v>25</v>
      </c>
      <c r="D542" t="s">
        <v>26</v>
      </c>
      <c r="E542" t="s">
        <v>27</v>
      </c>
      <c r="F542" t="s">
        <v>68</v>
      </c>
      <c r="G542" t="s">
        <v>29</v>
      </c>
      <c r="H542" t="s">
        <v>23</v>
      </c>
      <c r="I542">
        <v>12</v>
      </c>
      <c r="J542" s="3">
        <v>41.27</v>
      </c>
      <c r="K542" s="4">
        <v>0.05</v>
      </c>
      <c r="L542" s="3">
        <v>470.48</v>
      </c>
      <c r="M542" s="3">
        <v>298.23</v>
      </c>
      <c r="N542" s="3">
        <v>172.25</v>
      </c>
    </row>
    <row r="543" spans="1:14" x14ac:dyDescent="0.35">
      <c r="A543" t="s">
        <v>597</v>
      </c>
      <c r="B543" s="2">
        <v>45858</v>
      </c>
      <c r="C543" t="s">
        <v>25</v>
      </c>
      <c r="D543" t="s">
        <v>74</v>
      </c>
      <c r="E543" t="s">
        <v>53</v>
      </c>
      <c r="F543" t="s">
        <v>115</v>
      </c>
      <c r="G543" t="s">
        <v>29</v>
      </c>
      <c r="H543" t="s">
        <v>20</v>
      </c>
      <c r="I543">
        <v>5</v>
      </c>
      <c r="J543" s="3">
        <v>12.55</v>
      </c>
      <c r="K543" s="4">
        <v>0.05</v>
      </c>
      <c r="L543" s="3">
        <v>59.61</v>
      </c>
      <c r="M543" s="3">
        <v>45.43</v>
      </c>
      <c r="N543" s="3">
        <v>14.18</v>
      </c>
    </row>
    <row r="544" spans="1:14" x14ac:dyDescent="0.35">
      <c r="A544" t="s">
        <v>598</v>
      </c>
      <c r="B544" s="2">
        <v>45858</v>
      </c>
      <c r="C544" t="s">
        <v>32</v>
      </c>
      <c r="D544" t="s">
        <v>57</v>
      </c>
      <c r="E544" t="s">
        <v>37</v>
      </c>
      <c r="F544" t="s">
        <v>38</v>
      </c>
      <c r="G544" t="s">
        <v>29</v>
      </c>
      <c r="H544" t="s">
        <v>20</v>
      </c>
      <c r="I544">
        <v>6</v>
      </c>
      <c r="J544" s="3">
        <v>63.03</v>
      </c>
      <c r="K544" s="4">
        <v>0.15</v>
      </c>
      <c r="L544" s="3">
        <v>321.45</v>
      </c>
      <c r="M544" s="3">
        <v>201.1</v>
      </c>
      <c r="N544" s="3">
        <v>120.35</v>
      </c>
    </row>
    <row r="545" spans="1:14" x14ac:dyDescent="0.35">
      <c r="A545" t="s">
        <v>599</v>
      </c>
      <c r="B545" s="2">
        <v>45859</v>
      </c>
      <c r="C545" t="s">
        <v>15</v>
      </c>
      <c r="D545" t="s">
        <v>59</v>
      </c>
      <c r="E545" t="s">
        <v>53</v>
      </c>
      <c r="F545" t="s">
        <v>54</v>
      </c>
      <c r="G545" t="s">
        <v>29</v>
      </c>
      <c r="H545" t="s">
        <v>30</v>
      </c>
      <c r="I545">
        <v>1</v>
      </c>
      <c r="J545" s="3">
        <v>8.92</v>
      </c>
      <c r="K545" s="4">
        <v>0.05</v>
      </c>
      <c r="L545" s="3">
        <v>8.4700000000000006</v>
      </c>
      <c r="M545" s="3">
        <v>5.52</v>
      </c>
      <c r="N545" s="3">
        <v>2.95</v>
      </c>
    </row>
    <row r="546" spans="1:14" x14ac:dyDescent="0.35">
      <c r="A546" t="s">
        <v>600</v>
      </c>
      <c r="B546" s="2">
        <v>45859</v>
      </c>
      <c r="C546" t="s">
        <v>25</v>
      </c>
      <c r="D546" t="s">
        <v>97</v>
      </c>
      <c r="E546" t="s">
        <v>37</v>
      </c>
      <c r="F546" t="s">
        <v>51</v>
      </c>
      <c r="G546" t="s">
        <v>29</v>
      </c>
      <c r="H546" t="s">
        <v>20</v>
      </c>
      <c r="I546">
        <v>3</v>
      </c>
      <c r="J546" s="3">
        <v>30.27</v>
      </c>
      <c r="K546" s="4">
        <v>0.15</v>
      </c>
      <c r="L546" s="3">
        <v>77.19</v>
      </c>
      <c r="M546" s="3">
        <v>51.54</v>
      </c>
      <c r="N546" s="3">
        <v>25.65</v>
      </c>
    </row>
    <row r="547" spans="1:14" x14ac:dyDescent="0.35">
      <c r="A547" t="s">
        <v>601</v>
      </c>
      <c r="B547" s="2">
        <v>45860</v>
      </c>
      <c r="C547" t="s">
        <v>15</v>
      </c>
      <c r="D547" t="s">
        <v>16</v>
      </c>
      <c r="E547" t="s">
        <v>17</v>
      </c>
      <c r="F547" t="s">
        <v>87</v>
      </c>
      <c r="G547" t="s">
        <v>29</v>
      </c>
      <c r="H547" t="s">
        <v>30</v>
      </c>
      <c r="I547">
        <v>5</v>
      </c>
      <c r="J547" s="3">
        <v>12.58</v>
      </c>
      <c r="K547" s="4">
        <v>0.15</v>
      </c>
      <c r="L547" s="3">
        <v>53.46</v>
      </c>
      <c r="M547" s="3">
        <v>40.36</v>
      </c>
      <c r="N547" s="3">
        <v>13.1</v>
      </c>
    </row>
    <row r="548" spans="1:14" x14ac:dyDescent="0.35">
      <c r="A548" t="s">
        <v>602</v>
      </c>
      <c r="B548" s="2">
        <v>45860</v>
      </c>
      <c r="C548" t="s">
        <v>32</v>
      </c>
      <c r="D548" t="s">
        <v>33</v>
      </c>
      <c r="E548" t="s">
        <v>27</v>
      </c>
      <c r="F548" t="s">
        <v>68</v>
      </c>
      <c r="G548" t="s">
        <v>22</v>
      </c>
      <c r="H548" t="s">
        <v>20</v>
      </c>
      <c r="I548">
        <v>7</v>
      </c>
      <c r="J548" s="3">
        <v>45.53</v>
      </c>
      <c r="K548" s="4">
        <v>0.05</v>
      </c>
      <c r="L548" s="3">
        <v>302.77</v>
      </c>
      <c r="M548" s="3">
        <v>174.45</v>
      </c>
      <c r="N548" s="3">
        <v>128.32</v>
      </c>
    </row>
    <row r="549" spans="1:14" x14ac:dyDescent="0.35">
      <c r="A549" t="s">
        <v>603</v>
      </c>
      <c r="B549" s="2">
        <v>45860</v>
      </c>
      <c r="C549" t="s">
        <v>25</v>
      </c>
      <c r="D549" t="s">
        <v>97</v>
      </c>
      <c r="E549" t="s">
        <v>27</v>
      </c>
      <c r="F549" t="s">
        <v>48</v>
      </c>
      <c r="G549" t="s">
        <v>22</v>
      </c>
      <c r="H549" t="s">
        <v>30</v>
      </c>
      <c r="I549">
        <v>8</v>
      </c>
      <c r="J549" s="3">
        <v>249.01</v>
      </c>
      <c r="K549" s="4">
        <v>0.15</v>
      </c>
      <c r="L549" s="3">
        <v>1693.27</v>
      </c>
      <c r="M549" s="3">
        <v>998.77</v>
      </c>
      <c r="N549" s="3">
        <v>694.5</v>
      </c>
    </row>
    <row r="550" spans="1:14" x14ac:dyDescent="0.35">
      <c r="A550" t="s">
        <v>604</v>
      </c>
      <c r="B550" s="2">
        <v>45861</v>
      </c>
      <c r="C550" t="s">
        <v>15</v>
      </c>
      <c r="D550" t="s">
        <v>16</v>
      </c>
      <c r="E550" t="s">
        <v>17</v>
      </c>
      <c r="F550" t="s">
        <v>44</v>
      </c>
      <c r="G550" t="s">
        <v>19</v>
      </c>
      <c r="H550" t="s">
        <v>20</v>
      </c>
      <c r="I550">
        <v>3</v>
      </c>
      <c r="J550" s="3">
        <v>16.05</v>
      </c>
      <c r="K550" s="4">
        <v>0.15</v>
      </c>
      <c r="L550" s="3">
        <v>40.93</v>
      </c>
      <c r="M550" s="3">
        <v>28.66</v>
      </c>
      <c r="N550" s="3">
        <v>12.27</v>
      </c>
    </row>
    <row r="551" spans="1:14" x14ac:dyDescent="0.35">
      <c r="A551" t="s">
        <v>605</v>
      </c>
      <c r="B551" s="2">
        <v>45861</v>
      </c>
      <c r="C551" t="s">
        <v>15</v>
      </c>
      <c r="D551" t="s">
        <v>46</v>
      </c>
      <c r="E551" t="s">
        <v>37</v>
      </c>
      <c r="F551" t="s">
        <v>38</v>
      </c>
      <c r="G551" t="s">
        <v>29</v>
      </c>
      <c r="H551" t="s">
        <v>23</v>
      </c>
      <c r="I551">
        <v>11</v>
      </c>
      <c r="J551" s="3">
        <v>63.29</v>
      </c>
      <c r="K551" s="4">
        <v>0.1</v>
      </c>
      <c r="L551" s="3">
        <v>626.57000000000005</v>
      </c>
      <c r="M551" s="3">
        <v>533.45000000000005</v>
      </c>
      <c r="N551" s="3">
        <v>93.12</v>
      </c>
    </row>
    <row r="552" spans="1:14" x14ac:dyDescent="0.35">
      <c r="A552" t="s">
        <v>606</v>
      </c>
      <c r="B552" s="2">
        <v>45861</v>
      </c>
      <c r="C552" t="s">
        <v>15</v>
      </c>
      <c r="D552" t="s">
        <v>16</v>
      </c>
      <c r="E552" t="s">
        <v>37</v>
      </c>
      <c r="F552" t="s">
        <v>42</v>
      </c>
      <c r="G552" t="s">
        <v>29</v>
      </c>
      <c r="H552" t="s">
        <v>20</v>
      </c>
      <c r="I552">
        <v>4</v>
      </c>
      <c r="J552" s="3">
        <v>17.649999999999999</v>
      </c>
      <c r="K552" s="4">
        <v>0.15</v>
      </c>
      <c r="L552" s="3">
        <v>60.01</v>
      </c>
      <c r="M552" s="3">
        <v>43.34</v>
      </c>
      <c r="N552" s="3">
        <v>16.670000000000002</v>
      </c>
    </row>
    <row r="553" spans="1:14" x14ac:dyDescent="0.35">
      <c r="A553" t="s">
        <v>607</v>
      </c>
      <c r="B553" s="2">
        <v>45862</v>
      </c>
      <c r="C553" t="s">
        <v>40</v>
      </c>
      <c r="D553" t="s">
        <v>41</v>
      </c>
      <c r="E553" t="s">
        <v>53</v>
      </c>
      <c r="F553" t="s">
        <v>83</v>
      </c>
      <c r="G553" t="s">
        <v>19</v>
      </c>
      <c r="H553" t="s">
        <v>20</v>
      </c>
      <c r="I553">
        <v>1</v>
      </c>
      <c r="J553" s="3">
        <v>12.81</v>
      </c>
      <c r="K553" s="4">
        <v>0</v>
      </c>
      <c r="L553" s="3">
        <v>12.81</v>
      </c>
      <c r="M553" s="3">
        <v>8.8699999999999992</v>
      </c>
      <c r="N553" s="3">
        <v>3.94</v>
      </c>
    </row>
    <row r="554" spans="1:14" x14ac:dyDescent="0.35">
      <c r="A554" t="s">
        <v>608</v>
      </c>
      <c r="B554" s="2">
        <v>45862</v>
      </c>
      <c r="C554" t="s">
        <v>40</v>
      </c>
      <c r="D554" t="s">
        <v>41</v>
      </c>
      <c r="E554" t="s">
        <v>17</v>
      </c>
      <c r="F554" t="s">
        <v>18</v>
      </c>
      <c r="G554" t="s">
        <v>22</v>
      </c>
      <c r="H554" t="s">
        <v>23</v>
      </c>
      <c r="I554">
        <v>7</v>
      </c>
      <c r="J554" s="3">
        <v>78.59</v>
      </c>
      <c r="K554" s="4">
        <v>0.1</v>
      </c>
      <c r="L554" s="3">
        <v>495.12</v>
      </c>
      <c r="M554" s="3">
        <v>396.08</v>
      </c>
      <c r="N554" s="3">
        <v>99.04</v>
      </c>
    </row>
    <row r="555" spans="1:14" x14ac:dyDescent="0.35">
      <c r="A555" t="s">
        <v>609</v>
      </c>
      <c r="B555" s="2">
        <v>45863</v>
      </c>
      <c r="C555" t="s">
        <v>15</v>
      </c>
      <c r="D555" t="s">
        <v>59</v>
      </c>
      <c r="E555" t="s">
        <v>17</v>
      </c>
      <c r="F555" t="s">
        <v>87</v>
      </c>
      <c r="G555" t="s">
        <v>22</v>
      </c>
      <c r="H555" t="s">
        <v>30</v>
      </c>
      <c r="I555">
        <v>10</v>
      </c>
      <c r="J555" s="3">
        <v>13.09</v>
      </c>
      <c r="K555" s="4">
        <v>0</v>
      </c>
      <c r="L555" s="3">
        <v>130.9</v>
      </c>
      <c r="M555" s="3">
        <v>101.08</v>
      </c>
      <c r="N555" s="3">
        <v>29.82</v>
      </c>
    </row>
    <row r="556" spans="1:14" x14ac:dyDescent="0.35">
      <c r="A556" t="s">
        <v>610</v>
      </c>
      <c r="B556" s="2">
        <v>45863</v>
      </c>
      <c r="C556" t="s">
        <v>32</v>
      </c>
      <c r="D556" t="s">
        <v>33</v>
      </c>
      <c r="E556" t="s">
        <v>17</v>
      </c>
      <c r="F556" t="s">
        <v>87</v>
      </c>
      <c r="G556" t="s">
        <v>22</v>
      </c>
      <c r="H556" t="s">
        <v>20</v>
      </c>
      <c r="I556">
        <v>9</v>
      </c>
      <c r="J556" s="3">
        <v>12.96</v>
      </c>
      <c r="K556" s="4">
        <v>0</v>
      </c>
      <c r="L556" s="3">
        <v>116.64</v>
      </c>
      <c r="M556" s="3">
        <v>60.89</v>
      </c>
      <c r="N556" s="3">
        <v>55.75</v>
      </c>
    </row>
    <row r="557" spans="1:14" x14ac:dyDescent="0.35">
      <c r="A557" t="s">
        <v>611</v>
      </c>
      <c r="B557" s="2">
        <v>45863</v>
      </c>
      <c r="C557" t="s">
        <v>40</v>
      </c>
      <c r="D557" t="s">
        <v>41</v>
      </c>
      <c r="E557" t="s">
        <v>53</v>
      </c>
      <c r="F557" t="s">
        <v>83</v>
      </c>
      <c r="G557" t="s">
        <v>29</v>
      </c>
      <c r="H557" t="s">
        <v>23</v>
      </c>
      <c r="I557">
        <v>1</v>
      </c>
      <c r="J557" s="3">
        <v>14.81</v>
      </c>
      <c r="K557" s="4">
        <v>0</v>
      </c>
      <c r="L557" s="3">
        <v>14.81</v>
      </c>
      <c r="M557" s="3">
        <v>10.039999999999999</v>
      </c>
      <c r="N557" s="3">
        <v>4.7699999999999996</v>
      </c>
    </row>
    <row r="558" spans="1:14" x14ac:dyDescent="0.35">
      <c r="A558" t="s">
        <v>612</v>
      </c>
      <c r="B558" s="2">
        <v>45863</v>
      </c>
      <c r="C558" t="s">
        <v>40</v>
      </c>
      <c r="D558" t="s">
        <v>71</v>
      </c>
      <c r="E558" t="s">
        <v>37</v>
      </c>
      <c r="F558" t="s">
        <v>38</v>
      </c>
      <c r="G558" t="s">
        <v>22</v>
      </c>
      <c r="H558" t="s">
        <v>23</v>
      </c>
      <c r="I558">
        <v>4</v>
      </c>
      <c r="J558" s="3">
        <v>64.64</v>
      </c>
      <c r="K558" s="4">
        <v>0.1</v>
      </c>
      <c r="L558" s="3">
        <v>232.7</v>
      </c>
      <c r="M558" s="3">
        <v>125.48</v>
      </c>
      <c r="N558" s="3">
        <v>107.22</v>
      </c>
    </row>
    <row r="559" spans="1:14" x14ac:dyDescent="0.35">
      <c r="A559" t="s">
        <v>613</v>
      </c>
      <c r="B559" s="2">
        <v>45863</v>
      </c>
      <c r="C559" t="s">
        <v>25</v>
      </c>
      <c r="D559" t="s">
        <v>74</v>
      </c>
      <c r="E559" t="s">
        <v>27</v>
      </c>
      <c r="F559" t="s">
        <v>28</v>
      </c>
      <c r="G559" t="s">
        <v>22</v>
      </c>
      <c r="H559" t="s">
        <v>20</v>
      </c>
      <c r="I559">
        <v>10</v>
      </c>
      <c r="J559" s="3">
        <v>153</v>
      </c>
      <c r="K559" s="4">
        <v>0</v>
      </c>
      <c r="L559" s="3">
        <v>1530</v>
      </c>
      <c r="M559" s="3">
        <v>744.41</v>
      </c>
      <c r="N559" s="3">
        <v>785.59</v>
      </c>
    </row>
    <row r="560" spans="1:14" x14ac:dyDescent="0.35">
      <c r="A560" t="s">
        <v>614</v>
      </c>
      <c r="B560" s="2">
        <v>45863</v>
      </c>
      <c r="C560" t="s">
        <v>40</v>
      </c>
      <c r="D560" t="s">
        <v>41</v>
      </c>
      <c r="E560" t="s">
        <v>53</v>
      </c>
      <c r="F560" t="s">
        <v>115</v>
      </c>
      <c r="G560" t="s">
        <v>19</v>
      </c>
      <c r="H560" t="s">
        <v>30</v>
      </c>
      <c r="I560">
        <v>10</v>
      </c>
      <c r="J560" s="3">
        <v>10.72</v>
      </c>
      <c r="K560" s="4">
        <v>0.15</v>
      </c>
      <c r="L560" s="3">
        <v>91.12</v>
      </c>
      <c r="M560" s="3">
        <v>60.44</v>
      </c>
      <c r="N560" s="3">
        <v>30.68</v>
      </c>
    </row>
    <row r="561" spans="1:14" x14ac:dyDescent="0.35">
      <c r="A561" t="s">
        <v>615</v>
      </c>
      <c r="B561" s="2">
        <v>45863</v>
      </c>
      <c r="C561" t="s">
        <v>15</v>
      </c>
      <c r="D561" t="s">
        <v>59</v>
      </c>
      <c r="E561" t="s">
        <v>37</v>
      </c>
      <c r="F561" t="s">
        <v>42</v>
      </c>
      <c r="G561" t="s">
        <v>19</v>
      </c>
      <c r="H561" t="s">
        <v>20</v>
      </c>
      <c r="I561">
        <v>6</v>
      </c>
      <c r="J561" s="3">
        <v>18.670000000000002</v>
      </c>
      <c r="K561" s="4">
        <v>0.05</v>
      </c>
      <c r="L561" s="3">
        <v>106.42</v>
      </c>
      <c r="M561" s="3">
        <v>56.47</v>
      </c>
      <c r="N561" s="3">
        <v>49.95</v>
      </c>
    </row>
    <row r="562" spans="1:14" x14ac:dyDescent="0.35">
      <c r="A562" t="s">
        <v>616</v>
      </c>
      <c r="B562" s="2">
        <v>45863</v>
      </c>
      <c r="C562" t="s">
        <v>32</v>
      </c>
      <c r="D562" t="s">
        <v>57</v>
      </c>
      <c r="E562" t="s">
        <v>17</v>
      </c>
      <c r="F562" t="s">
        <v>44</v>
      </c>
      <c r="G562" t="s">
        <v>22</v>
      </c>
      <c r="H562" t="s">
        <v>23</v>
      </c>
      <c r="I562">
        <v>10</v>
      </c>
      <c r="J562" s="3">
        <v>17.12</v>
      </c>
      <c r="K562" s="4">
        <v>0</v>
      </c>
      <c r="L562" s="3">
        <v>171.2</v>
      </c>
      <c r="M562" s="3">
        <v>89.97</v>
      </c>
      <c r="N562" s="3">
        <v>81.23</v>
      </c>
    </row>
    <row r="563" spans="1:14" x14ac:dyDescent="0.35">
      <c r="A563" t="s">
        <v>617</v>
      </c>
      <c r="B563" s="2">
        <v>45864</v>
      </c>
      <c r="C563" t="s">
        <v>32</v>
      </c>
      <c r="D563" t="s">
        <v>33</v>
      </c>
      <c r="E563" t="s">
        <v>37</v>
      </c>
      <c r="F563" t="s">
        <v>38</v>
      </c>
      <c r="G563" t="s">
        <v>22</v>
      </c>
      <c r="H563" t="s">
        <v>20</v>
      </c>
      <c r="I563">
        <v>4</v>
      </c>
      <c r="J563" s="3">
        <v>63.76</v>
      </c>
      <c r="K563" s="4">
        <v>0.05</v>
      </c>
      <c r="L563" s="3">
        <v>242.29</v>
      </c>
      <c r="M563" s="3">
        <v>147.75</v>
      </c>
      <c r="N563" s="3">
        <v>94.54</v>
      </c>
    </row>
    <row r="564" spans="1:14" x14ac:dyDescent="0.35">
      <c r="A564" t="s">
        <v>618</v>
      </c>
      <c r="B564" s="2">
        <v>45864</v>
      </c>
      <c r="C564" t="s">
        <v>25</v>
      </c>
      <c r="D564" t="s">
        <v>26</v>
      </c>
      <c r="E564" t="s">
        <v>37</v>
      </c>
      <c r="F564" t="s">
        <v>51</v>
      </c>
      <c r="G564" t="s">
        <v>29</v>
      </c>
      <c r="H564" t="s">
        <v>20</v>
      </c>
      <c r="I564">
        <v>4</v>
      </c>
      <c r="J564" s="3">
        <v>35.340000000000003</v>
      </c>
      <c r="K564" s="4">
        <v>0</v>
      </c>
      <c r="L564" s="3">
        <v>141.36000000000001</v>
      </c>
      <c r="M564" s="3">
        <v>76.81</v>
      </c>
      <c r="N564" s="3">
        <v>64.55</v>
      </c>
    </row>
    <row r="565" spans="1:14" x14ac:dyDescent="0.35">
      <c r="A565" t="s">
        <v>619</v>
      </c>
      <c r="B565" s="2">
        <v>45865</v>
      </c>
      <c r="C565" t="s">
        <v>40</v>
      </c>
      <c r="D565" t="s">
        <v>71</v>
      </c>
      <c r="E565" t="s">
        <v>53</v>
      </c>
      <c r="F565" t="s">
        <v>66</v>
      </c>
      <c r="G565" t="s">
        <v>29</v>
      </c>
      <c r="H565" t="s">
        <v>20</v>
      </c>
      <c r="I565">
        <v>2</v>
      </c>
      <c r="J565" s="3">
        <v>18.12</v>
      </c>
      <c r="K565" s="4">
        <v>0.05</v>
      </c>
      <c r="L565" s="3">
        <v>34.43</v>
      </c>
      <c r="M565" s="3">
        <v>21.64</v>
      </c>
      <c r="N565" s="3">
        <v>12.79</v>
      </c>
    </row>
    <row r="566" spans="1:14" x14ac:dyDescent="0.35">
      <c r="A566" t="s">
        <v>620</v>
      </c>
      <c r="B566" s="2">
        <v>45865</v>
      </c>
      <c r="C566" t="s">
        <v>25</v>
      </c>
      <c r="D566" t="s">
        <v>26</v>
      </c>
      <c r="E566" t="s">
        <v>17</v>
      </c>
      <c r="F566" t="s">
        <v>18</v>
      </c>
      <c r="G566" t="s">
        <v>29</v>
      </c>
      <c r="H566" t="s">
        <v>20</v>
      </c>
      <c r="I566">
        <v>1</v>
      </c>
      <c r="J566" s="3">
        <v>71.02</v>
      </c>
      <c r="K566" s="4">
        <v>0</v>
      </c>
      <c r="L566" s="3">
        <v>71.02</v>
      </c>
      <c r="M566" s="3">
        <v>45.48</v>
      </c>
      <c r="N566" s="3">
        <v>25.54</v>
      </c>
    </row>
    <row r="567" spans="1:14" x14ac:dyDescent="0.35">
      <c r="A567" t="s">
        <v>621</v>
      </c>
      <c r="B567" s="2">
        <v>45865</v>
      </c>
      <c r="C567" t="s">
        <v>40</v>
      </c>
      <c r="D567" t="s">
        <v>50</v>
      </c>
      <c r="E567" t="s">
        <v>17</v>
      </c>
      <c r="F567" t="s">
        <v>18</v>
      </c>
      <c r="G567" t="s">
        <v>19</v>
      </c>
      <c r="H567" t="s">
        <v>30</v>
      </c>
      <c r="I567">
        <v>2</v>
      </c>
      <c r="J567" s="3">
        <v>71.3</v>
      </c>
      <c r="K567" s="4">
        <v>0</v>
      </c>
      <c r="L567" s="3">
        <v>142.6</v>
      </c>
      <c r="M567" s="3">
        <v>76.349999999999994</v>
      </c>
      <c r="N567" s="3">
        <v>66.25</v>
      </c>
    </row>
    <row r="568" spans="1:14" x14ac:dyDescent="0.35">
      <c r="A568" t="s">
        <v>622</v>
      </c>
      <c r="B568" s="2">
        <v>45866</v>
      </c>
      <c r="C568" t="s">
        <v>15</v>
      </c>
      <c r="D568" t="s">
        <v>16</v>
      </c>
      <c r="E568" t="s">
        <v>27</v>
      </c>
      <c r="F568" t="s">
        <v>68</v>
      </c>
      <c r="G568" t="s">
        <v>29</v>
      </c>
      <c r="H568" t="s">
        <v>23</v>
      </c>
      <c r="I568">
        <v>4</v>
      </c>
      <c r="J568" s="3">
        <v>36.770000000000003</v>
      </c>
      <c r="K568" s="4">
        <v>0.1</v>
      </c>
      <c r="L568" s="3">
        <v>132.37</v>
      </c>
      <c r="M568" s="3">
        <v>73.31</v>
      </c>
      <c r="N568" s="3">
        <v>59.06</v>
      </c>
    </row>
    <row r="569" spans="1:14" x14ac:dyDescent="0.35">
      <c r="A569" t="s">
        <v>623</v>
      </c>
      <c r="B569" s="2">
        <v>45867</v>
      </c>
      <c r="C569" t="s">
        <v>25</v>
      </c>
      <c r="D569" t="s">
        <v>74</v>
      </c>
      <c r="E569" t="s">
        <v>27</v>
      </c>
      <c r="F569" t="s">
        <v>68</v>
      </c>
      <c r="G569" t="s">
        <v>29</v>
      </c>
      <c r="H569" t="s">
        <v>23</v>
      </c>
      <c r="I569">
        <v>1</v>
      </c>
      <c r="J569" s="3">
        <v>41.73</v>
      </c>
      <c r="K569" s="4">
        <v>0</v>
      </c>
      <c r="L569" s="3">
        <v>41.73</v>
      </c>
      <c r="M569" s="3">
        <v>27.27</v>
      </c>
      <c r="N569" s="3">
        <v>14.46</v>
      </c>
    </row>
    <row r="570" spans="1:14" x14ac:dyDescent="0.35">
      <c r="A570" t="s">
        <v>624</v>
      </c>
      <c r="B570" s="2">
        <v>45867</v>
      </c>
      <c r="C570" t="s">
        <v>15</v>
      </c>
      <c r="D570" t="s">
        <v>16</v>
      </c>
      <c r="E570" t="s">
        <v>27</v>
      </c>
      <c r="F570" t="s">
        <v>79</v>
      </c>
      <c r="G570" t="s">
        <v>22</v>
      </c>
      <c r="H570" t="s">
        <v>23</v>
      </c>
      <c r="I570">
        <v>5</v>
      </c>
      <c r="J570" s="3">
        <v>102.65</v>
      </c>
      <c r="K570" s="4">
        <v>0</v>
      </c>
      <c r="L570" s="3">
        <v>513.25</v>
      </c>
      <c r="M570" s="3">
        <v>306.86</v>
      </c>
      <c r="N570" s="3">
        <v>206.39</v>
      </c>
    </row>
    <row r="571" spans="1:14" x14ac:dyDescent="0.35">
      <c r="A571" t="s">
        <v>625</v>
      </c>
      <c r="B571" s="2">
        <v>45867</v>
      </c>
      <c r="C571" t="s">
        <v>25</v>
      </c>
      <c r="D571" t="s">
        <v>97</v>
      </c>
      <c r="E571" t="s">
        <v>37</v>
      </c>
      <c r="F571" t="s">
        <v>51</v>
      </c>
      <c r="G571" t="s">
        <v>22</v>
      </c>
      <c r="H571" t="s">
        <v>23</v>
      </c>
      <c r="I571">
        <v>1</v>
      </c>
      <c r="J571" s="3">
        <v>37.799999999999997</v>
      </c>
      <c r="K571" s="4">
        <v>0.05</v>
      </c>
      <c r="L571" s="3">
        <v>35.909999999999997</v>
      </c>
      <c r="M571" s="3">
        <v>29.44</v>
      </c>
      <c r="N571" s="3">
        <v>6.47</v>
      </c>
    </row>
    <row r="572" spans="1:14" x14ac:dyDescent="0.35">
      <c r="A572" t="s">
        <v>626</v>
      </c>
      <c r="B572" s="2">
        <v>45867</v>
      </c>
      <c r="C572" t="s">
        <v>25</v>
      </c>
      <c r="D572" t="s">
        <v>74</v>
      </c>
      <c r="E572" t="s">
        <v>17</v>
      </c>
      <c r="F572" t="s">
        <v>18</v>
      </c>
      <c r="G572" t="s">
        <v>22</v>
      </c>
      <c r="H572" t="s">
        <v>30</v>
      </c>
      <c r="I572">
        <v>1</v>
      </c>
      <c r="J572" s="3">
        <v>72.349999999999994</v>
      </c>
      <c r="K572" s="4">
        <v>0</v>
      </c>
      <c r="L572" s="3">
        <v>72.349999999999994</v>
      </c>
      <c r="M572" s="3">
        <v>50.3</v>
      </c>
      <c r="N572" s="3">
        <v>22.05</v>
      </c>
    </row>
    <row r="573" spans="1:14" x14ac:dyDescent="0.35">
      <c r="A573" t="s">
        <v>627</v>
      </c>
      <c r="B573" s="2">
        <v>45868</v>
      </c>
      <c r="C573" t="s">
        <v>40</v>
      </c>
      <c r="D573" t="s">
        <v>50</v>
      </c>
      <c r="E573" t="s">
        <v>53</v>
      </c>
      <c r="F573" t="s">
        <v>54</v>
      </c>
      <c r="G573" t="s">
        <v>19</v>
      </c>
      <c r="H573" t="s">
        <v>20</v>
      </c>
      <c r="I573">
        <v>3</v>
      </c>
      <c r="J573" s="3">
        <v>7.02</v>
      </c>
      <c r="K573" s="4">
        <v>0.1</v>
      </c>
      <c r="L573" s="3">
        <v>18.95</v>
      </c>
      <c r="M573" s="3">
        <v>14.02</v>
      </c>
      <c r="N573" s="3">
        <v>4.93</v>
      </c>
    </row>
    <row r="574" spans="1:14" x14ac:dyDescent="0.35">
      <c r="A574" t="s">
        <v>628</v>
      </c>
      <c r="B574" s="2">
        <v>45868</v>
      </c>
      <c r="C574" t="s">
        <v>40</v>
      </c>
      <c r="D574" t="s">
        <v>50</v>
      </c>
      <c r="E574" t="s">
        <v>27</v>
      </c>
      <c r="F574" t="s">
        <v>68</v>
      </c>
      <c r="G574" t="s">
        <v>19</v>
      </c>
      <c r="H574" t="s">
        <v>30</v>
      </c>
      <c r="I574">
        <v>8</v>
      </c>
      <c r="J574" s="3">
        <v>40.42</v>
      </c>
      <c r="K574" s="4">
        <v>0.1</v>
      </c>
      <c r="L574" s="3">
        <v>291.02</v>
      </c>
      <c r="M574" s="3">
        <v>177.91</v>
      </c>
      <c r="N574" s="3">
        <v>113.11</v>
      </c>
    </row>
    <row r="575" spans="1:14" x14ac:dyDescent="0.35">
      <c r="A575" t="s">
        <v>629</v>
      </c>
      <c r="B575" s="2">
        <v>45869</v>
      </c>
      <c r="C575" t="s">
        <v>40</v>
      </c>
      <c r="D575" t="s">
        <v>50</v>
      </c>
      <c r="E575" t="s">
        <v>17</v>
      </c>
      <c r="F575" t="s">
        <v>18</v>
      </c>
      <c r="G575" t="s">
        <v>22</v>
      </c>
      <c r="H575" t="s">
        <v>23</v>
      </c>
      <c r="I575">
        <v>8</v>
      </c>
      <c r="J575" s="3">
        <v>79.989999999999995</v>
      </c>
      <c r="K575" s="4">
        <v>0.05</v>
      </c>
      <c r="L575" s="3">
        <v>607.91999999999996</v>
      </c>
      <c r="M575" s="3">
        <v>336.33</v>
      </c>
      <c r="N575" s="3">
        <v>271.58999999999997</v>
      </c>
    </row>
    <row r="576" spans="1:14" x14ac:dyDescent="0.35">
      <c r="A576" t="s">
        <v>630</v>
      </c>
      <c r="B576" s="2">
        <v>45869</v>
      </c>
      <c r="C576" t="s">
        <v>15</v>
      </c>
      <c r="D576" t="s">
        <v>16</v>
      </c>
      <c r="E576" t="s">
        <v>17</v>
      </c>
      <c r="F576" t="s">
        <v>34</v>
      </c>
      <c r="G576" t="s">
        <v>29</v>
      </c>
      <c r="H576" t="s">
        <v>23</v>
      </c>
      <c r="I576">
        <v>9</v>
      </c>
      <c r="J576" s="3">
        <v>17.57</v>
      </c>
      <c r="K576" s="4">
        <v>0</v>
      </c>
      <c r="L576" s="3">
        <v>158.13</v>
      </c>
      <c r="M576" s="3">
        <v>101.46</v>
      </c>
      <c r="N576" s="3">
        <v>56.67</v>
      </c>
    </row>
    <row r="577" spans="1:14" x14ac:dyDescent="0.35">
      <c r="A577" t="s">
        <v>631</v>
      </c>
      <c r="B577" s="2">
        <v>45869</v>
      </c>
      <c r="C577" t="s">
        <v>15</v>
      </c>
      <c r="D577" t="s">
        <v>46</v>
      </c>
      <c r="E577" t="s">
        <v>53</v>
      </c>
      <c r="F577" t="s">
        <v>54</v>
      </c>
      <c r="G577" t="s">
        <v>19</v>
      </c>
      <c r="H577" t="s">
        <v>23</v>
      </c>
      <c r="I577">
        <v>2</v>
      </c>
      <c r="J577" s="3">
        <v>8.7799999999999994</v>
      </c>
      <c r="K577" s="4">
        <v>0</v>
      </c>
      <c r="L577" s="3">
        <v>17.559999999999999</v>
      </c>
      <c r="M577" s="3">
        <v>9.58</v>
      </c>
      <c r="N577" s="3">
        <v>7.98</v>
      </c>
    </row>
    <row r="578" spans="1:14" x14ac:dyDescent="0.35">
      <c r="A578" t="s">
        <v>632</v>
      </c>
      <c r="B578" s="2">
        <v>45869</v>
      </c>
      <c r="C578" t="s">
        <v>40</v>
      </c>
      <c r="D578" t="s">
        <v>50</v>
      </c>
      <c r="E578" t="s">
        <v>17</v>
      </c>
      <c r="F578" t="s">
        <v>44</v>
      </c>
      <c r="G578" t="s">
        <v>29</v>
      </c>
      <c r="H578" t="s">
        <v>30</v>
      </c>
      <c r="I578">
        <v>12</v>
      </c>
      <c r="J578" s="3">
        <v>18.649999999999999</v>
      </c>
      <c r="K578" s="4">
        <v>0</v>
      </c>
      <c r="L578" s="3">
        <v>223.8</v>
      </c>
      <c r="M578" s="3">
        <v>145.83000000000001</v>
      </c>
      <c r="N578" s="3">
        <v>77.97</v>
      </c>
    </row>
    <row r="579" spans="1:14" x14ac:dyDescent="0.35">
      <c r="A579" t="s">
        <v>633</v>
      </c>
      <c r="B579" s="2">
        <v>45870</v>
      </c>
      <c r="C579" t="s">
        <v>40</v>
      </c>
      <c r="D579" t="s">
        <v>71</v>
      </c>
      <c r="E579" t="s">
        <v>27</v>
      </c>
      <c r="F579" t="s">
        <v>68</v>
      </c>
      <c r="G579" t="s">
        <v>22</v>
      </c>
      <c r="H579" t="s">
        <v>30</v>
      </c>
      <c r="I579">
        <v>3</v>
      </c>
      <c r="J579" s="3">
        <v>42.32</v>
      </c>
      <c r="K579" s="4">
        <v>0.15</v>
      </c>
      <c r="L579" s="3">
        <v>107.92</v>
      </c>
      <c r="M579" s="3">
        <v>77</v>
      </c>
      <c r="N579" s="3">
        <v>30.92</v>
      </c>
    </row>
    <row r="580" spans="1:14" x14ac:dyDescent="0.35">
      <c r="A580" t="s">
        <v>634</v>
      </c>
      <c r="B580" s="2">
        <v>45870</v>
      </c>
      <c r="C580" t="s">
        <v>15</v>
      </c>
      <c r="D580" t="s">
        <v>59</v>
      </c>
      <c r="E580" t="s">
        <v>17</v>
      </c>
      <c r="F580" t="s">
        <v>34</v>
      </c>
      <c r="G580" t="s">
        <v>19</v>
      </c>
      <c r="H580" t="s">
        <v>30</v>
      </c>
      <c r="I580">
        <v>10</v>
      </c>
      <c r="J580" s="3">
        <v>18.260000000000002</v>
      </c>
      <c r="K580" s="4">
        <v>0.15</v>
      </c>
      <c r="L580" s="3">
        <v>155.21</v>
      </c>
      <c r="M580" s="3">
        <v>110.88</v>
      </c>
      <c r="N580" s="3">
        <v>44.33</v>
      </c>
    </row>
    <row r="581" spans="1:14" x14ac:dyDescent="0.35">
      <c r="A581" t="s">
        <v>635</v>
      </c>
      <c r="B581" s="2">
        <v>45870</v>
      </c>
      <c r="C581" t="s">
        <v>32</v>
      </c>
      <c r="D581" t="s">
        <v>33</v>
      </c>
      <c r="E581" t="s">
        <v>27</v>
      </c>
      <c r="F581" t="s">
        <v>28</v>
      </c>
      <c r="G581" t="s">
        <v>22</v>
      </c>
      <c r="H581" t="s">
        <v>23</v>
      </c>
      <c r="I581">
        <v>10</v>
      </c>
      <c r="J581" s="3">
        <v>136.74</v>
      </c>
      <c r="K581" s="4">
        <v>0</v>
      </c>
      <c r="L581" s="3">
        <v>1367.4</v>
      </c>
      <c r="M581" s="3">
        <v>957.58</v>
      </c>
      <c r="N581" s="3">
        <v>409.82</v>
      </c>
    </row>
    <row r="582" spans="1:14" x14ac:dyDescent="0.35">
      <c r="A582" t="s">
        <v>636</v>
      </c>
      <c r="B582" s="2">
        <v>45870</v>
      </c>
      <c r="C582" t="s">
        <v>40</v>
      </c>
      <c r="D582" t="s">
        <v>50</v>
      </c>
      <c r="E582" t="s">
        <v>53</v>
      </c>
      <c r="F582" t="s">
        <v>54</v>
      </c>
      <c r="G582" t="s">
        <v>29</v>
      </c>
      <c r="H582" t="s">
        <v>20</v>
      </c>
      <c r="I582">
        <v>10</v>
      </c>
      <c r="J582" s="3">
        <v>8.85</v>
      </c>
      <c r="K582" s="4">
        <v>0.1</v>
      </c>
      <c r="L582" s="3">
        <v>79.650000000000006</v>
      </c>
      <c r="M582" s="3">
        <v>52.69</v>
      </c>
      <c r="N582" s="3">
        <v>26.96</v>
      </c>
    </row>
    <row r="583" spans="1:14" x14ac:dyDescent="0.35">
      <c r="A583" t="s">
        <v>637</v>
      </c>
      <c r="B583" s="2">
        <v>45871</v>
      </c>
      <c r="C583" t="s">
        <v>25</v>
      </c>
      <c r="D583" t="s">
        <v>26</v>
      </c>
      <c r="E583" t="s">
        <v>27</v>
      </c>
      <c r="F583" t="s">
        <v>48</v>
      </c>
      <c r="G583" t="s">
        <v>29</v>
      </c>
      <c r="H583" t="s">
        <v>30</v>
      </c>
      <c r="I583">
        <v>3</v>
      </c>
      <c r="J583" s="3">
        <v>277.58999999999997</v>
      </c>
      <c r="K583" s="4">
        <v>0.05</v>
      </c>
      <c r="L583" s="3">
        <v>791.13</v>
      </c>
      <c r="M583" s="3">
        <v>572.29</v>
      </c>
      <c r="N583" s="3">
        <v>218.84</v>
      </c>
    </row>
    <row r="584" spans="1:14" x14ac:dyDescent="0.35">
      <c r="A584" t="s">
        <v>638</v>
      </c>
      <c r="B584" s="2">
        <v>45871</v>
      </c>
      <c r="C584" t="s">
        <v>15</v>
      </c>
      <c r="D584" t="s">
        <v>46</v>
      </c>
      <c r="E584" t="s">
        <v>37</v>
      </c>
      <c r="F584" t="s">
        <v>51</v>
      </c>
      <c r="G584" t="s">
        <v>22</v>
      </c>
      <c r="H584" t="s">
        <v>30</v>
      </c>
      <c r="I584">
        <v>12</v>
      </c>
      <c r="J584" s="3">
        <v>34.51</v>
      </c>
      <c r="K584" s="4">
        <v>0.15</v>
      </c>
      <c r="L584" s="3">
        <v>352</v>
      </c>
      <c r="M584" s="3">
        <v>314.14999999999998</v>
      </c>
      <c r="N584" s="3">
        <v>37.85</v>
      </c>
    </row>
    <row r="585" spans="1:14" x14ac:dyDescent="0.35">
      <c r="A585" t="s">
        <v>639</v>
      </c>
      <c r="B585" s="2">
        <v>45871</v>
      </c>
      <c r="C585" t="s">
        <v>25</v>
      </c>
      <c r="D585" t="s">
        <v>26</v>
      </c>
      <c r="E585" t="s">
        <v>27</v>
      </c>
      <c r="F585" t="s">
        <v>28</v>
      </c>
      <c r="G585" t="s">
        <v>29</v>
      </c>
      <c r="H585" t="s">
        <v>30</v>
      </c>
      <c r="I585">
        <v>10</v>
      </c>
      <c r="J585" s="3">
        <v>147.34</v>
      </c>
      <c r="K585" s="4">
        <v>0.15</v>
      </c>
      <c r="L585" s="3">
        <v>1252.3900000000001</v>
      </c>
      <c r="M585" s="3">
        <v>962.56</v>
      </c>
      <c r="N585" s="3">
        <v>289.83</v>
      </c>
    </row>
    <row r="586" spans="1:14" x14ac:dyDescent="0.35">
      <c r="A586" t="s">
        <v>640</v>
      </c>
      <c r="B586" s="2">
        <v>45871</v>
      </c>
      <c r="C586" t="s">
        <v>40</v>
      </c>
      <c r="D586" t="s">
        <v>50</v>
      </c>
      <c r="E586" t="s">
        <v>17</v>
      </c>
      <c r="F586" t="s">
        <v>87</v>
      </c>
      <c r="G586" t="s">
        <v>19</v>
      </c>
      <c r="H586" t="s">
        <v>20</v>
      </c>
      <c r="I586">
        <v>5</v>
      </c>
      <c r="J586" s="3">
        <v>13.74</v>
      </c>
      <c r="K586" s="4">
        <v>0.15</v>
      </c>
      <c r="L586" s="3">
        <v>58.4</v>
      </c>
      <c r="M586" s="3">
        <v>42.74</v>
      </c>
      <c r="N586" s="3">
        <v>15.66</v>
      </c>
    </row>
    <row r="587" spans="1:14" x14ac:dyDescent="0.35">
      <c r="A587" t="s">
        <v>641</v>
      </c>
      <c r="B587" s="2">
        <v>45872</v>
      </c>
      <c r="C587" t="s">
        <v>25</v>
      </c>
      <c r="D587" t="s">
        <v>97</v>
      </c>
      <c r="E587" t="s">
        <v>27</v>
      </c>
      <c r="F587" t="s">
        <v>79</v>
      </c>
      <c r="G587" t="s">
        <v>19</v>
      </c>
      <c r="H587" t="s">
        <v>30</v>
      </c>
      <c r="I587">
        <v>6</v>
      </c>
      <c r="J587" s="3">
        <v>110.77</v>
      </c>
      <c r="K587" s="4">
        <v>0</v>
      </c>
      <c r="L587" s="3">
        <v>664.62</v>
      </c>
      <c r="M587" s="3">
        <v>500.63</v>
      </c>
      <c r="N587" s="3">
        <v>163.99</v>
      </c>
    </row>
    <row r="588" spans="1:14" x14ac:dyDescent="0.35">
      <c r="A588" t="s">
        <v>642</v>
      </c>
      <c r="B588" s="2">
        <v>45872</v>
      </c>
      <c r="C588" t="s">
        <v>25</v>
      </c>
      <c r="D588" t="s">
        <v>97</v>
      </c>
      <c r="E588" t="s">
        <v>53</v>
      </c>
      <c r="F588" t="s">
        <v>83</v>
      </c>
      <c r="G588" t="s">
        <v>19</v>
      </c>
      <c r="H588" t="s">
        <v>20</v>
      </c>
      <c r="I588">
        <v>8</v>
      </c>
      <c r="J588" s="3">
        <v>17.38</v>
      </c>
      <c r="K588" s="4">
        <v>0.05</v>
      </c>
      <c r="L588" s="3">
        <v>132.09</v>
      </c>
      <c r="M588" s="3">
        <v>89.51</v>
      </c>
      <c r="N588" s="3">
        <v>42.58</v>
      </c>
    </row>
    <row r="589" spans="1:14" x14ac:dyDescent="0.35">
      <c r="A589" t="s">
        <v>643</v>
      </c>
      <c r="B589" s="2">
        <v>45872</v>
      </c>
      <c r="C589" t="s">
        <v>15</v>
      </c>
      <c r="D589" t="s">
        <v>16</v>
      </c>
      <c r="E589" t="s">
        <v>53</v>
      </c>
      <c r="F589" t="s">
        <v>54</v>
      </c>
      <c r="G589" t="s">
        <v>29</v>
      </c>
      <c r="H589" t="s">
        <v>30</v>
      </c>
      <c r="I589">
        <v>11</v>
      </c>
      <c r="J589" s="3">
        <v>9.58</v>
      </c>
      <c r="K589" s="4">
        <v>0.15</v>
      </c>
      <c r="L589" s="3">
        <v>89.57</v>
      </c>
      <c r="M589" s="3">
        <v>75.709999999999994</v>
      </c>
      <c r="N589" s="3">
        <v>13.86</v>
      </c>
    </row>
    <row r="590" spans="1:14" x14ac:dyDescent="0.35">
      <c r="A590" t="s">
        <v>644</v>
      </c>
      <c r="B590" s="2">
        <v>45872</v>
      </c>
      <c r="C590" t="s">
        <v>15</v>
      </c>
      <c r="D590" t="s">
        <v>46</v>
      </c>
      <c r="E590" t="s">
        <v>53</v>
      </c>
      <c r="F590" t="s">
        <v>83</v>
      </c>
      <c r="G590" t="s">
        <v>22</v>
      </c>
      <c r="H590" t="s">
        <v>30</v>
      </c>
      <c r="I590">
        <v>3</v>
      </c>
      <c r="J590" s="3">
        <v>12.9</v>
      </c>
      <c r="K590" s="4">
        <v>0.05</v>
      </c>
      <c r="L590" s="3">
        <v>36.770000000000003</v>
      </c>
      <c r="M590" s="3">
        <v>21.31</v>
      </c>
      <c r="N590" s="3">
        <v>15.46</v>
      </c>
    </row>
    <row r="591" spans="1:14" x14ac:dyDescent="0.35">
      <c r="A591" t="s">
        <v>645</v>
      </c>
      <c r="B591" s="2">
        <v>45873</v>
      </c>
      <c r="C591" t="s">
        <v>32</v>
      </c>
      <c r="D591" t="s">
        <v>33</v>
      </c>
      <c r="E591" t="s">
        <v>17</v>
      </c>
      <c r="F591" t="s">
        <v>44</v>
      </c>
      <c r="G591" t="s">
        <v>29</v>
      </c>
      <c r="H591" t="s">
        <v>30</v>
      </c>
      <c r="I591">
        <v>2</v>
      </c>
      <c r="J591" s="3">
        <v>14.51</v>
      </c>
      <c r="K591" s="4">
        <v>0</v>
      </c>
      <c r="L591" s="3">
        <v>29.02</v>
      </c>
      <c r="M591" s="3">
        <v>16.66</v>
      </c>
      <c r="N591" s="3">
        <v>12.36</v>
      </c>
    </row>
    <row r="592" spans="1:14" x14ac:dyDescent="0.35">
      <c r="A592" t="s">
        <v>646</v>
      </c>
      <c r="B592" s="2">
        <v>45873</v>
      </c>
      <c r="C592" t="s">
        <v>32</v>
      </c>
      <c r="D592" t="s">
        <v>57</v>
      </c>
      <c r="E592" t="s">
        <v>27</v>
      </c>
      <c r="F592" t="s">
        <v>28</v>
      </c>
      <c r="G592" t="s">
        <v>22</v>
      </c>
      <c r="H592" t="s">
        <v>20</v>
      </c>
      <c r="I592">
        <v>8</v>
      </c>
      <c r="J592" s="3">
        <v>124.23</v>
      </c>
      <c r="K592" s="4">
        <v>0.15</v>
      </c>
      <c r="L592" s="3">
        <v>844.76</v>
      </c>
      <c r="M592" s="3">
        <v>492.57</v>
      </c>
      <c r="N592" s="3">
        <v>352.19</v>
      </c>
    </row>
    <row r="593" spans="1:14" x14ac:dyDescent="0.35">
      <c r="A593" t="s">
        <v>647</v>
      </c>
      <c r="B593" s="2">
        <v>45874</v>
      </c>
      <c r="C593" t="s">
        <v>25</v>
      </c>
      <c r="D593" t="s">
        <v>74</v>
      </c>
      <c r="E593" t="s">
        <v>37</v>
      </c>
      <c r="F593" t="s">
        <v>51</v>
      </c>
      <c r="G593" t="s">
        <v>22</v>
      </c>
      <c r="H593" t="s">
        <v>30</v>
      </c>
      <c r="I593">
        <v>4</v>
      </c>
      <c r="J593" s="3">
        <v>29.04</v>
      </c>
      <c r="K593" s="4">
        <v>0.05</v>
      </c>
      <c r="L593" s="3">
        <v>110.35</v>
      </c>
      <c r="M593" s="3">
        <v>57.95</v>
      </c>
      <c r="N593" s="3">
        <v>52.4</v>
      </c>
    </row>
    <row r="594" spans="1:14" x14ac:dyDescent="0.35">
      <c r="A594" t="s">
        <v>648</v>
      </c>
      <c r="B594" s="2">
        <v>45874</v>
      </c>
      <c r="C594" t="s">
        <v>25</v>
      </c>
      <c r="D594" t="s">
        <v>74</v>
      </c>
      <c r="E594" t="s">
        <v>37</v>
      </c>
      <c r="F594" t="s">
        <v>42</v>
      </c>
      <c r="G594" t="s">
        <v>29</v>
      </c>
      <c r="H594" t="s">
        <v>23</v>
      </c>
      <c r="I594">
        <v>6</v>
      </c>
      <c r="J594" s="3">
        <v>16.940000000000001</v>
      </c>
      <c r="K594" s="4">
        <v>0.15</v>
      </c>
      <c r="L594" s="3">
        <v>86.39</v>
      </c>
      <c r="M594" s="3">
        <v>59.6</v>
      </c>
      <c r="N594" s="3">
        <v>26.79</v>
      </c>
    </row>
    <row r="595" spans="1:14" x14ac:dyDescent="0.35">
      <c r="A595" t="s">
        <v>649</v>
      </c>
      <c r="B595" s="2">
        <v>45874</v>
      </c>
      <c r="C595" t="s">
        <v>32</v>
      </c>
      <c r="D595" t="s">
        <v>36</v>
      </c>
      <c r="E595" t="s">
        <v>27</v>
      </c>
      <c r="F595" t="s">
        <v>28</v>
      </c>
      <c r="G595" t="s">
        <v>22</v>
      </c>
      <c r="H595" t="s">
        <v>20</v>
      </c>
      <c r="I595">
        <v>1</v>
      </c>
      <c r="J595" s="3">
        <v>140.18</v>
      </c>
      <c r="K595" s="4">
        <v>0</v>
      </c>
      <c r="L595" s="3">
        <v>140.18</v>
      </c>
      <c r="M595" s="3">
        <v>94.08</v>
      </c>
      <c r="N595" s="3">
        <v>46.1</v>
      </c>
    </row>
    <row r="596" spans="1:14" x14ac:dyDescent="0.35">
      <c r="A596" t="s">
        <v>650</v>
      </c>
      <c r="B596" s="2">
        <v>45876</v>
      </c>
      <c r="C596" t="s">
        <v>40</v>
      </c>
      <c r="D596" t="s">
        <v>41</v>
      </c>
      <c r="E596" t="s">
        <v>53</v>
      </c>
      <c r="F596" t="s">
        <v>83</v>
      </c>
      <c r="G596" t="s">
        <v>29</v>
      </c>
      <c r="H596" t="s">
        <v>23</v>
      </c>
      <c r="I596">
        <v>11</v>
      </c>
      <c r="J596" s="3">
        <v>17.84</v>
      </c>
      <c r="K596" s="4">
        <v>0</v>
      </c>
      <c r="L596" s="3">
        <v>196.24</v>
      </c>
      <c r="M596" s="3">
        <v>136.84</v>
      </c>
      <c r="N596" s="3">
        <v>59.4</v>
      </c>
    </row>
    <row r="597" spans="1:14" x14ac:dyDescent="0.35">
      <c r="A597" t="s">
        <v>651</v>
      </c>
      <c r="B597" s="2">
        <v>45876</v>
      </c>
      <c r="C597" t="s">
        <v>15</v>
      </c>
      <c r="D597" t="s">
        <v>16</v>
      </c>
      <c r="E597" t="s">
        <v>17</v>
      </c>
      <c r="F597" t="s">
        <v>34</v>
      </c>
      <c r="G597" t="s">
        <v>22</v>
      </c>
      <c r="H597" t="s">
        <v>23</v>
      </c>
      <c r="I597">
        <v>7</v>
      </c>
      <c r="J597" s="3">
        <v>19.86</v>
      </c>
      <c r="K597" s="4">
        <v>0.1</v>
      </c>
      <c r="L597" s="3">
        <v>125.12</v>
      </c>
      <c r="M597" s="3">
        <v>79.95</v>
      </c>
      <c r="N597" s="3">
        <v>45.17</v>
      </c>
    </row>
    <row r="598" spans="1:14" x14ac:dyDescent="0.35">
      <c r="A598" t="s">
        <v>652</v>
      </c>
      <c r="B598" s="2">
        <v>45876</v>
      </c>
      <c r="C598" t="s">
        <v>40</v>
      </c>
      <c r="D598" t="s">
        <v>41</v>
      </c>
      <c r="E598" t="s">
        <v>17</v>
      </c>
      <c r="F598" t="s">
        <v>18</v>
      </c>
      <c r="G598" t="s">
        <v>19</v>
      </c>
      <c r="H598" t="s">
        <v>30</v>
      </c>
      <c r="I598">
        <v>3</v>
      </c>
      <c r="J598" s="3">
        <v>79.39</v>
      </c>
      <c r="K598" s="4">
        <v>0</v>
      </c>
      <c r="L598" s="3">
        <v>238.17</v>
      </c>
      <c r="M598" s="3">
        <v>144.62</v>
      </c>
      <c r="N598" s="3">
        <v>93.55</v>
      </c>
    </row>
    <row r="599" spans="1:14" x14ac:dyDescent="0.35">
      <c r="A599" t="s">
        <v>653</v>
      </c>
      <c r="B599" s="2">
        <v>45877</v>
      </c>
      <c r="C599" t="s">
        <v>32</v>
      </c>
      <c r="D599" t="s">
        <v>57</v>
      </c>
      <c r="E599" t="s">
        <v>53</v>
      </c>
      <c r="F599" t="s">
        <v>66</v>
      </c>
      <c r="G599" t="s">
        <v>22</v>
      </c>
      <c r="H599" t="s">
        <v>20</v>
      </c>
      <c r="I599">
        <v>11</v>
      </c>
      <c r="J599" s="3">
        <v>24.16</v>
      </c>
      <c r="K599" s="4">
        <v>0.05</v>
      </c>
      <c r="L599" s="3">
        <v>252.47</v>
      </c>
      <c r="M599" s="3">
        <v>159.97999999999999</v>
      </c>
      <c r="N599" s="3">
        <v>92.49</v>
      </c>
    </row>
    <row r="600" spans="1:14" x14ac:dyDescent="0.35">
      <c r="A600" t="s">
        <v>654</v>
      </c>
      <c r="B600" s="2">
        <v>45877</v>
      </c>
      <c r="C600" t="s">
        <v>32</v>
      </c>
      <c r="D600" t="s">
        <v>36</v>
      </c>
      <c r="E600" t="s">
        <v>53</v>
      </c>
      <c r="F600" t="s">
        <v>54</v>
      </c>
      <c r="G600" t="s">
        <v>19</v>
      </c>
      <c r="H600" t="s">
        <v>23</v>
      </c>
      <c r="I600">
        <v>11</v>
      </c>
      <c r="J600" s="3">
        <v>7.65</v>
      </c>
      <c r="K600" s="4">
        <v>0.05</v>
      </c>
      <c r="L600" s="3">
        <v>79.94</v>
      </c>
      <c r="M600" s="3">
        <v>42.75</v>
      </c>
      <c r="N600" s="3">
        <v>37.19</v>
      </c>
    </row>
    <row r="601" spans="1:14" x14ac:dyDescent="0.35">
      <c r="A601" t="s">
        <v>655</v>
      </c>
      <c r="B601" s="2">
        <v>45878</v>
      </c>
      <c r="C601" t="s">
        <v>40</v>
      </c>
      <c r="D601" t="s">
        <v>41</v>
      </c>
      <c r="E601" t="s">
        <v>53</v>
      </c>
      <c r="F601" t="s">
        <v>115</v>
      </c>
      <c r="G601" t="s">
        <v>29</v>
      </c>
      <c r="H601" t="s">
        <v>23</v>
      </c>
      <c r="I601">
        <v>5</v>
      </c>
      <c r="J601" s="3">
        <v>11.73</v>
      </c>
      <c r="K601" s="4">
        <v>0</v>
      </c>
      <c r="L601" s="3">
        <v>58.65</v>
      </c>
      <c r="M601" s="3">
        <v>43.97</v>
      </c>
      <c r="N601" s="3">
        <v>14.68</v>
      </c>
    </row>
    <row r="602" spans="1:14" x14ac:dyDescent="0.35">
      <c r="A602" t="s">
        <v>656</v>
      </c>
      <c r="B602" s="2">
        <v>45878</v>
      </c>
      <c r="C602" t="s">
        <v>15</v>
      </c>
      <c r="D602" t="s">
        <v>46</v>
      </c>
      <c r="E602" t="s">
        <v>27</v>
      </c>
      <c r="F602" t="s">
        <v>79</v>
      </c>
      <c r="G602" t="s">
        <v>22</v>
      </c>
      <c r="H602" t="s">
        <v>30</v>
      </c>
      <c r="I602">
        <v>10</v>
      </c>
      <c r="J602" s="3">
        <v>125.44</v>
      </c>
      <c r="K602" s="4">
        <v>0.05</v>
      </c>
      <c r="L602" s="3">
        <v>1191.68</v>
      </c>
      <c r="M602" s="3">
        <v>796.66</v>
      </c>
      <c r="N602" s="3">
        <v>395.02</v>
      </c>
    </row>
    <row r="603" spans="1:14" x14ac:dyDescent="0.35">
      <c r="A603" t="s">
        <v>657</v>
      </c>
      <c r="B603" s="2">
        <v>45878</v>
      </c>
      <c r="C603" t="s">
        <v>40</v>
      </c>
      <c r="D603" t="s">
        <v>41</v>
      </c>
      <c r="E603" t="s">
        <v>27</v>
      </c>
      <c r="F603" t="s">
        <v>28</v>
      </c>
      <c r="G603" t="s">
        <v>19</v>
      </c>
      <c r="H603" t="s">
        <v>30</v>
      </c>
      <c r="I603">
        <v>2</v>
      </c>
      <c r="J603" s="3">
        <v>157.34</v>
      </c>
      <c r="K603" s="4">
        <v>0.1</v>
      </c>
      <c r="L603" s="3">
        <v>283.20999999999998</v>
      </c>
      <c r="M603" s="3">
        <v>185.53</v>
      </c>
      <c r="N603" s="3">
        <v>97.68</v>
      </c>
    </row>
    <row r="604" spans="1:14" x14ac:dyDescent="0.35">
      <c r="A604" t="s">
        <v>658</v>
      </c>
      <c r="B604" s="2">
        <v>45879</v>
      </c>
      <c r="C604" t="s">
        <v>15</v>
      </c>
      <c r="D604" t="s">
        <v>59</v>
      </c>
      <c r="E604" t="s">
        <v>17</v>
      </c>
      <c r="F604" t="s">
        <v>87</v>
      </c>
      <c r="G604" t="s">
        <v>19</v>
      </c>
      <c r="H604" t="s">
        <v>23</v>
      </c>
      <c r="I604">
        <v>10</v>
      </c>
      <c r="J604" s="3">
        <v>14.72</v>
      </c>
      <c r="K604" s="4">
        <v>0.05</v>
      </c>
      <c r="L604" s="3">
        <v>139.84</v>
      </c>
      <c r="M604" s="3">
        <v>96.6</v>
      </c>
      <c r="N604" s="3">
        <v>43.24</v>
      </c>
    </row>
    <row r="605" spans="1:14" x14ac:dyDescent="0.35">
      <c r="A605" t="s">
        <v>659</v>
      </c>
      <c r="B605" s="2">
        <v>45880</v>
      </c>
      <c r="C605" t="s">
        <v>40</v>
      </c>
      <c r="D605" t="s">
        <v>41</v>
      </c>
      <c r="E605" t="s">
        <v>27</v>
      </c>
      <c r="F605" t="s">
        <v>79</v>
      </c>
      <c r="G605" t="s">
        <v>19</v>
      </c>
      <c r="H605" t="s">
        <v>23</v>
      </c>
      <c r="I605">
        <v>7</v>
      </c>
      <c r="J605" s="3">
        <v>116.84</v>
      </c>
      <c r="K605" s="4">
        <v>0.15</v>
      </c>
      <c r="L605" s="3">
        <v>695.2</v>
      </c>
      <c r="M605" s="3">
        <v>420.96</v>
      </c>
      <c r="N605" s="3">
        <v>274.24</v>
      </c>
    </row>
    <row r="606" spans="1:14" x14ac:dyDescent="0.35">
      <c r="A606" t="s">
        <v>660</v>
      </c>
      <c r="B606" s="2">
        <v>45880</v>
      </c>
      <c r="C606" t="s">
        <v>40</v>
      </c>
      <c r="D606" t="s">
        <v>71</v>
      </c>
      <c r="E606" t="s">
        <v>27</v>
      </c>
      <c r="F606" t="s">
        <v>68</v>
      </c>
      <c r="G606" t="s">
        <v>22</v>
      </c>
      <c r="H606" t="s">
        <v>20</v>
      </c>
      <c r="I606">
        <v>8</v>
      </c>
      <c r="J606" s="3">
        <v>33.549999999999997</v>
      </c>
      <c r="K606" s="4">
        <v>0</v>
      </c>
      <c r="L606" s="3">
        <v>268.39999999999998</v>
      </c>
      <c r="M606" s="3">
        <v>165.82</v>
      </c>
      <c r="N606" s="3">
        <v>102.58</v>
      </c>
    </row>
    <row r="607" spans="1:14" x14ac:dyDescent="0.35">
      <c r="A607" t="s">
        <v>661</v>
      </c>
      <c r="B607" s="2">
        <v>45880</v>
      </c>
      <c r="C607" t="s">
        <v>32</v>
      </c>
      <c r="D607" t="s">
        <v>36</v>
      </c>
      <c r="E607" t="s">
        <v>17</v>
      </c>
      <c r="F607" t="s">
        <v>18</v>
      </c>
      <c r="G607" t="s">
        <v>29</v>
      </c>
      <c r="H607" t="s">
        <v>23</v>
      </c>
      <c r="I607">
        <v>2</v>
      </c>
      <c r="J607" s="3">
        <v>77.17</v>
      </c>
      <c r="K607" s="4">
        <v>0.1</v>
      </c>
      <c r="L607" s="3">
        <v>138.91</v>
      </c>
      <c r="M607" s="3">
        <v>86.44</v>
      </c>
      <c r="N607" s="3">
        <v>52.47</v>
      </c>
    </row>
    <row r="608" spans="1:14" x14ac:dyDescent="0.35">
      <c r="A608" t="s">
        <v>662</v>
      </c>
      <c r="B608" s="2">
        <v>45881</v>
      </c>
      <c r="C608" t="s">
        <v>32</v>
      </c>
      <c r="D608" t="s">
        <v>57</v>
      </c>
      <c r="E608" t="s">
        <v>17</v>
      </c>
      <c r="F608" t="s">
        <v>44</v>
      </c>
      <c r="G608" t="s">
        <v>29</v>
      </c>
      <c r="H608" t="s">
        <v>20</v>
      </c>
      <c r="I608">
        <v>4</v>
      </c>
      <c r="J608" s="3">
        <v>14.49</v>
      </c>
      <c r="K608" s="4">
        <v>0</v>
      </c>
      <c r="L608" s="3">
        <v>57.96</v>
      </c>
      <c r="M608" s="3">
        <v>28.33</v>
      </c>
      <c r="N608" s="3">
        <v>29.63</v>
      </c>
    </row>
    <row r="609" spans="1:14" x14ac:dyDescent="0.35">
      <c r="A609" t="s">
        <v>663</v>
      </c>
      <c r="B609" s="2">
        <v>45881</v>
      </c>
      <c r="C609" t="s">
        <v>32</v>
      </c>
      <c r="D609" t="s">
        <v>57</v>
      </c>
      <c r="E609" t="s">
        <v>37</v>
      </c>
      <c r="F609" t="s">
        <v>51</v>
      </c>
      <c r="G609" t="s">
        <v>29</v>
      </c>
      <c r="H609" t="s">
        <v>30</v>
      </c>
      <c r="I609">
        <v>7</v>
      </c>
      <c r="J609" s="3">
        <v>33.799999999999997</v>
      </c>
      <c r="K609" s="4">
        <v>0.15</v>
      </c>
      <c r="L609" s="3">
        <v>201.11</v>
      </c>
      <c r="M609" s="3">
        <v>119.15</v>
      </c>
      <c r="N609" s="3">
        <v>81.96</v>
      </c>
    </row>
    <row r="610" spans="1:14" x14ac:dyDescent="0.35">
      <c r="A610" t="s">
        <v>664</v>
      </c>
      <c r="B610" s="2">
        <v>45881</v>
      </c>
      <c r="C610" t="s">
        <v>25</v>
      </c>
      <c r="D610" t="s">
        <v>97</v>
      </c>
      <c r="E610" t="s">
        <v>37</v>
      </c>
      <c r="F610" t="s">
        <v>51</v>
      </c>
      <c r="G610" t="s">
        <v>29</v>
      </c>
      <c r="H610" t="s">
        <v>30</v>
      </c>
      <c r="I610">
        <v>6</v>
      </c>
      <c r="J610" s="3">
        <v>32.03</v>
      </c>
      <c r="K610" s="4">
        <v>0.05</v>
      </c>
      <c r="L610" s="3">
        <v>182.57</v>
      </c>
      <c r="M610" s="3">
        <v>128.16999999999999</v>
      </c>
      <c r="N610" s="3">
        <v>54.4</v>
      </c>
    </row>
    <row r="611" spans="1:14" x14ac:dyDescent="0.35">
      <c r="A611" t="s">
        <v>665</v>
      </c>
      <c r="B611" s="2">
        <v>45882</v>
      </c>
      <c r="C611" t="s">
        <v>40</v>
      </c>
      <c r="D611" t="s">
        <v>71</v>
      </c>
      <c r="E611" t="s">
        <v>17</v>
      </c>
      <c r="F611" t="s">
        <v>44</v>
      </c>
      <c r="G611" t="s">
        <v>22</v>
      </c>
      <c r="H611" t="s">
        <v>30</v>
      </c>
      <c r="I611">
        <v>4</v>
      </c>
      <c r="J611" s="3">
        <v>18.27</v>
      </c>
      <c r="K611" s="4">
        <v>0.1</v>
      </c>
      <c r="L611" s="3">
        <v>65.77</v>
      </c>
      <c r="M611" s="3">
        <v>42.56</v>
      </c>
      <c r="N611" s="3">
        <v>23.21</v>
      </c>
    </row>
    <row r="612" spans="1:14" x14ac:dyDescent="0.35">
      <c r="A612" t="s">
        <v>666</v>
      </c>
      <c r="B612" s="2">
        <v>45882</v>
      </c>
      <c r="C612" t="s">
        <v>25</v>
      </c>
      <c r="D612" t="s">
        <v>97</v>
      </c>
      <c r="E612" t="s">
        <v>37</v>
      </c>
      <c r="F612" t="s">
        <v>51</v>
      </c>
      <c r="G612" t="s">
        <v>29</v>
      </c>
      <c r="H612" t="s">
        <v>20</v>
      </c>
      <c r="I612">
        <v>11</v>
      </c>
      <c r="J612" s="3">
        <v>37.619999999999997</v>
      </c>
      <c r="K612" s="4">
        <v>0.15</v>
      </c>
      <c r="L612" s="3">
        <v>351.75</v>
      </c>
      <c r="M612" s="3">
        <v>234.14</v>
      </c>
      <c r="N612" s="3">
        <v>117.61</v>
      </c>
    </row>
    <row r="613" spans="1:14" x14ac:dyDescent="0.35">
      <c r="A613" t="s">
        <v>667</v>
      </c>
      <c r="B613" s="2">
        <v>45882</v>
      </c>
      <c r="C613" t="s">
        <v>15</v>
      </c>
      <c r="D613" t="s">
        <v>46</v>
      </c>
      <c r="E613" t="s">
        <v>53</v>
      </c>
      <c r="F613" t="s">
        <v>54</v>
      </c>
      <c r="G613" t="s">
        <v>22</v>
      </c>
      <c r="H613" t="s">
        <v>20</v>
      </c>
      <c r="I613">
        <v>1</v>
      </c>
      <c r="J613" s="3">
        <v>7.34</v>
      </c>
      <c r="K613" s="4">
        <v>0.15</v>
      </c>
      <c r="L613" s="3">
        <v>6.24</v>
      </c>
      <c r="M613" s="3">
        <v>4.05</v>
      </c>
      <c r="N613" s="3">
        <v>2.19</v>
      </c>
    </row>
    <row r="614" spans="1:14" x14ac:dyDescent="0.35">
      <c r="A614" t="s">
        <v>668</v>
      </c>
      <c r="B614" s="2">
        <v>45883</v>
      </c>
      <c r="C614" t="s">
        <v>32</v>
      </c>
      <c r="D614" t="s">
        <v>57</v>
      </c>
      <c r="E614" t="s">
        <v>53</v>
      </c>
      <c r="F614" t="s">
        <v>54</v>
      </c>
      <c r="G614" t="s">
        <v>22</v>
      </c>
      <c r="H614" t="s">
        <v>23</v>
      </c>
      <c r="I614">
        <v>10</v>
      </c>
      <c r="J614" s="3">
        <v>8.86</v>
      </c>
      <c r="K614" s="4">
        <v>0.05</v>
      </c>
      <c r="L614" s="3">
        <v>84.17</v>
      </c>
      <c r="M614" s="3">
        <v>43.97</v>
      </c>
      <c r="N614" s="3">
        <v>40.200000000000003</v>
      </c>
    </row>
    <row r="615" spans="1:14" x14ac:dyDescent="0.35">
      <c r="A615" t="s">
        <v>669</v>
      </c>
      <c r="B615" s="2">
        <v>45883</v>
      </c>
      <c r="C615" t="s">
        <v>32</v>
      </c>
      <c r="D615" t="s">
        <v>36</v>
      </c>
      <c r="E615" t="s">
        <v>17</v>
      </c>
      <c r="F615" t="s">
        <v>34</v>
      </c>
      <c r="G615" t="s">
        <v>29</v>
      </c>
      <c r="H615" t="s">
        <v>30</v>
      </c>
      <c r="I615">
        <v>8</v>
      </c>
      <c r="J615" s="3">
        <v>18.43</v>
      </c>
      <c r="K615" s="4">
        <v>0.15</v>
      </c>
      <c r="L615" s="3">
        <v>125.32</v>
      </c>
      <c r="M615" s="3">
        <v>77.13</v>
      </c>
      <c r="N615" s="3">
        <v>48.19</v>
      </c>
    </row>
    <row r="616" spans="1:14" x14ac:dyDescent="0.35">
      <c r="A616" t="s">
        <v>670</v>
      </c>
      <c r="B616" s="2">
        <v>45883</v>
      </c>
      <c r="C616" t="s">
        <v>15</v>
      </c>
      <c r="D616" t="s">
        <v>59</v>
      </c>
      <c r="E616" t="s">
        <v>27</v>
      </c>
      <c r="F616" t="s">
        <v>68</v>
      </c>
      <c r="G616" t="s">
        <v>22</v>
      </c>
      <c r="H616" t="s">
        <v>23</v>
      </c>
      <c r="I616">
        <v>11</v>
      </c>
      <c r="J616" s="3">
        <v>42.25</v>
      </c>
      <c r="K616" s="4">
        <v>0.1</v>
      </c>
      <c r="L616" s="3">
        <v>418.28</v>
      </c>
      <c r="M616" s="3">
        <v>308.98</v>
      </c>
      <c r="N616" s="3">
        <v>109.3</v>
      </c>
    </row>
    <row r="617" spans="1:14" x14ac:dyDescent="0.35">
      <c r="A617" t="s">
        <v>671</v>
      </c>
      <c r="B617" s="2">
        <v>45884</v>
      </c>
      <c r="C617" t="s">
        <v>32</v>
      </c>
      <c r="D617" t="s">
        <v>33</v>
      </c>
      <c r="E617" t="s">
        <v>27</v>
      </c>
      <c r="F617" t="s">
        <v>48</v>
      </c>
      <c r="G617" t="s">
        <v>22</v>
      </c>
      <c r="H617" t="s">
        <v>23</v>
      </c>
      <c r="I617">
        <v>4</v>
      </c>
      <c r="J617" s="3">
        <v>239.39</v>
      </c>
      <c r="K617" s="4">
        <v>0.15</v>
      </c>
      <c r="L617" s="3">
        <v>813.93</v>
      </c>
      <c r="M617" s="3">
        <v>537.52</v>
      </c>
      <c r="N617" s="3">
        <v>276.41000000000003</v>
      </c>
    </row>
    <row r="618" spans="1:14" x14ac:dyDescent="0.35">
      <c r="A618" t="s">
        <v>672</v>
      </c>
      <c r="B618" s="2">
        <v>45885</v>
      </c>
      <c r="C618" t="s">
        <v>40</v>
      </c>
      <c r="D618" t="s">
        <v>41</v>
      </c>
      <c r="E618" t="s">
        <v>27</v>
      </c>
      <c r="F618" t="s">
        <v>28</v>
      </c>
      <c r="G618" t="s">
        <v>22</v>
      </c>
      <c r="H618" t="s">
        <v>20</v>
      </c>
      <c r="I618">
        <v>2</v>
      </c>
      <c r="J618" s="3">
        <v>129.16999999999999</v>
      </c>
      <c r="K618" s="4">
        <v>0</v>
      </c>
      <c r="L618" s="3">
        <v>258.33999999999997</v>
      </c>
      <c r="M618" s="3">
        <v>161.91999999999999</v>
      </c>
      <c r="N618" s="3">
        <v>96.42</v>
      </c>
    </row>
    <row r="619" spans="1:14" x14ac:dyDescent="0.35">
      <c r="A619" t="s">
        <v>673</v>
      </c>
      <c r="B619" s="2">
        <v>45885</v>
      </c>
      <c r="C619" t="s">
        <v>15</v>
      </c>
      <c r="D619" t="s">
        <v>59</v>
      </c>
      <c r="E619" t="s">
        <v>27</v>
      </c>
      <c r="F619" t="s">
        <v>68</v>
      </c>
      <c r="G619" t="s">
        <v>29</v>
      </c>
      <c r="H619" t="s">
        <v>30</v>
      </c>
      <c r="I619">
        <v>5</v>
      </c>
      <c r="J619" s="3">
        <v>36.520000000000003</v>
      </c>
      <c r="K619" s="4">
        <v>0</v>
      </c>
      <c r="L619" s="3">
        <v>182.6</v>
      </c>
      <c r="M619" s="3">
        <v>116.18</v>
      </c>
      <c r="N619" s="3">
        <v>66.42</v>
      </c>
    </row>
    <row r="620" spans="1:14" x14ac:dyDescent="0.35">
      <c r="A620" t="s">
        <v>674</v>
      </c>
      <c r="B620" s="2">
        <v>45885</v>
      </c>
      <c r="C620" t="s">
        <v>32</v>
      </c>
      <c r="D620" t="s">
        <v>33</v>
      </c>
      <c r="E620" t="s">
        <v>37</v>
      </c>
      <c r="F620" t="s">
        <v>38</v>
      </c>
      <c r="G620" t="s">
        <v>19</v>
      </c>
      <c r="H620" t="s">
        <v>23</v>
      </c>
      <c r="I620">
        <v>11</v>
      </c>
      <c r="J620" s="3">
        <v>53.44</v>
      </c>
      <c r="K620" s="4">
        <v>0</v>
      </c>
      <c r="L620" s="3">
        <v>587.84</v>
      </c>
      <c r="M620" s="3">
        <v>379.16</v>
      </c>
      <c r="N620" s="3">
        <v>208.68</v>
      </c>
    </row>
    <row r="621" spans="1:14" x14ac:dyDescent="0.35">
      <c r="A621" t="s">
        <v>675</v>
      </c>
      <c r="B621" s="2">
        <v>45886</v>
      </c>
      <c r="C621" t="s">
        <v>40</v>
      </c>
      <c r="D621" t="s">
        <v>50</v>
      </c>
      <c r="E621" t="s">
        <v>53</v>
      </c>
      <c r="F621" t="s">
        <v>66</v>
      </c>
      <c r="G621" t="s">
        <v>22</v>
      </c>
      <c r="H621" t="s">
        <v>30</v>
      </c>
      <c r="I621">
        <v>12</v>
      </c>
      <c r="J621" s="3">
        <v>24.59</v>
      </c>
      <c r="K621" s="4">
        <v>0.1</v>
      </c>
      <c r="L621" s="3">
        <v>265.57</v>
      </c>
      <c r="M621" s="3">
        <v>159.36000000000001</v>
      </c>
      <c r="N621" s="3">
        <v>106.21</v>
      </c>
    </row>
    <row r="622" spans="1:14" x14ac:dyDescent="0.35">
      <c r="A622" t="s">
        <v>676</v>
      </c>
      <c r="B622" s="2">
        <v>45887</v>
      </c>
      <c r="C622" t="s">
        <v>40</v>
      </c>
      <c r="D622" t="s">
        <v>71</v>
      </c>
      <c r="E622" t="s">
        <v>53</v>
      </c>
      <c r="F622" t="s">
        <v>66</v>
      </c>
      <c r="G622" t="s">
        <v>19</v>
      </c>
      <c r="H622" t="s">
        <v>30</v>
      </c>
      <c r="I622">
        <v>8</v>
      </c>
      <c r="J622" s="3">
        <v>18.440000000000001</v>
      </c>
      <c r="K622" s="4">
        <v>0.05</v>
      </c>
      <c r="L622" s="3">
        <v>140.13999999999999</v>
      </c>
      <c r="M622" s="3">
        <v>88.43</v>
      </c>
      <c r="N622" s="3">
        <v>51.71</v>
      </c>
    </row>
    <row r="623" spans="1:14" x14ac:dyDescent="0.35">
      <c r="A623" t="s">
        <v>677</v>
      </c>
      <c r="B623" s="2">
        <v>45888</v>
      </c>
      <c r="C623" t="s">
        <v>40</v>
      </c>
      <c r="D623" t="s">
        <v>50</v>
      </c>
      <c r="E623" t="s">
        <v>27</v>
      </c>
      <c r="F623" t="s">
        <v>68</v>
      </c>
      <c r="G623" t="s">
        <v>19</v>
      </c>
      <c r="H623" t="s">
        <v>30</v>
      </c>
      <c r="I623">
        <v>11</v>
      </c>
      <c r="J623" s="3">
        <v>35.99</v>
      </c>
      <c r="K623" s="4">
        <v>0.15</v>
      </c>
      <c r="L623" s="3">
        <v>336.51</v>
      </c>
      <c r="M623" s="3">
        <v>247.58</v>
      </c>
      <c r="N623" s="3">
        <v>88.93</v>
      </c>
    </row>
    <row r="624" spans="1:14" x14ac:dyDescent="0.35">
      <c r="A624" t="s">
        <v>678</v>
      </c>
      <c r="B624" s="2">
        <v>45888</v>
      </c>
      <c r="C624" t="s">
        <v>15</v>
      </c>
      <c r="D624" t="s">
        <v>46</v>
      </c>
      <c r="E624" t="s">
        <v>53</v>
      </c>
      <c r="F624" t="s">
        <v>66</v>
      </c>
      <c r="G624" t="s">
        <v>19</v>
      </c>
      <c r="H624" t="s">
        <v>30</v>
      </c>
      <c r="I624">
        <v>4</v>
      </c>
      <c r="J624" s="3">
        <v>21.57</v>
      </c>
      <c r="K624" s="4">
        <v>0.1</v>
      </c>
      <c r="L624" s="3">
        <v>77.650000000000006</v>
      </c>
      <c r="M624" s="3">
        <v>42.11</v>
      </c>
      <c r="N624" s="3">
        <v>35.54</v>
      </c>
    </row>
    <row r="625" spans="1:14" x14ac:dyDescent="0.35">
      <c r="A625" t="s">
        <v>679</v>
      </c>
      <c r="B625" s="2">
        <v>45888</v>
      </c>
      <c r="C625" t="s">
        <v>32</v>
      </c>
      <c r="D625" t="s">
        <v>33</v>
      </c>
      <c r="E625" t="s">
        <v>27</v>
      </c>
      <c r="F625" t="s">
        <v>79</v>
      </c>
      <c r="G625" t="s">
        <v>19</v>
      </c>
      <c r="H625" t="s">
        <v>30</v>
      </c>
      <c r="I625">
        <v>8</v>
      </c>
      <c r="J625" s="3">
        <v>122.88</v>
      </c>
      <c r="K625" s="4">
        <v>0.15</v>
      </c>
      <c r="L625" s="3">
        <v>835.58</v>
      </c>
      <c r="M625" s="3">
        <v>512.47</v>
      </c>
      <c r="N625" s="3">
        <v>323.11</v>
      </c>
    </row>
    <row r="626" spans="1:14" x14ac:dyDescent="0.35">
      <c r="A626" t="s">
        <v>680</v>
      </c>
      <c r="B626" s="2">
        <v>45889</v>
      </c>
      <c r="C626" t="s">
        <v>25</v>
      </c>
      <c r="D626" t="s">
        <v>74</v>
      </c>
      <c r="E626" t="s">
        <v>27</v>
      </c>
      <c r="F626" t="s">
        <v>48</v>
      </c>
      <c r="G626" t="s">
        <v>22</v>
      </c>
      <c r="H626" t="s">
        <v>23</v>
      </c>
      <c r="I626">
        <v>4</v>
      </c>
      <c r="J626" s="3">
        <v>250.18</v>
      </c>
      <c r="K626" s="4">
        <v>0</v>
      </c>
      <c r="L626" s="3">
        <v>1000.72</v>
      </c>
      <c r="M626" s="3">
        <v>495.25</v>
      </c>
      <c r="N626" s="3">
        <v>505.47</v>
      </c>
    </row>
    <row r="627" spans="1:14" x14ac:dyDescent="0.35">
      <c r="A627" t="s">
        <v>681</v>
      </c>
      <c r="B627" s="2">
        <v>45889</v>
      </c>
      <c r="C627" t="s">
        <v>15</v>
      </c>
      <c r="D627" t="s">
        <v>16</v>
      </c>
      <c r="E627" t="s">
        <v>17</v>
      </c>
      <c r="F627" t="s">
        <v>87</v>
      </c>
      <c r="G627" t="s">
        <v>22</v>
      </c>
      <c r="H627" t="s">
        <v>23</v>
      </c>
      <c r="I627">
        <v>2</v>
      </c>
      <c r="J627" s="3">
        <v>14.64</v>
      </c>
      <c r="K627" s="4">
        <v>0</v>
      </c>
      <c r="L627" s="3">
        <v>29.28</v>
      </c>
      <c r="M627" s="3">
        <v>20.14</v>
      </c>
      <c r="N627" s="3">
        <v>9.14</v>
      </c>
    </row>
    <row r="628" spans="1:14" x14ac:dyDescent="0.35">
      <c r="A628" t="s">
        <v>682</v>
      </c>
      <c r="B628" s="2">
        <v>45889</v>
      </c>
      <c r="C628" t="s">
        <v>32</v>
      </c>
      <c r="D628" t="s">
        <v>57</v>
      </c>
      <c r="E628" t="s">
        <v>53</v>
      </c>
      <c r="F628" t="s">
        <v>83</v>
      </c>
      <c r="G628" t="s">
        <v>19</v>
      </c>
      <c r="H628" t="s">
        <v>20</v>
      </c>
      <c r="I628">
        <v>4</v>
      </c>
      <c r="J628" s="3">
        <v>14.36</v>
      </c>
      <c r="K628" s="4">
        <v>0.1</v>
      </c>
      <c r="L628" s="3">
        <v>51.7</v>
      </c>
      <c r="M628" s="3">
        <v>37.42</v>
      </c>
      <c r="N628" s="3">
        <v>14.28</v>
      </c>
    </row>
    <row r="629" spans="1:14" x14ac:dyDescent="0.35">
      <c r="A629" t="s">
        <v>683</v>
      </c>
      <c r="B629" s="2">
        <v>45889</v>
      </c>
      <c r="C629" t="s">
        <v>32</v>
      </c>
      <c r="D629" t="s">
        <v>36</v>
      </c>
      <c r="E629" t="s">
        <v>37</v>
      </c>
      <c r="F629" t="s">
        <v>42</v>
      </c>
      <c r="G629" t="s">
        <v>29</v>
      </c>
      <c r="H629" t="s">
        <v>20</v>
      </c>
      <c r="I629">
        <v>11</v>
      </c>
      <c r="J629" s="3">
        <v>16.7</v>
      </c>
      <c r="K629" s="4">
        <v>0.05</v>
      </c>
      <c r="L629" s="3">
        <v>174.51</v>
      </c>
      <c r="M629" s="3">
        <v>107.75</v>
      </c>
      <c r="N629" s="3">
        <v>66.760000000000005</v>
      </c>
    </row>
    <row r="630" spans="1:14" x14ac:dyDescent="0.35">
      <c r="A630" t="s">
        <v>684</v>
      </c>
      <c r="B630" s="2">
        <v>45890</v>
      </c>
      <c r="C630" t="s">
        <v>40</v>
      </c>
      <c r="D630" t="s">
        <v>41</v>
      </c>
      <c r="E630" t="s">
        <v>37</v>
      </c>
      <c r="F630" t="s">
        <v>51</v>
      </c>
      <c r="G630" t="s">
        <v>19</v>
      </c>
      <c r="H630" t="s">
        <v>23</v>
      </c>
      <c r="I630">
        <v>5</v>
      </c>
      <c r="J630" s="3">
        <v>36.020000000000003</v>
      </c>
      <c r="K630" s="4">
        <v>0.15</v>
      </c>
      <c r="L630" s="3">
        <v>153.09</v>
      </c>
      <c r="M630" s="3">
        <v>122.17</v>
      </c>
      <c r="N630" s="3">
        <v>30.92</v>
      </c>
    </row>
    <row r="631" spans="1:14" x14ac:dyDescent="0.35">
      <c r="A631" t="s">
        <v>685</v>
      </c>
      <c r="B631" s="2">
        <v>45890</v>
      </c>
      <c r="C631" t="s">
        <v>40</v>
      </c>
      <c r="D631" t="s">
        <v>41</v>
      </c>
      <c r="E631" t="s">
        <v>27</v>
      </c>
      <c r="F631" t="s">
        <v>68</v>
      </c>
      <c r="G631" t="s">
        <v>29</v>
      </c>
      <c r="H631" t="s">
        <v>23</v>
      </c>
      <c r="I631">
        <v>2</v>
      </c>
      <c r="J631" s="3">
        <v>33.67</v>
      </c>
      <c r="K631" s="4">
        <v>0.15</v>
      </c>
      <c r="L631" s="3">
        <v>57.24</v>
      </c>
      <c r="M631" s="3">
        <v>46.73</v>
      </c>
      <c r="N631" s="3">
        <v>10.51</v>
      </c>
    </row>
    <row r="632" spans="1:14" x14ac:dyDescent="0.35">
      <c r="A632" t="s">
        <v>686</v>
      </c>
      <c r="B632" s="2">
        <v>45891</v>
      </c>
      <c r="C632" t="s">
        <v>32</v>
      </c>
      <c r="D632" t="s">
        <v>33</v>
      </c>
      <c r="E632" t="s">
        <v>37</v>
      </c>
      <c r="F632" t="s">
        <v>51</v>
      </c>
      <c r="G632" t="s">
        <v>19</v>
      </c>
      <c r="H632" t="s">
        <v>20</v>
      </c>
      <c r="I632">
        <v>7</v>
      </c>
      <c r="J632" s="3">
        <v>36.950000000000003</v>
      </c>
      <c r="K632" s="4">
        <v>0</v>
      </c>
      <c r="L632" s="3">
        <v>258.64999999999998</v>
      </c>
      <c r="M632" s="3">
        <v>129.96</v>
      </c>
      <c r="N632" s="3">
        <v>128.69</v>
      </c>
    </row>
    <row r="633" spans="1:14" x14ac:dyDescent="0.35">
      <c r="A633" t="s">
        <v>687</v>
      </c>
      <c r="B633" s="2">
        <v>45891</v>
      </c>
      <c r="C633" t="s">
        <v>40</v>
      </c>
      <c r="D633" t="s">
        <v>50</v>
      </c>
      <c r="E633" t="s">
        <v>53</v>
      </c>
      <c r="F633" t="s">
        <v>54</v>
      </c>
      <c r="G633" t="s">
        <v>22</v>
      </c>
      <c r="H633" t="s">
        <v>23</v>
      </c>
      <c r="I633">
        <v>12</v>
      </c>
      <c r="J633" s="3">
        <v>8.3000000000000007</v>
      </c>
      <c r="K633" s="4">
        <v>0</v>
      </c>
      <c r="L633" s="3">
        <v>99.6</v>
      </c>
      <c r="M633" s="3">
        <v>76.89</v>
      </c>
      <c r="N633" s="3">
        <v>22.71</v>
      </c>
    </row>
    <row r="634" spans="1:14" x14ac:dyDescent="0.35">
      <c r="A634" t="s">
        <v>688</v>
      </c>
      <c r="B634" s="2">
        <v>45892</v>
      </c>
      <c r="C634" t="s">
        <v>32</v>
      </c>
      <c r="D634" t="s">
        <v>33</v>
      </c>
      <c r="E634" t="s">
        <v>37</v>
      </c>
      <c r="F634" t="s">
        <v>38</v>
      </c>
      <c r="G634" t="s">
        <v>29</v>
      </c>
      <c r="H634" t="s">
        <v>30</v>
      </c>
      <c r="I634">
        <v>11</v>
      </c>
      <c r="J634" s="3">
        <v>63.36</v>
      </c>
      <c r="K634" s="4">
        <v>0.15</v>
      </c>
      <c r="L634" s="3">
        <v>592.41999999999996</v>
      </c>
      <c r="M634" s="3">
        <v>536.5</v>
      </c>
      <c r="N634" s="3">
        <v>55.92</v>
      </c>
    </row>
    <row r="635" spans="1:14" x14ac:dyDescent="0.35">
      <c r="A635" t="s">
        <v>689</v>
      </c>
      <c r="B635" s="2">
        <v>45892</v>
      </c>
      <c r="C635" t="s">
        <v>40</v>
      </c>
      <c r="D635" t="s">
        <v>50</v>
      </c>
      <c r="E635" t="s">
        <v>53</v>
      </c>
      <c r="F635" t="s">
        <v>66</v>
      </c>
      <c r="G635" t="s">
        <v>19</v>
      </c>
      <c r="H635" t="s">
        <v>20</v>
      </c>
      <c r="I635">
        <v>12</v>
      </c>
      <c r="J635" s="3">
        <v>19.18</v>
      </c>
      <c r="K635" s="4">
        <v>0</v>
      </c>
      <c r="L635" s="3">
        <v>230.16</v>
      </c>
      <c r="M635" s="3">
        <v>144.13999999999999</v>
      </c>
      <c r="N635" s="3">
        <v>86.02</v>
      </c>
    </row>
    <row r="636" spans="1:14" x14ac:dyDescent="0.35">
      <c r="A636" t="s">
        <v>690</v>
      </c>
      <c r="B636" s="2">
        <v>45892</v>
      </c>
      <c r="C636" t="s">
        <v>40</v>
      </c>
      <c r="D636" t="s">
        <v>50</v>
      </c>
      <c r="E636" t="s">
        <v>17</v>
      </c>
      <c r="F636" t="s">
        <v>44</v>
      </c>
      <c r="G636" t="s">
        <v>19</v>
      </c>
      <c r="H636" t="s">
        <v>23</v>
      </c>
      <c r="I636">
        <v>12</v>
      </c>
      <c r="J636" s="3">
        <v>18.45</v>
      </c>
      <c r="K636" s="4">
        <v>0</v>
      </c>
      <c r="L636" s="3">
        <v>221.4</v>
      </c>
      <c r="M636" s="3">
        <v>129.49</v>
      </c>
      <c r="N636" s="3">
        <v>91.91</v>
      </c>
    </row>
    <row r="637" spans="1:14" x14ac:dyDescent="0.35">
      <c r="A637" t="s">
        <v>691</v>
      </c>
      <c r="B637" s="2">
        <v>45892</v>
      </c>
      <c r="C637" t="s">
        <v>32</v>
      </c>
      <c r="D637" t="s">
        <v>36</v>
      </c>
      <c r="E637" t="s">
        <v>27</v>
      </c>
      <c r="F637" t="s">
        <v>68</v>
      </c>
      <c r="G637" t="s">
        <v>29</v>
      </c>
      <c r="H637" t="s">
        <v>20</v>
      </c>
      <c r="I637">
        <v>1</v>
      </c>
      <c r="J637" s="3">
        <v>45.2</v>
      </c>
      <c r="K637" s="4">
        <v>0.15</v>
      </c>
      <c r="L637" s="3">
        <v>38.42</v>
      </c>
      <c r="M637" s="3">
        <v>34.93</v>
      </c>
      <c r="N637" s="3">
        <v>3.49</v>
      </c>
    </row>
    <row r="638" spans="1:14" x14ac:dyDescent="0.35">
      <c r="A638" t="s">
        <v>692</v>
      </c>
      <c r="B638" s="2">
        <v>45893</v>
      </c>
      <c r="C638" t="s">
        <v>25</v>
      </c>
      <c r="D638" t="s">
        <v>74</v>
      </c>
      <c r="E638" t="s">
        <v>53</v>
      </c>
      <c r="F638" t="s">
        <v>54</v>
      </c>
      <c r="G638" t="s">
        <v>22</v>
      </c>
      <c r="H638" t="s">
        <v>30</v>
      </c>
      <c r="I638">
        <v>5</v>
      </c>
      <c r="J638" s="3">
        <v>8.7200000000000006</v>
      </c>
      <c r="K638" s="4">
        <v>0</v>
      </c>
      <c r="L638" s="3">
        <v>43.6</v>
      </c>
      <c r="M638" s="3">
        <v>29.48</v>
      </c>
      <c r="N638" s="3">
        <v>14.12</v>
      </c>
    </row>
    <row r="639" spans="1:14" x14ac:dyDescent="0.35">
      <c r="A639" t="s">
        <v>693</v>
      </c>
      <c r="B639" s="2">
        <v>45893</v>
      </c>
      <c r="C639" t="s">
        <v>15</v>
      </c>
      <c r="D639" t="s">
        <v>59</v>
      </c>
      <c r="E639" t="s">
        <v>27</v>
      </c>
      <c r="F639" t="s">
        <v>68</v>
      </c>
      <c r="G639" t="s">
        <v>29</v>
      </c>
      <c r="H639" t="s">
        <v>23</v>
      </c>
      <c r="I639">
        <v>8</v>
      </c>
      <c r="J639" s="3">
        <v>36.32</v>
      </c>
      <c r="K639" s="4">
        <v>0.15</v>
      </c>
      <c r="L639" s="3">
        <v>246.98</v>
      </c>
      <c r="M639" s="3">
        <v>211.32</v>
      </c>
      <c r="N639" s="3">
        <v>35.659999999999997</v>
      </c>
    </row>
    <row r="640" spans="1:14" x14ac:dyDescent="0.35">
      <c r="A640" t="s">
        <v>694</v>
      </c>
      <c r="B640" s="2">
        <v>45893</v>
      </c>
      <c r="C640" t="s">
        <v>32</v>
      </c>
      <c r="D640" t="s">
        <v>33</v>
      </c>
      <c r="E640" t="s">
        <v>37</v>
      </c>
      <c r="F640" t="s">
        <v>75</v>
      </c>
      <c r="G640" t="s">
        <v>29</v>
      </c>
      <c r="H640" t="s">
        <v>23</v>
      </c>
      <c r="I640">
        <v>2</v>
      </c>
      <c r="J640" s="3">
        <v>25.04</v>
      </c>
      <c r="K640" s="4">
        <v>0.15</v>
      </c>
      <c r="L640" s="3">
        <v>42.57</v>
      </c>
      <c r="M640" s="3">
        <v>37.340000000000003</v>
      </c>
      <c r="N640" s="3">
        <v>5.23</v>
      </c>
    </row>
    <row r="641" spans="1:14" x14ac:dyDescent="0.35">
      <c r="A641" t="s">
        <v>695</v>
      </c>
      <c r="B641" s="2">
        <v>45893</v>
      </c>
      <c r="C641" t="s">
        <v>32</v>
      </c>
      <c r="D641" t="s">
        <v>36</v>
      </c>
      <c r="E641" t="s">
        <v>27</v>
      </c>
      <c r="F641" t="s">
        <v>79</v>
      </c>
      <c r="G641" t="s">
        <v>22</v>
      </c>
      <c r="H641" t="s">
        <v>30</v>
      </c>
      <c r="I641">
        <v>4</v>
      </c>
      <c r="J641" s="3">
        <v>102.08</v>
      </c>
      <c r="K641" s="4">
        <v>0</v>
      </c>
      <c r="L641" s="3">
        <v>408.32</v>
      </c>
      <c r="M641" s="3">
        <v>244.8</v>
      </c>
      <c r="N641" s="3">
        <v>163.52000000000001</v>
      </c>
    </row>
    <row r="642" spans="1:14" x14ac:dyDescent="0.35">
      <c r="A642" t="s">
        <v>696</v>
      </c>
      <c r="B642" s="2">
        <v>45895</v>
      </c>
      <c r="C642" t="s">
        <v>25</v>
      </c>
      <c r="D642" t="s">
        <v>26</v>
      </c>
      <c r="E642" t="s">
        <v>27</v>
      </c>
      <c r="F642" t="s">
        <v>28</v>
      </c>
      <c r="G642" t="s">
        <v>22</v>
      </c>
      <c r="H642" t="s">
        <v>30</v>
      </c>
      <c r="I642">
        <v>2</v>
      </c>
      <c r="J642" s="3">
        <v>131.25</v>
      </c>
      <c r="K642" s="4">
        <v>0.05</v>
      </c>
      <c r="L642" s="3">
        <v>249.38</v>
      </c>
      <c r="M642" s="3">
        <v>191.08</v>
      </c>
      <c r="N642" s="3">
        <v>58.3</v>
      </c>
    </row>
    <row r="643" spans="1:14" x14ac:dyDescent="0.35">
      <c r="A643" t="s">
        <v>697</v>
      </c>
      <c r="B643" s="2">
        <v>45895</v>
      </c>
      <c r="C643" t="s">
        <v>25</v>
      </c>
      <c r="D643" t="s">
        <v>26</v>
      </c>
      <c r="E643" t="s">
        <v>53</v>
      </c>
      <c r="F643" t="s">
        <v>66</v>
      </c>
      <c r="G643" t="s">
        <v>22</v>
      </c>
      <c r="H643" t="s">
        <v>20</v>
      </c>
      <c r="I643">
        <v>1</v>
      </c>
      <c r="J643" s="3">
        <v>21.4</v>
      </c>
      <c r="K643" s="4">
        <v>0.05</v>
      </c>
      <c r="L643" s="3">
        <v>20.329999999999998</v>
      </c>
      <c r="M643" s="3">
        <v>12.94</v>
      </c>
      <c r="N643" s="3">
        <v>7.39</v>
      </c>
    </row>
    <row r="644" spans="1:14" x14ac:dyDescent="0.35">
      <c r="A644" t="s">
        <v>698</v>
      </c>
      <c r="B644" s="2">
        <v>45895</v>
      </c>
      <c r="C644" t="s">
        <v>32</v>
      </c>
      <c r="D644" t="s">
        <v>36</v>
      </c>
      <c r="E644" t="s">
        <v>17</v>
      </c>
      <c r="F644" t="s">
        <v>44</v>
      </c>
      <c r="G644" t="s">
        <v>22</v>
      </c>
      <c r="H644" t="s">
        <v>23</v>
      </c>
      <c r="I644">
        <v>6</v>
      </c>
      <c r="J644" s="3">
        <v>13.63</v>
      </c>
      <c r="K644" s="4">
        <v>0.1</v>
      </c>
      <c r="L644" s="3">
        <v>73.599999999999994</v>
      </c>
      <c r="M644" s="3">
        <v>47.32</v>
      </c>
      <c r="N644" s="3">
        <v>26.28</v>
      </c>
    </row>
    <row r="645" spans="1:14" x14ac:dyDescent="0.35">
      <c r="A645" t="s">
        <v>699</v>
      </c>
      <c r="B645" s="2">
        <v>45895</v>
      </c>
      <c r="C645" t="s">
        <v>15</v>
      </c>
      <c r="D645" t="s">
        <v>16</v>
      </c>
      <c r="E645" t="s">
        <v>17</v>
      </c>
      <c r="F645" t="s">
        <v>18</v>
      </c>
      <c r="G645" t="s">
        <v>29</v>
      </c>
      <c r="H645" t="s">
        <v>30</v>
      </c>
      <c r="I645">
        <v>11</v>
      </c>
      <c r="J645" s="3">
        <v>69.17</v>
      </c>
      <c r="K645" s="4">
        <v>0.1</v>
      </c>
      <c r="L645" s="3">
        <v>684.78</v>
      </c>
      <c r="M645" s="3">
        <v>380.8</v>
      </c>
      <c r="N645" s="3">
        <v>303.98</v>
      </c>
    </row>
    <row r="646" spans="1:14" x14ac:dyDescent="0.35">
      <c r="A646" t="s">
        <v>700</v>
      </c>
      <c r="B646" s="2">
        <v>45895</v>
      </c>
      <c r="C646" t="s">
        <v>15</v>
      </c>
      <c r="D646" t="s">
        <v>16</v>
      </c>
      <c r="E646" t="s">
        <v>17</v>
      </c>
      <c r="F646" t="s">
        <v>34</v>
      </c>
      <c r="G646" t="s">
        <v>22</v>
      </c>
      <c r="H646" t="s">
        <v>30</v>
      </c>
      <c r="I646">
        <v>2</v>
      </c>
      <c r="J646" s="3">
        <v>17.579999999999998</v>
      </c>
      <c r="K646" s="4">
        <v>0</v>
      </c>
      <c r="L646" s="3">
        <v>35.159999999999997</v>
      </c>
      <c r="M646" s="3">
        <v>24.4</v>
      </c>
      <c r="N646" s="3">
        <v>10.76</v>
      </c>
    </row>
    <row r="647" spans="1:14" x14ac:dyDescent="0.35">
      <c r="A647" t="s">
        <v>701</v>
      </c>
      <c r="B647" s="2">
        <v>45895</v>
      </c>
      <c r="C647" t="s">
        <v>32</v>
      </c>
      <c r="D647" t="s">
        <v>33</v>
      </c>
      <c r="E647" t="s">
        <v>37</v>
      </c>
      <c r="F647" t="s">
        <v>75</v>
      </c>
      <c r="G647" t="s">
        <v>22</v>
      </c>
      <c r="H647" t="s">
        <v>30</v>
      </c>
      <c r="I647">
        <v>7</v>
      </c>
      <c r="J647" s="3">
        <v>25.08</v>
      </c>
      <c r="K647" s="4">
        <v>0</v>
      </c>
      <c r="L647" s="3">
        <v>175.56</v>
      </c>
      <c r="M647" s="3">
        <v>104.73</v>
      </c>
      <c r="N647" s="3">
        <v>70.83</v>
      </c>
    </row>
    <row r="648" spans="1:14" x14ac:dyDescent="0.35">
      <c r="A648" t="s">
        <v>702</v>
      </c>
      <c r="B648" s="2">
        <v>45895</v>
      </c>
      <c r="C648" t="s">
        <v>15</v>
      </c>
      <c r="D648" t="s">
        <v>59</v>
      </c>
      <c r="E648" t="s">
        <v>17</v>
      </c>
      <c r="F648" t="s">
        <v>34</v>
      </c>
      <c r="G648" t="s">
        <v>19</v>
      </c>
      <c r="H648" t="s">
        <v>30</v>
      </c>
      <c r="I648">
        <v>5</v>
      </c>
      <c r="J648" s="3">
        <v>20.329999999999998</v>
      </c>
      <c r="K648" s="4">
        <v>0.15</v>
      </c>
      <c r="L648" s="3">
        <v>86.4</v>
      </c>
      <c r="M648" s="3">
        <v>55.92</v>
      </c>
      <c r="N648" s="3">
        <v>30.48</v>
      </c>
    </row>
    <row r="649" spans="1:14" x14ac:dyDescent="0.35">
      <c r="A649" t="s">
        <v>703</v>
      </c>
      <c r="B649" s="2">
        <v>45895</v>
      </c>
      <c r="C649" t="s">
        <v>15</v>
      </c>
      <c r="D649" t="s">
        <v>16</v>
      </c>
      <c r="E649" t="s">
        <v>27</v>
      </c>
      <c r="F649" t="s">
        <v>48</v>
      </c>
      <c r="G649" t="s">
        <v>22</v>
      </c>
      <c r="H649" t="s">
        <v>20</v>
      </c>
      <c r="I649">
        <v>10</v>
      </c>
      <c r="J649" s="3">
        <v>295.17</v>
      </c>
      <c r="K649" s="4">
        <v>0.15</v>
      </c>
      <c r="L649" s="3">
        <v>2508.9499999999998</v>
      </c>
      <c r="M649" s="3">
        <v>1794.7</v>
      </c>
      <c r="N649" s="3">
        <v>714.25</v>
      </c>
    </row>
    <row r="650" spans="1:14" x14ac:dyDescent="0.35">
      <c r="A650" t="s">
        <v>704</v>
      </c>
      <c r="B650" s="2">
        <v>45895</v>
      </c>
      <c r="C650" t="s">
        <v>40</v>
      </c>
      <c r="D650" t="s">
        <v>71</v>
      </c>
      <c r="E650" t="s">
        <v>27</v>
      </c>
      <c r="F650" t="s">
        <v>48</v>
      </c>
      <c r="G650" t="s">
        <v>22</v>
      </c>
      <c r="H650" t="s">
        <v>23</v>
      </c>
      <c r="I650">
        <v>4</v>
      </c>
      <c r="J650" s="3">
        <v>287.64999999999998</v>
      </c>
      <c r="K650" s="4">
        <v>0.15</v>
      </c>
      <c r="L650" s="3">
        <v>978.01</v>
      </c>
      <c r="M650" s="3">
        <v>814.79</v>
      </c>
      <c r="N650" s="3">
        <v>163.22</v>
      </c>
    </row>
    <row r="651" spans="1:14" x14ac:dyDescent="0.35">
      <c r="A651" t="s">
        <v>705</v>
      </c>
      <c r="B651" s="2">
        <v>45896</v>
      </c>
      <c r="C651" t="s">
        <v>32</v>
      </c>
      <c r="D651" t="s">
        <v>57</v>
      </c>
      <c r="E651" t="s">
        <v>37</v>
      </c>
      <c r="F651" t="s">
        <v>51</v>
      </c>
      <c r="G651" t="s">
        <v>29</v>
      </c>
      <c r="H651" t="s">
        <v>20</v>
      </c>
      <c r="I651">
        <v>10</v>
      </c>
      <c r="J651" s="3">
        <v>38.39</v>
      </c>
      <c r="K651" s="4">
        <v>0.1</v>
      </c>
      <c r="L651" s="3">
        <v>345.51</v>
      </c>
      <c r="M651" s="3">
        <v>189.51</v>
      </c>
      <c r="N651" s="3">
        <v>156</v>
      </c>
    </row>
    <row r="652" spans="1:14" x14ac:dyDescent="0.35">
      <c r="A652" t="s">
        <v>706</v>
      </c>
      <c r="B652" s="2">
        <v>45896</v>
      </c>
      <c r="C652" t="s">
        <v>40</v>
      </c>
      <c r="D652" t="s">
        <v>50</v>
      </c>
      <c r="E652" t="s">
        <v>17</v>
      </c>
      <c r="F652" t="s">
        <v>34</v>
      </c>
      <c r="G652" t="s">
        <v>29</v>
      </c>
      <c r="H652" t="s">
        <v>20</v>
      </c>
      <c r="I652">
        <v>3</v>
      </c>
      <c r="J652" s="3">
        <v>22.32</v>
      </c>
      <c r="K652" s="4">
        <v>0</v>
      </c>
      <c r="L652" s="3">
        <v>66.959999999999994</v>
      </c>
      <c r="M652" s="3">
        <v>49.95</v>
      </c>
      <c r="N652" s="3">
        <v>17.010000000000002</v>
      </c>
    </row>
    <row r="653" spans="1:14" x14ac:dyDescent="0.35">
      <c r="A653" t="s">
        <v>707</v>
      </c>
      <c r="B653" s="2">
        <v>45896</v>
      </c>
      <c r="C653" t="s">
        <v>15</v>
      </c>
      <c r="D653" t="s">
        <v>46</v>
      </c>
      <c r="E653" t="s">
        <v>17</v>
      </c>
      <c r="F653" t="s">
        <v>18</v>
      </c>
      <c r="G653" t="s">
        <v>22</v>
      </c>
      <c r="H653" t="s">
        <v>30</v>
      </c>
      <c r="I653">
        <v>6</v>
      </c>
      <c r="J653" s="3">
        <v>82.66</v>
      </c>
      <c r="K653" s="4">
        <v>0</v>
      </c>
      <c r="L653" s="3">
        <v>495.96</v>
      </c>
      <c r="M653" s="3">
        <v>279.56</v>
      </c>
      <c r="N653" s="3">
        <v>216.4</v>
      </c>
    </row>
    <row r="654" spans="1:14" x14ac:dyDescent="0.35">
      <c r="A654" t="s">
        <v>708</v>
      </c>
      <c r="B654" s="2">
        <v>45897</v>
      </c>
      <c r="C654" t="s">
        <v>25</v>
      </c>
      <c r="D654" t="s">
        <v>26</v>
      </c>
      <c r="E654" t="s">
        <v>37</v>
      </c>
      <c r="F654" t="s">
        <v>42</v>
      </c>
      <c r="G654" t="s">
        <v>22</v>
      </c>
      <c r="H654" t="s">
        <v>23</v>
      </c>
      <c r="I654">
        <v>1</v>
      </c>
      <c r="J654" s="3">
        <v>17.84</v>
      </c>
      <c r="K654" s="4">
        <v>0.05</v>
      </c>
      <c r="L654" s="3">
        <v>16.95</v>
      </c>
      <c r="M654" s="3">
        <v>12.85</v>
      </c>
      <c r="N654" s="3">
        <v>4.0999999999999996</v>
      </c>
    </row>
    <row r="655" spans="1:14" x14ac:dyDescent="0.35">
      <c r="A655" t="s">
        <v>709</v>
      </c>
      <c r="B655" s="2">
        <v>45897</v>
      </c>
      <c r="C655" t="s">
        <v>32</v>
      </c>
      <c r="D655" t="s">
        <v>57</v>
      </c>
      <c r="E655" t="s">
        <v>37</v>
      </c>
      <c r="F655" t="s">
        <v>51</v>
      </c>
      <c r="G655" t="s">
        <v>22</v>
      </c>
      <c r="H655" t="s">
        <v>30</v>
      </c>
      <c r="I655">
        <v>4</v>
      </c>
      <c r="J655" s="3">
        <v>36.83</v>
      </c>
      <c r="K655" s="4">
        <v>0.1</v>
      </c>
      <c r="L655" s="3">
        <v>132.59</v>
      </c>
      <c r="M655" s="3">
        <v>113.46</v>
      </c>
      <c r="N655" s="3">
        <v>19.13</v>
      </c>
    </row>
    <row r="656" spans="1:14" x14ac:dyDescent="0.35">
      <c r="A656" t="s">
        <v>710</v>
      </c>
      <c r="B656" s="2">
        <v>45898</v>
      </c>
      <c r="C656" t="s">
        <v>32</v>
      </c>
      <c r="D656" t="s">
        <v>36</v>
      </c>
      <c r="E656" t="s">
        <v>27</v>
      </c>
      <c r="F656" t="s">
        <v>48</v>
      </c>
      <c r="G656" t="s">
        <v>19</v>
      </c>
      <c r="H656" t="s">
        <v>20</v>
      </c>
      <c r="I656">
        <v>6</v>
      </c>
      <c r="J656" s="3">
        <v>250.22</v>
      </c>
      <c r="K656" s="4">
        <v>0</v>
      </c>
      <c r="L656" s="3">
        <v>1501.32</v>
      </c>
      <c r="M656" s="3">
        <v>1106.95</v>
      </c>
      <c r="N656" s="3">
        <v>394.37</v>
      </c>
    </row>
    <row r="657" spans="1:14" x14ac:dyDescent="0.35">
      <c r="A657" t="s">
        <v>711</v>
      </c>
      <c r="B657" s="2">
        <v>45898</v>
      </c>
      <c r="C657" t="s">
        <v>25</v>
      </c>
      <c r="D657" t="s">
        <v>97</v>
      </c>
      <c r="E657" t="s">
        <v>27</v>
      </c>
      <c r="F657" t="s">
        <v>48</v>
      </c>
      <c r="G657" t="s">
        <v>29</v>
      </c>
      <c r="H657" t="s">
        <v>20</v>
      </c>
      <c r="I657">
        <v>6</v>
      </c>
      <c r="J657" s="3">
        <v>308.41000000000003</v>
      </c>
      <c r="K657" s="4">
        <v>0.05</v>
      </c>
      <c r="L657" s="3">
        <v>1757.94</v>
      </c>
      <c r="M657" s="3">
        <v>1048.77</v>
      </c>
      <c r="N657" s="3">
        <v>709.17</v>
      </c>
    </row>
    <row r="658" spans="1:14" x14ac:dyDescent="0.35">
      <c r="A658" t="s">
        <v>712</v>
      </c>
      <c r="B658" s="2">
        <v>45898</v>
      </c>
      <c r="C658" t="s">
        <v>15</v>
      </c>
      <c r="D658" t="s">
        <v>16</v>
      </c>
      <c r="E658" t="s">
        <v>27</v>
      </c>
      <c r="F658" t="s">
        <v>48</v>
      </c>
      <c r="G658" t="s">
        <v>22</v>
      </c>
      <c r="H658" t="s">
        <v>23</v>
      </c>
      <c r="I658">
        <v>10</v>
      </c>
      <c r="J658" s="3">
        <v>254.5</v>
      </c>
      <c r="K658" s="4">
        <v>0</v>
      </c>
      <c r="L658" s="3">
        <v>2545</v>
      </c>
      <c r="M658" s="3">
        <v>1365.41</v>
      </c>
      <c r="N658" s="3">
        <v>1179.5899999999999</v>
      </c>
    </row>
    <row r="659" spans="1:14" x14ac:dyDescent="0.35">
      <c r="A659" t="s">
        <v>713</v>
      </c>
      <c r="B659" s="2">
        <v>45898</v>
      </c>
      <c r="C659" t="s">
        <v>32</v>
      </c>
      <c r="D659" t="s">
        <v>36</v>
      </c>
      <c r="E659" t="s">
        <v>53</v>
      </c>
      <c r="F659" t="s">
        <v>54</v>
      </c>
      <c r="G659" t="s">
        <v>19</v>
      </c>
      <c r="H659" t="s">
        <v>30</v>
      </c>
      <c r="I659">
        <v>4</v>
      </c>
      <c r="J659" s="3">
        <v>6.81</v>
      </c>
      <c r="K659" s="4">
        <v>0.15</v>
      </c>
      <c r="L659" s="3">
        <v>23.15</v>
      </c>
      <c r="M659" s="3">
        <v>19.04</v>
      </c>
      <c r="N659" s="3">
        <v>4.1100000000000003</v>
      </c>
    </row>
    <row r="660" spans="1:14" x14ac:dyDescent="0.35">
      <c r="A660" t="s">
        <v>714</v>
      </c>
      <c r="B660" s="2">
        <v>45898</v>
      </c>
      <c r="C660" t="s">
        <v>40</v>
      </c>
      <c r="D660" t="s">
        <v>50</v>
      </c>
      <c r="E660" t="s">
        <v>27</v>
      </c>
      <c r="F660" t="s">
        <v>68</v>
      </c>
      <c r="G660" t="s">
        <v>22</v>
      </c>
      <c r="H660" t="s">
        <v>30</v>
      </c>
      <c r="I660">
        <v>7</v>
      </c>
      <c r="J660" s="3">
        <v>38.840000000000003</v>
      </c>
      <c r="K660" s="4">
        <v>0</v>
      </c>
      <c r="L660" s="3">
        <v>271.88</v>
      </c>
      <c r="M660" s="3">
        <v>143.86000000000001</v>
      </c>
      <c r="N660" s="3">
        <v>128.02000000000001</v>
      </c>
    </row>
    <row r="661" spans="1:14" x14ac:dyDescent="0.35">
      <c r="A661" t="s">
        <v>715</v>
      </c>
      <c r="B661" s="2">
        <v>45898</v>
      </c>
      <c r="C661" t="s">
        <v>15</v>
      </c>
      <c r="D661" t="s">
        <v>46</v>
      </c>
      <c r="E661" t="s">
        <v>37</v>
      </c>
      <c r="F661" t="s">
        <v>51</v>
      </c>
      <c r="G661" t="s">
        <v>22</v>
      </c>
      <c r="H661" t="s">
        <v>30</v>
      </c>
      <c r="I661">
        <v>9</v>
      </c>
      <c r="J661" s="3">
        <v>31.55</v>
      </c>
      <c r="K661" s="4">
        <v>0.15</v>
      </c>
      <c r="L661" s="3">
        <v>241.36</v>
      </c>
      <c r="M661" s="3">
        <v>168.18</v>
      </c>
      <c r="N661" s="3">
        <v>73.180000000000007</v>
      </c>
    </row>
    <row r="662" spans="1:14" x14ac:dyDescent="0.35">
      <c r="A662" t="s">
        <v>716</v>
      </c>
      <c r="B662" s="2">
        <v>45899</v>
      </c>
      <c r="C662" t="s">
        <v>15</v>
      </c>
      <c r="D662" t="s">
        <v>16</v>
      </c>
      <c r="E662" t="s">
        <v>37</v>
      </c>
      <c r="F662" t="s">
        <v>38</v>
      </c>
      <c r="G662" t="s">
        <v>19</v>
      </c>
      <c r="H662" t="s">
        <v>30</v>
      </c>
      <c r="I662">
        <v>7</v>
      </c>
      <c r="J662" s="3">
        <v>50.21</v>
      </c>
      <c r="K662" s="4">
        <v>0</v>
      </c>
      <c r="L662" s="3">
        <v>351.47</v>
      </c>
      <c r="M662" s="3">
        <v>249.46</v>
      </c>
      <c r="N662" s="3">
        <v>102.01</v>
      </c>
    </row>
    <row r="663" spans="1:14" x14ac:dyDescent="0.35">
      <c r="A663" t="s">
        <v>717</v>
      </c>
      <c r="B663" s="2">
        <v>45899</v>
      </c>
      <c r="C663" t="s">
        <v>25</v>
      </c>
      <c r="D663" t="s">
        <v>74</v>
      </c>
      <c r="E663" t="s">
        <v>37</v>
      </c>
      <c r="F663" t="s">
        <v>51</v>
      </c>
      <c r="G663" t="s">
        <v>19</v>
      </c>
      <c r="H663" t="s">
        <v>23</v>
      </c>
      <c r="I663">
        <v>12</v>
      </c>
      <c r="J663" s="3">
        <v>34.47</v>
      </c>
      <c r="K663" s="4">
        <v>0</v>
      </c>
      <c r="L663" s="3">
        <v>413.64</v>
      </c>
      <c r="M663" s="3">
        <v>219.92</v>
      </c>
      <c r="N663" s="3">
        <v>193.72</v>
      </c>
    </row>
    <row r="664" spans="1:14" x14ac:dyDescent="0.35">
      <c r="A664" t="s">
        <v>718</v>
      </c>
      <c r="B664" s="2">
        <v>45899</v>
      </c>
      <c r="C664" t="s">
        <v>15</v>
      </c>
      <c r="D664" t="s">
        <v>16</v>
      </c>
      <c r="E664" t="s">
        <v>17</v>
      </c>
      <c r="F664" t="s">
        <v>44</v>
      </c>
      <c r="G664" t="s">
        <v>19</v>
      </c>
      <c r="H664" t="s">
        <v>23</v>
      </c>
      <c r="I664">
        <v>7</v>
      </c>
      <c r="J664" s="3">
        <v>14.41</v>
      </c>
      <c r="K664" s="4">
        <v>0.15</v>
      </c>
      <c r="L664" s="3">
        <v>85.74</v>
      </c>
      <c r="M664" s="3">
        <v>62.19</v>
      </c>
      <c r="N664" s="3">
        <v>23.55</v>
      </c>
    </row>
    <row r="665" spans="1:14" x14ac:dyDescent="0.35">
      <c r="A665" t="s">
        <v>719</v>
      </c>
      <c r="B665" s="2">
        <v>45899</v>
      </c>
      <c r="C665" t="s">
        <v>15</v>
      </c>
      <c r="D665" t="s">
        <v>46</v>
      </c>
      <c r="E665" t="s">
        <v>37</v>
      </c>
      <c r="F665" t="s">
        <v>38</v>
      </c>
      <c r="G665" t="s">
        <v>29</v>
      </c>
      <c r="H665" t="s">
        <v>30</v>
      </c>
      <c r="I665">
        <v>10</v>
      </c>
      <c r="J665" s="3">
        <v>51.01</v>
      </c>
      <c r="K665" s="4">
        <v>0</v>
      </c>
      <c r="L665" s="3">
        <v>510.1</v>
      </c>
      <c r="M665" s="3">
        <v>342.08</v>
      </c>
      <c r="N665" s="3">
        <v>168.02</v>
      </c>
    </row>
    <row r="666" spans="1:14" x14ac:dyDescent="0.35">
      <c r="A666" t="s">
        <v>720</v>
      </c>
      <c r="B666" s="2">
        <v>45900</v>
      </c>
      <c r="C666" t="s">
        <v>40</v>
      </c>
      <c r="D666" t="s">
        <v>71</v>
      </c>
      <c r="E666" t="s">
        <v>37</v>
      </c>
      <c r="F666" t="s">
        <v>42</v>
      </c>
      <c r="G666" t="s">
        <v>22</v>
      </c>
      <c r="H666" t="s">
        <v>20</v>
      </c>
      <c r="I666">
        <v>7</v>
      </c>
      <c r="J666" s="3">
        <v>18.600000000000001</v>
      </c>
      <c r="K666" s="4">
        <v>0</v>
      </c>
      <c r="L666" s="3">
        <v>130.19999999999999</v>
      </c>
      <c r="M666" s="3">
        <v>66.56</v>
      </c>
      <c r="N666" s="3">
        <v>63.64</v>
      </c>
    </row>
    <row r="667" spans="1:14" x14ac:dyDescent="0.35">
      <c r="A667" t="s">
        <v>721</v>
      </c>
      <c r="B667" s="2">
        <v>45900</v>
      </c>
      <c r="C667" t="s">
        <v>25</v>
      </c>
      <c r="D667" t="s">
        <v>97</v>
      </c>
      <c r="E667" t="s">
        <v>17</v>
      </c>
      <c r="F667" t="s">
        <v>18</v>
      </c>
      <c r="G667" t="s">
        <v>19</v>
      </c>
      <c r="H667" t="s">
        <v>30</v>
      </c>
      <c r="I667">
        <v>6</v>
      </c>
      <c r="J667" s="3">
        <v>65.2</v>
      </c>
      <c r="K667" s="4">
        <v>0</v>
      </c>
      <c r="L667" s="3">
        <v>391.2</v>
      </c>
      <c r="M667" s="3">
        <v>275.18</v>
      </c>
      <c r="N667" s="3">
        <v>116.02</v>
      </c>
    </row>
    <row r="668" spans="1:14" x14ac:dyDescent="0.35">
      <c r="A668" t="s">
        <v>722</v>
      </c>
      <c r="B668" s="2">
        <v>45900</v>
      </c>
      <c r="C668" t="s">
        <v>15</v>
      </c>
      <c r="D668" t="s">
        <v>16</v>
      </c>
      <c r="E668" t="s">
        <v>37</v>
      </c>
      <c r="F668" t="s">
        <v>51</v>
      </c>
      <c r="G668" t="s">
        <v>22</v>
      </c>
      <c r="H668" t="s">
        <v>23</v>
      </c>
      <c r="I668">
        <v>9</v>
      </c>
      <c r="J668" s="3">
        <v>31.34</v>
      </c>
      <c r="K668" s="4">
        <v>0</v>
      </c>
      <c r="L668" s="3">
        <v>282.06</v>
      </c>
      <c r="M668" s="3">
        <v>186.3</v>
      </c>
      <c r="N668" s="3">
        <v>95.76</v>
      </c>
    </row>
    <row r="669" spans="1:14" x14ac:dyDescent="0.35">
      <c r="A669" t="s">
        <v>723</v>
      </c>
      <c r="B669" s="2">
        <v>45900</v>
      </c>
      <c r="C669" t="s">
        <v>25</v>
      </c>
      <c r="D669" t="s">
        <v>26</v>
      </c>
      <c r="E669" t="s">
        <v>27</v>
      </c>
      <c r="F669" t="s">
        <v>68</v>
      </c>
      <c r="G669" t="s">
        <v>29</v>
      </c>
      <c r="H669" t="s">
        <v>30</v>
      </c>
      <c r="I669">
        <v>10</v>
      </c>
      <c r="J669" s="3">
        <v>41.99</v>
      </c>
      <c r="K669" s="4">
        <v>0.1</v>
      </c>
      <c r="L669" s="3">
        <v>377.91</v>
      </c>
      <c r="M669" s="3">
        <v>244.22</v>
      </c>
      <c r="N669" s="3">
        <v>133.69</v>
      </c>
    </row>
    <row r="670" spans="1:14" x14ac:dyDescent="0.35">
      <c r="A670" t="s">
        <v>724</v>
      </c>
      <c r="B670" s="2">
        <v>45900</v>
      </c>
      <c r="C670" t="s">
        <v>40</v>
      </c>
      <c r="D670" t="s">
        <v>50</v>
      </c>
      <c r="E670" t="s">
        <v>37</v>
      </c>
      <c r="F670" t="s">
        <v>51</v>
      </c>
      <c r="G670" t="s">
        <v>22</v>
      </c>
      <c r="H670" t="s">
        <v>23</v>
      </c>
      <c r="I670">
        <v>4</v>
      </c>
      <c r="J670" s="3">
        <v>38.32</v>
      </c>
      <c r="K670" s="4">
        <v>0.15</v>
      </c>
      <c r="L670" s="3">
        <v>130.29</v>
      </c>
      <c r="M670" s="3">
        <v>102.49</v>
      </c>
      <c r="N670" s="3">
        <v>27.8</v>
      </c>
    </row>
    <row r="671" spans="1:14" x14ac:dyDescent="0.35">
      <c r="A671" t="s">
        <v>725</v>
      </c>
      <c r="B671" s="2">
        <v>45901</v>
      </c>
      <c r="C671" t="s">
        <v>40</v>
      </c>
      <c r="D671" t="s">
        <v>71</v>
      </c>
      <c r="E671" t="s">
        <v>37</v>
      </c>
      <c r="F671" t="s">
        <v>38</v>
      </c>
      <c r="G671" t="s">
        <v>29</v>
      </c>
      <c r="H671" t="s">
        <v>23</v>
      </c>
      <c r="I671">
        <v>8</v>
      </c>
      <c r="J671" s="3">
        <v>47.49</v>
      </c>
      <c r="K671" s="4">
        <v>0</v>
      </c>
      <c r="L671" s="3">
        <v>379.92</v>
      </c>
      <c r="M671" s="3">
        <v>290.47000000000003</v>
      </c>
      <c r="N671" s="3">
        <v>89.45</v>
      </c>
    </row>
    <row r="672" spans="1:14" x14ac:dyDescent="0.35">
      <c r="A672" t="s">
        <v>726</v>
      </c>
      <c r="B672" s="2">
        <v>45901</v>
      </c>
      <c r="C672" t="s">
        <v>40</v>
      </c>
      <c r="D672" t="s">
        <v>50</v>
      </c>
      <c r="E672" t="s">
        <v>27</v>
      </c>
      <c r="F672" t="s">
        <v>79</v>
      </c>
      <c r="G672" t="s">
        <v>19</v>
      </c>
      <c r="H672" t="s">
        <v>20</v>
      </c>
      <c r="I672">
        <v>4</v>
      </c>
      <c r="J672" s="3">
        <v>127.93</v>
      </c>
      <c r="K672" s="4">
        <v>0.05</v>
      </c>
      <c r="L672" s="3">
        <v>486.13</v>
      </c>
      <c r="M672" s="3">
        <v>273.69</v>
      </c>
      <c r="N672" s="3">
        <v>212.44</v>
      </c>
    </row>
    <row r="673" spans="1:14" x14ac:dyDescent="0.35">
      <c r="A673" t="s">
        <v>727</v>
      </c>
      <c r="B673" s="2">
        <v>45901</v>
      </c>
      <c r="C673" t="s">
        <v>25</v>
      </c>
      <c r="D673" t="s">
        <v>74</v>
      </c>
      <c r="E673" t="s">
        <v>37</v>
      </c>
      <c r="F673" t="s">
        <v>42</v>
      </c>
      <c r="G673" t="s">
        <v>29</v>
      </c>
      <c r="H673" t="s">
        <v>20</v>
      </c>
      <c r="I673">
        <v>2</v>
      </c>
      <c r="J673" s="3">
        <v>18.34</v>
      </c>
      <c r="K673" s="4">
        <v>0</v>
      </c>
      <c r="L673" s="3">
        <v>36.68</v>
      </c>
      <c r="M673" s="3">
        <v>27.53</v>
      </c>
      <c r="N673" s="3">
        <v>9.15</v>
      </c>
    </row>
    <row r="674" spans="1:14" x14ac:dyDescent="0.35">
      <c r="A674" t="s">
        <v>728</v>
      </c>
      <c r="B674" s="2">
        <v>45901</v>
      </c>
      <c r="C674" t="s">
        <v>40</v>
      </c>
      <c r="D674" t="s">
        <v>71</v>
      </c>
      <c r="E674" t="s">
        <v>37</v>
      </c>
      <c r="F674" t="s">
        <v>42</v>
      </c>
      <c r="G674" t="s">
        <v>22</v>
      </c>
      <c r="H674" t="s">
        <v>20</v>
      </c>
      <c r="I674">
        <v>11</v>
      </c>
      <c r="J674" s="3">
        <v>17.48</v>
      </c>
      <c r="K674" s="4">
        <v>0</v>
      </c>
      <c r="L674" s="3">
        <v>192.28</v>
      </c>
      <c r="M674" s="3">
        <v>144.47</v>
      </c>
      <c r="N674" s="3">
        <v>47.81</v>
      </c>
    </row>
    <row r="675" spans="1:14" x14ac:dyDescent="0.35">
      <c r="A675" t="s">
        <v>729</v>
      </c>
      <c r="B675" s="2">
        <v>45901</v>
      </c>
      <c r="C675" t="s">
        <v>15</v>
      </c>
      <c r="D675" t="s">
        <v>59</v>
      </c>
      <c r="E675" t="s">
        <v>37</v>
      </c>
      <c r="F675" t="s">
        <v>75</v>
      </c>
      <c r="G675" t="s">
        <v>19</v>
      </c>
      <c r="H675" t="s">
        <v>30</v>
      </c>
      <c r="I675">
        <v>7</v>
      </c>
      <c r="J675" s="3">
        <v>27.84</v>
      </c>
      <c r="K675" s="4">
        <v>0.15</v>
      </c>
      <c r="L675" s="3">
        <v>165.65</v>
      </c>
      <c r="M675" s="3">
        <v>104.91</v>
      </c>
      <c r="N675" s="3">
        <v>60.74</v>
      </c>
    </row>
    <row r="676" spans="1:14" x14ac:dyDescent="0.35">
      <c r="A676" t="s">
        <v>730</v>
      </c>
      <c r="B676" s="2">
        <v>45902</v>
      </c>
      <c r="C676" t="s">
        <v>25</v>
      </c>
      <c r="D676" t="s">
        <v>26</v>
      </c>
      <c r="E676" t="s">
        <v>53</v>
      </c>
      <c r="F676" t="s">
        <v>66</v>
      </c>
      <c r="G676" t="s">
        <v>29</v>
      </c>
      <c r="H676" t="s">
        <v>20</v>
      </c>
      <c r="I676">
        <v>6</v>
      </c>
      <c r="J676" s="3">
        <v>19.95</v>
      </c>
      <c r="K676" s="4">
        <v>0</v>
      </c>
      <c r="L676" s="3">
        <v>119.7</v>
      </c>
      <c r="M676" s="3">
        <v>90.06</v>
      </c>
      <c r="N676" s="3">
        <v>29.64</v>
      </c>
    </row>
    <row r="677" spans="1:14" x14ac:dyDescent="0.35">
      <c r="A677" t="s">
        <v>731</v>
      </c>
      <c r="B677" s="2">
        <v>45903</v>
      </c>
      <c r="C677" t="s">
        <v>32</v>
      </c>
      <c r="D677" t="s">
        <v>33</v>
      </c>
      <c r="E677" t="s">
        <v>17</v>
      </c>
      <c r="F677" t="s">
        <v>44</v>
      </c>
      <c r="G677" t="s">
        <v>19</v>
      </c>
      <c r="H677" t="s">
        <v>30</v>
      </c>
      <c r="I677">
        <v>11</v>
      </c>
      <c r="J677" s="3">
        <v>14.36</v>
      </c>
      <c r="K677" s="4">
        <v>0</v>
      </c>
      <c r="L677" s="3">
        <v>157.96</v>
      </c>
      <c r="M677" s="3">
        <v>105.54</v>
      </c>
      <c r="N677" s="3">
        <v>52.42</v>
      </c>
    </row>
    <row r="678" spans="1:14" x14ac:dyDescent="0.35">
      <c r="A678" t="s">
        <v>732</v>
      </c>
      <c r="B678" s="2">
        <v>45904</v>
      </c>
      <c r="C678" t="s">
        <v>15</v>
      </c>
      <c r="D678" t="s">
        <v>16</v>
      </c>
      <c r="E678" t="s">
        <v>17</v>
      </c>
      <c r="F678" t="s">
        <v>18</v>
      </c>
      <c r="G678" t="s">
        <v>29</v>
      </c>
      <c r="H678" t="s">
        <v>20</v>
      </c>
      <c r="I678">
        <v>3</v>
      </c>
      <c r="J678" s="3">
        <v>81.41</v>
      </c>
      <c r="K678" s="4">
        <v>0</v>
      </c>
      <c r="L678" s="3">
        <v>244.23</v>
      </c>
      <c r="M678" s="3">
        <v>145.31</v>
      </c>
      <c r="N678" s="3">
        <v>98.92</v>
      </c>
    </row>
    <row r="679" spans="1:14" x14ac:dyDescent="0.35">
      <c r="A679" t="s">
        <v>733</v>
      </c>
      <c r="B679" s="2">
        <v>45905</v>
      </c>
      <c r="C679" t="s">
        <v>40</v>
      </c>
      <c r="D679" t="s">
        <v>41</v>
      </c>
      <c r="E679" t="s">
        <v>27</v>
      </c>
      <c r="F679" t="s">
        <v>79</v>
      </c>
      <c r="G679" t="s">
        <v>19</v>
      </c>
      <c r="H679" t="s">
        <v>23</v>
      </c>
      <c r="I679">
        <v>2</v>
      </c>
      <c r="J679" s="3">
        <v>125.56</v>
      </c>
      <c r="K679" s="4">
        <v>0.05</v>
      </c>
      <c r="L679" s="3">
        <v>238.56</v>
      </c>
      <c r="M679" s="3">
        <v>137.68</v>
      </c>
      <c r="N679" s="3">
        <v>100.88</v>
      </c>
    </row>
    <row r="680" spans="1:14" x14ac:dyDescent="0.35">
      <c r="A680" t="s">
        <v>734</v>
      </c>
      <c r="B680" s="2">
        <v>45905</v>
      </c>
      <c r="C680" t="s">
        <v>25</v>
      </c>
      <c r="D680" t="s">
        <v>26</v>
      </c>
      <c r="E680" t="s">
        <v>37</v>
      </c>
      <c r="F680" t="s">
        <v>75</v>
      </c>
      <c r="G680" t="s">
        <v>19</v>
      </c>
      <c r="H680" t="s">
        <v>23</v>
      </c>
      <c r="I680">
        <v>11</v>
      </c>
      <c r="J680" s="3">
        <v>21.79</v>
      </c>
      <c r="K680" s="4">
        <v>0.1</v>
      </c>
      <c r="L680" s="3">
        <v>215.72</v>
      </c>
      <c r="M680" s="3">
        <v>126.35</v>
      </c>
      <c r="N680" s="3">
        <v>89.37</v>
      </c>
    </row>
    <row r="681" spans="1:14" x14ac:dyDescent="0.35">
      <c r="A681" t="s">
        <v>735</v>
      </c>
      <c r="B681" s="2">
        <v>45905</v>
      </c>
      <c r="C681" t="s">
        <v>32</v>
      </c>
      <c r="D681" t="s">
        <v>33</v>
      </c>
      <c r="E681" t="s">
        <v>53</v>
      </c>
      <c r="F681" t="s">
        <v>54</v>
      </c>
      <c r="G681" t="s">
        <v>22</v>
      </c>
      <c r="H681" t="s">
        <v>23</v>
      </c>
      <c r="I681">
        <v>6</v>
      </c>
      <c r="J681" s="3">
        <v>9.39</v>
      </c>
      <c r="K681" s="4">
        <v>0.15</v>
      </c>
      <c r="L681" s="3">
        <v>47.89</v>
      </c>
      <c r="M681" s="3">
        <v>32.29</v>
      </c>
      <c r="N681" s="3">
        <v>15.6</v>
      </c>
    </row>
    <row r="682" spans="1:14" x14ac:dyDescent="0.35">
      <c r="A682" t="s">
        <v>736</v>
      </c>
      <c r="B682" s="2">
        <v>45907</v>
      </c>
      <c r="C682" t="s">
        <v>25</v>
      </c>
      <c r="D682" t="s">
        <v>97</v>
      </c>
      <c r="E682" t="s">
        <v>37</v>
      </c>
      <c r="F682" t="s">
        <v>38</v>
      </c>
      <c r="G682" t="s">
        <v>22</v>
      </c>
      <c r="H682" t="s">
        <v>20</v>
      </c>
      <c r="I682">
        <v>11</v>
      </c>
      <c r="J682" s="3">
        <v>50.46</v>
      </c>
      <c r="K682" s="4">
        <v>0.15</v>
      </c>
      <c r="L682" s="3">
        <v>471.8</v>
      </c>
      <c r="M682" s="3">
        <v>280.14</v>
      </c>
      <c r="N682" s="3">
        <v>191.66</v>
      </c>
    </row>
    <row r="683" spans="1:14" x14ac:dyDescent="0.35">
      <c r="A683" t="s">
        <v>737</v>
      </c>
      <c r="B683" s="2">
        <v>45907</v>
      </c>
      <c r="C683" t="s">
        <v>25</v>
      </c>
      <c r="D683" t="s">
        <v>26</v>
      </c>
      <c r="E683" t="s">
        <v>27</v>
      </c>
      <c r="F683" t="s">
        <v>79</v>
      </c>
      <c r="G683" t="s">
        <v>22</v>
      </c>
      <c r="H683" t="s">
        <v>23</v>
      </c>
      <c r="I683">
        <v>12</v>
      </c>
      <c r="J683" s="3">
        <v>119.44</v>
      </c>
      <c r="K683" s="4">
        <v>0.1</v>
      </c>
      <c r="L683" s="3">
        <v>1289.95</v>
      </c>
      <c r="M683" s="3">
        <v>1033.96</v>
      </c>
      <c r="N683" s="3">
        <v>255.99</v>
      </c>
    </row>
    <row r="684" spans="1:14" x14ac:dyDescent="0.35">
      <c r="A684" t="s">
        <v>738</v>
      </c>
      <c r="B684" s="2">
        <v>45907</v>
      </c>
      <c r="C684" t="s">
        <v>32</v>
      </c>
      <c r="D684" t="s">
        <v>36</v>
      </c>
      <c r="E684" t="s">
        <v>27</v>
      </c>
      <c r="F684" t="s">
        <v>28</v>
      </c>
      <c r="G684" t="s">
        <v>22</v>
      </c>
      <c r="H684" t="s">
        <v>20</v>
      </c>
      <c r="I684">
        <v>12</v>
      </c>
      <c r="J684" s="3">
        <v>127.98</v>
      </c>
      <c r="K684" s="4">
        <v>0.1</v>
      </c>
      <c r="L684" s="3">
        <v>1382.18</v>
      </c>
      <c r="M684" s="3">
        <v>1029.6500000000001</v>
      </c>
      <c r="N684" s="3">
        <v>352.53</v>
      </c>
    </row>
    <row r="685" spans="1:14" x14ac:dyDescent="0.35">
      <c r="A685" t="s">
        <v>739</v>
      </c>
      <c r="B685" s="2">
        <v>45907</v>
      </c>
      <c r="C685" t="s">
        <v>40</v>
      </c>
      <c r="D685" t="s">
        <v>71</v>
      </c>
      <c r="E685" t="s">
        <v>37</v>
      </c>
      <c r="F685" t="s">
        <v>51</v>
      </c>
      <c r="G685" t="s">
        <v>29</v>
      </c>
      <c r="H685" t="s">
        <v>23</v>
      </c>
      <c r="I685">
        <v>11</v>
      </c>
      <c r="J685" s="3">
        <v>33.99</v>
      </c>
      <c r="K685" s="4">
        <v>0.05</v>
      </c>
      <c r="L685" s="3">
        <v>355.2</v>
      </c>
      <c r="M685" s="3">
        <v>275.79000000000002</v>
      </c>
      <c r="N685" s="3">
        <v>79.41</v>
      </c>
    </row>
    <row r="686" spans="1:14" x14ac:dyDescent="0.35">
      <c r="A686" t="s">
        <v>740</v>
      </c>
      <c r="B686" s="2">
        <v>45908</v>
      </c>
      <c r="C686" t="s">
        <v>15</v>
      </c>
      <c r="D686" t="s">
        <v>16</v>
      </c>
      <c r="E686" t="s">
        <v>27</v>
      </c>
      <c r="F686" t="s">
        <v>48</v>
      </c>
      <c r="G686" t="s">
        <v>29</v>
      </c>
      <c r="H686" t="s">
        <v>30</v>
      </c>
      <c r="I686">
        <v>4</v>
      </c>
      <c r="J686" s="3">
        <v>259.91000000000003</v>
      </c>
      <c r="K686" s="4">
        <v>0</v>
      </c>
      <c r="L686" s="3">
        <v>1039.6400000000001</v>
      </c>
      <c r="M686" s="3">
        <v>688.64</v>
      </c>
      <c r="N686" s="3">
        <v>351</v>
      </c>
    </row>
    <row r="687" spans="1:14" x14ac:dyDescent="0.35">
      <c r="A687" t="s">
        <v>741</v>
      </c>
      <c r="B687" s="2">
        <v>45908</v>
      </c>
      <c r="C687" t="s">
        <v>40</v>
      </c>
      <c r="D687" t="s">
        <v>41</v>
      </c>
      <c r="E687" t="s">
        <v>17</v>
      </c>
      <c r="F687" t="s">
        <v>18</v>
      </c>
      <c r="G687" t="s">
        <v>19</v>
      </c>
      <c r="H687" t="s">
        <v>23</v>
      </c>
      <c r="I687">
        <v>1</v>
      </c>
      <c r="J687" s="3">
        <v>78.599999999999994</v>
      </c>
      <c r="K687" s="4">
        <v>0</v>
      </c>
      <c r="L687" s="3">
        <v>78.599999999999994</v>
      </c>
      <c r="M687" s="3">
        <v>48.18</v>
      </c>
      <c r="N687" s="3">
        <v>30.42</v>
      </c>
    </row>
    <row r="688" spans="1:14" x14ac:dyDescent="0.35">
      <c r="A688" t="s">
        <v>742</v>
      </c>
      <c r="B688" s="2">
        <v>45909</v>
      </c>
      <c r="C688" t="s">
        <v>25</v>
      </c>
      <c r="D688" t="s">
        <v>26</v>
      </c>
      <c r="E688" t="s">
        <v>53</v>
      </c>
      <c r="F688" t="s">
        <v>83</v>
      </c>
      <c r="G688" t="s">
        <v>19</v>
      </c>
      <c r="H688" t="s">
        <v>30</v>
      </c>
      <c r="I688">
        <v>1</v>
      </c>
      <c r="J688" s="3">
        <v>13.74</v>
      </c>
      <c r="K688" s="4">
        <v>0</v>
      </c>
      <c r="L688" s="3">
        <v>13.74</v>
      </c>
      <c r="M688" s="3">
        <v>7.54</v>
      </c>
      <c r="N688" s="3">
        <v>6.2</v>
      </c>
    </row>
    <row r="689" spans="1:14" x14ac:dyDescent="0.35">
      <c r="A689" t="s">
        <v>743</v>
      </c>
      <c r="B689" s="2">
        <v>45909</v>
      </c>
      <c r="C689" t="s">
        <v>32</v>
      </c>
      <c r="D689" t="s">
        <v>57</v>
      </c>
      <c r="E689" t="s">
        <v>53</v>
      </c>
      <c r="F689" t="s">
        <v>115</v>
      </c>
      <c r="G689" t="s">
        <v>22</v>
      </c>
      <c r="H689" t="s">
        <v>30</v>
      </c>
      <c r="I689">
        <v>4</v>
      </c>
      <c r="J689" s="3">
        <v>10.63</v>
      </c>
      <c r="K689" s="4">
        <v>0.05</v>
      </c>
      <c r="L689" s="3">
        <v>40.39</v>
      </c>
      <c r="M689" s="3">
        <v>24.97</v>
      </c>
      <c r="N689" s="3">
        <v>15.42</v>
      </c>
    </row>
    <row r="690" spans="1:14" x14ac:dyDescent="0.35">
      <c r="A690" t="s">
        <v>744</v>
      </c>
      <c r="B690" s="2">
        <v>45909</v>
      </c>
      <c r="C690" t="s">
        <v>15</v>
      </c>
      <c r="D690" t="s">
        <v>59</v>
      </c>
      <c r="E690" t="s">
        <v>53</v>
      </c>
      <c r="F690" t="s">
        <v>66</v>
      </c>
      <c r="G690" t="s">
        <v>19</v>
      </c>
      <c r="H690" t="s">
        <v>20</v>
      </c>
      <c r="I690">
        <v>7</v>
      </c>
      <c r="J690" s="3">
        <v>19.48</v>
      </c>
      <c r="K690" s="4">
        <v>0.15</v>
      </c>
      <c r="L690" s="3">
        <v>115.91</v>
      </c>
      <c r="M690" s="3">
        <v>70.7</v>
      </c>
      <c r="N690" s="3">
        <v>45.21</v>
      </c>
    </row>
    <row r="691" spans="1:14" x14ac:dyDescent="0.35">
      <c r="A691" t="s">
        <v>745</v>
      </c>
      <c r="B691" s="2">
        <v>45909</v>
      </c>
      <c r="C691" t="s">
        <v>32</v>
      </c>
      <c r="D691" t="s">
        <v>36</v>
      </c>
      <c r="E691" t="s">
        <v>17</v>
      </c>
      <c r="F691" t="s">
        <v>34</v>
      </c>
      <c r="G691" t="s">
        <v>19</v>
      </c>
      <c r="H691" t="s">
        <v>20</v>
      </c>
      <c r="I691">
        <v>9</v>
      </c>
      <c r="J691" s="3">
        <v>22.98</v>
      </c>
      <c r="K691" s="4">
        <v>0.15</v>
      </c>
      <c r="L691" s="3">
        <v>175.8</v>
      </c>
      <c r="M691" s="3">
        <v>102.73</v>
      </c>
      <c r="N691" s="3">
        <v>73.069999999999993</v>
      </c>
    </row>
    <row r="692" spans="1:14" x14ac:dyDescent="0.35">
      <c r="A692" t="s">
        <v>746</v>
      </c>
      <c r="B692" s="2">
        <v>45910</v>
      </c>
      <c r="C692" t="s">
        <v>40</v>
      </c>
      <c r="D692" t="s">
        <v>50</v>
      </c>
      <c r="E692" t="s">
        <v>27</v>
      </c>
      <c r="F692" t="s">
        <v>28</v>
      </c>
      <c r="G692" t="s">
        <v>29</v>
      </c>
      <c r="H692" t="s">
        <v>30</v>
      </c>
      <c r="I692">
        <v>5</v>
      </c>
      <c r="J692" s="3">
        <v>148.26</v>
      </c>
      <c r="K692" s="4">
        <v>0.15</v>
      </c>
      <c r="L692" s="3">
        <v>630.1</v>
      </c>
      <c r="M692" s="3">
        <v>402.32</v>
      </c>
      <c r="N692" s="3">
        <v>227.78</v>
      </c>
    </row>
    <row r="693" spans="1:14" x14ac:dyDescent="0.35">
      <c r="A693" t="s">
        <v>747</v>
      </c>
      <c r="B693" s="2">
        <v>45910</v>
      </c>
      <c r="C693" t="s">
        <v>32</v>
      </c>
      <c r="D693" t="s">
        <v>57</v>
      </c>
      <c r="E693" t="s">
        <v>17</v>
      </c>
      <c r="F693" t="s">
        <v>87</v>
      </c>
      <c r="G693" t="s">
        <v>29</v>
      </c>
      <c r="H693" t="s">
        <v>20</v>
      </c>
      <c r="I693">
        <v>5</v>
      </c>
      <c r="J693" s="3">
        <v>15.14</v>
      </c>
      <c r="K693" s="4">
        <v>0.1</v>
      </c>
      <c r="L693" s="3">
        <v>68.13</v>
      </c>
      <c r="M693" s="3">
        <v>47.8</v>
      </c>
      <c r="N693" s="3">
        <v>20.329999999999998</v>
      </c>
    </row>
    <row r="694" spans="1:14" x14ac:dyDescent="0.35">
      <c r="A694" t="s">
        <v>748</v>
      </c>
      <c r="B694" s="2">
        <v>45911</v>
      </c>
      <c r="C694" t="s">
        <v>25</v>
      </c>
      <c r="D694" t="s">
        <v>97</v>
      </c>
      <c r="E694" t="s">
        <v>37</v>
      </c>
      <c r="F694" t="s">
        <v>42</v>
      </c>
      <c r="G694" t="s">
        <v>29</v>
      </c>
      <c r="H694" t="s">
        <v>30</v>
      </c>
      <c r="I694">
        <v>5</v>
      </c>
      <c r="J694" s="3">
        <v>20.18</v>
      </c>
      <c r="K694" s="4">
        <v>0.05</v>
      </c>
      <c r="L694" s="3">
        <v>95.86</v>
      </c>
      <c r="M694" s="3">
        <v>64.84</v>
      </c>
      <c r="N694" s="3">
        <v>31.02</v>
      </c>
    </row>
    <row r="695" spans="1:14" x14ac:dyDescent="0.35">
      <c r="A695" t="s">
        <v>749</v>
      </c>
      <c r="B695" s="2">
        <v>45911</v>
      </c>
      <c r="C695" t="s">
        <v>32</v>
      </c>
      <c r="D695" t="s">
        <v>57</v>
      </c>
      <c r="E695" t="s">
        <v>17</v>
      </c>
      <c r="F695" t="s">
        <v>87</v>
      </c>
      <c r="G695" t="s">
        <v>29</v>
      </c>
      <c r="H695" t="s">
        <v>20</v>
      </c>
      <c r="I695">
        <v>7</v>
      </c>
      <c r="J695" s="3">
        <v>16.100000000000001</v>
      </c>
      <c r="K695" s="4">
        <v>0.15</v>
      </c>
      <c r="L695" s="3">
        <v>95.8</v>
      </c>
      <c r="M695" s="3">
        <v>61.38</v>
      </c>
      <c r="N695" s="3">
        <v>34.42</v>
      </c>
    </row>
    <row r="696" spans="1:14" x14ac:dyDescent="0.35">
      <c r="A696" t="s">
        <v>750</v>
      </c>
      <c r="B696" s="2">
        <v>45912</v>
      </c>
      <c r="C696" t="s">
        <v>40</v>
      </c>
      <c r="D696" t="s">
        <v>50</v>
      </c>
      <c r="E696" t="s">
        <v>17</v>
      </c>
      <c r="F696" t="s">
        <v>34</v>
      </c>
      <c r="G696" t="s">
        <v>22</v>
      </c>
      <c r="H696" t="s">
        <v>23</v>
      </c>
      <c r="I696">
        <v>3</v>
      </c>
      <c r="J696" s="3">
        <v>23.19</v>
      </c>
      <c r="K696" s="4">
        <v>0</v>
      </c>
      <c r="L696" s="3">
        <v>69.569999999999993</v>
      </c>
      <c r="M696" s="3">
        <v>48.18</v>
      </c>
      <c r="N696" s="3">
        <v>21.39</v>
      </c>
    </row>
    <row r="697" spans="1:14" x14ac:dyDescent="0.35">
      <c r="A697" t="s">
        <v>751</v>
      </c>
      <c r="B697" s="2">
        <v>45912</v>
      </c>
      <c r="C697" t="s">
        <v>25</v>
      </c>
      <c r="D697" t="s">
        <v>26</v>
      </c>
      <c r="E697" t="s">
        <v>17</v>
      </c>
      <c r="F697" t="s">
        <v>18</v>
      </c>
      <c r="G697" t="s">
        <v>19</v>
      </c>
      <c r="H697" t="s">
        <v>20</v>
      </c>
      <c r="I697">
        <v>9</v>
      </c>
      <c r="J697" s="3">
        <v>67.92</v>
      </c>
      <c r="K697" s="4">
        <v>0</v>
      </c>
      <c r="L697" s="3">
        <v>611.28</v>
      </c>
      <c r="M697" s="3">
        <v>426.75</v>
      </c>
      <c r="N697" s="3">
        <v>184.53</v>
      </c>
    </row>
    <row r="698" spans="1:14" x14ac:dyDescent="0.35">
      <c r="A698" t="s">
        <v>752</v>
      </c>
      <c r="B698" s="2">
        <v>45913</v>
      </c>
      <c r="C698" t="s">
        <v>25</v>
      </c>
      <c r="D698" t="s">
        <v>26</v>
      </c>
      <c r="E698" t="s">
        <v>37</v>
      </c>
      <c r="F698" t="s">
        <v>38</v>
      </c>
      <c r="G698" t="s">
        <v>19</v>
      </c>
      <c r="H698" t="s">
        <v>23</v>
      </c>
      <c r="I698">
        <v>1</v>
      </c>
      <c r="J698" s="3">
        <v>52.22</v>
      </c>
      <c r="K698" s="4">
        <v>0</v>
      </c>
      <c r="L698" s="3">
        <v>52.22</v>
      </c>
      <c r="M698" s="3">
        <v>31.24</v>
      </c>
      <c r="N698" s="3">
        <v>20.98</v>
      </c>
    </row>
    <row r="699" spans="1:14" x14ac:dyDescent="0.35">
      <c r="A699" t="s">
        <v>753</v>
      </c>
      <c r="B699" s="2">
        <v>45913</v>
      </c>
      <c r="C699" t="s">
        <v>32</v>
      </c>
      <c r="D699" t="s">
        <v>57</v>
      </c>
      <c r="E699" t="s">
        <v>17</v>
      </c>
      <c r="F699" t="s">
        <v>87</v>
      </c>
      <c r="G699" t="s">
        <v>29</v>
      </c>
      <c r="H699" t="s">
        <v>20</v>
      </c>
      <c r="I699">
        <v>10</v>
      </c>
      <c r="J699" s="3">
        <v>13.29</v>
      </c>
      <c r="K699" s="4">
        <v>0</v>
      </c>
      <c r="L699" s="3">
        <v>132.9</v>
      </c>
      <c r="M699" s="3">
        <v>87.67</v>
      </c>
      <c r="N699" s="3">
        <v>45.23</v>
      </c>
    </row>
    <row r="700" spans="1:14" x14ac:dyDescent="0.35">
      <c r="A700" t="s">
        <v>754</v>
      </c>
      <c r="B700" s="2">
        <v>45914</v>
      </c>
      <c r="C700" t="s">
        <v>15</v>
      </c>
      <c r="D700" t="s">
        <v>59</v>
      </c>
      <c r="E700" t="s">
        <v>53</v>
      </c>
      <c r="F700" t="s">
        <v>54</v>
      </c>
      <c r="G700" t="s">
        <v>29</v>
      </c>
      <c r="H700" t="s">
        <v>30</v>
      </c>
      <c r="I700">
        <v>6</v>
      </c>
      <c r="J700" s="3">
        <v>8.31</v>
      </c>
      <c r="K700" s="4">
        <v>0</v>
      </c>
      <c r="L700" s="3">
        <v>49.86</v>
      </c>
      <c r="M700" s="3">
        <v>35.630000000000003</v>
      </c>
      <c r="N700" s="3">
        <v>14.23</v>
      </c>
    </row>
    <row r="701" spans="1:14" x14ac:dyDescent="0.35">
      <c r="A701" t="s">
        <v>755</v>
      </c>
      <c r="B701" s="2">
        <v>45914</v>
      </c>
      <c r="C701" t="s">
        <v>15</v>
      </c>
      <c r="D701" t="s">
        <v>46</v>
      </c>
      <c r="E701" t="s">
        <v>27</v>
      </c>
      <c r="F701" t="s">
        <v>28</v>
      </c>
      <c r="G701" t="s">
        <v>19</v>
      </c>
      <c r="H701" t="s">
        <v>23</v>
      </c>
      <c r="I701">
        <v>2</v>
      </c>
      <c r="J701" s="3">
        <v>145.43</v>
      </c>
      <c r="K701" s="4">
        <v>0</v>
      </c>
      <c r="L701" s="3">
        <v>290.86</v>
      </c>
      <c r="M701" s="3">
        <v>169.33</v>
      </c>
      <c r="N701" s="3">
        <v>121.53</v>
      </c>
    </row>
    <row r="702" spans="1:14" x14ac:dyDescent="0.35">
      <c r="A702" t="s">
        <v>756</v>
      </c>
      <c r="B702" s="2">
        <v>45914</v>
      </c>
      <c r="C702" t="s">
        <v>25</v>
      </c>
      <c r="D702" t="s">
        <v>26</v>
      </c>
      <c r="E702" t="s">
        <v>53</v>
      </c>
      <c r="F702" t="s">
        <v>115</v>
      </c>
      <c r="G702" t="s">
        <v>29</v>
      </c>
      <c r="H702" t="s">
        <v>20</v>
      </c>
      <c r="I702">
        <v>8</v>
      </c>
      <c r="J702" s="3">
        <v>10.63</v>
      </c>
      <c r="K702" s="4">
        <v>0.05</v>
      </c>
      <c r="L702" s="3">
        <v>80.790000000000006</v>
      </c>
      <c r="M702" s="3">
        <v>65.88</v>
      </c>
      <c r="N702" s="3">
        <v>14.91</v>
      </c>
    </row>
    <row r="703" spans="1:14" x14ac:dyDescent="0.35">
      <c r="A703" t="s">
        <v>757</v>
      </c>
      <c r="B703" s="2">
        <v>45915</v>
      </c>
      <c r="C703" t="s">
        <v>15</v>
      </c>
      <c r="D703" t="s">
        <v>59</v>
      </c>
      <c r="E703" t="s">
        <v>27</v>
      </c>
      <c r="F703" t="s">
        <v>48</v>
      </c>
      <c r="G703" t="s">
        <v>19</v>
      </c>
      <c r="H703" t="s">
        <v>20</v>
      </c>
      <c r="I703">
        <v>11</v>
      </c>
      <c r="J703" s="3">
        <v>291.61</v>
      </c>
      <c r="K703" s="4">
        <v>0.1</v>
      </c>
      <c r="L703" s="3">
        <v>2886.94</v>
      </c>
      <c r="M703" s="3">
        <v>2479.41</v>
      </c>
      <c r="N703" s="3">
        <v>407.53</v>
      </c>
    </row>
    <row r="704" spans="1:14" x14ac:dyDescent="0.35">
      <c r="A704" t="s">
        <v>758</v>
      </c>
      <c r="B704" s="2">
        <v>45915</v>
      </c>
      <c r="C704" t="s">
        <v>25</v>
      </c>
      <c r="D704" t="s">
        <v>74</v>
      </c>
      <c r="E704" t="s">
        <v>37</v>
      </c>
      <c r="F704" t="s">
        <v>51</v>
      </c>
      <c r="G704" t="s">
        <v>19</v>
      </c>
      <c r="H704" t="s">
        <v>30</v>
      </c>
      <c r="I704">
        <v>4</v>
      </c>
      <c r="J704" s="3">
        <v>36.21</v>
      </c>
      <c r="K704" s="4">
        <v>0</v>
      </c>
      <c r="L704" s="3">
        <v>144.84</v>
      </c>
      <c r="M704" s="3">
        <v>110.98</v>
      </c>
      <c r="N704" s="3">
        <v>33.86</v>
      </c>
    </row>
    <row r="705" spans="1:14" x14ac:dyDescent="0.35">
      <c r="A705" t="s">
        <v>759</v>
      </c>
      <c r="B705" s="2">
        <v>45915</v>
      </c>
      <c r="C705" t="s">
        <v>25</v>
      </c>
      <c r="D705" t="s">
        <v>97</v>
      </c>
      <c r="E705" t="s">
        <v>37</v>
      </c>
      <c r="F705" t="s">
        <v>51</v>
      </c>
      <c r="G705" t="s">
        <v>29</v>
      </c>
      <c r="H705" t="s">
        <v>23</v>
      </c>
      <c r="I705">
        <v>10</v>
      </c>
      <c r="J705" s="3">
        <v>30.27</v>
      </c>
      <c r="K705" s="4">
        <v>0</v>
      </c>
      <c r="L705" s="3">
        <v>302.7</v>
      </c>
      <c r="M705" s="3">
        <v>171.6</v>
      </c>
      <c r="N705" s="3">
        <v>131.1</v>
      </c>
    </row>
    <row r="706" spans="1:14" x14ac:dyDescent="0.35">
      <c r="A706" t="s">
        <v>760</v>
      </c>
      <c r="B706" s="2">
        <v>45916</v>
      </c>
      <c r="C706" t="s">
        <v>25</v>
      </c>
      <c r="D706" t="s">
        <v>97</v>
      </c>
      <c r="E706" t="s">
        <v>17</v>
      </c>
      <c r="F706" t="s">
        <v>87</v>
      </c>
      <c r="G706" t="s">
        <v>19</v>
      </c>
      <c r="H706" t="s">
        <v>20</v>
      </c>
      <c r="I706">
        <v>8</v>
      </c>
      <c r="J706" s="3">
        <v>12</v>
      </c>
      <c r="K706" s="4">
        <v>0.1</v>
      </c>
      <c r="L706" s="3">
        <v>86.4</v>
      </c>
      <c r="M706" s="3">
        <v>58.39</v>
      </c>
      <c r="N706" s="3">
        <v>28.01</v>
      </c>
    </row>
    <row r="707" spans="1:14" x14ac:dyDescent="0.35">
      <c r="A707" t="s">
        <v>761</v>
      </c>
      <c r="B707" s="2">
        <v>45916</v>
      </c>
      <c r="C707" t="s">
        <v>32</v>
      </c>
      <c r="D707" t="s">
        <v>33</v>
      </c>
      <c r="E707" t="s">
        <v>37</v>
      </c>
      <c r="F707" t="s">
        <v>51</v>
      </c>
      <c r="G707" t="s">
        <v>22</v>
      </c>
      <c r="H707" t="s">
        <v>30</v>
      </c>
      <c r="I707">
        <v>7</v>
      </c>
      <c r="J707" s="3">
        <v>30.45</v>
      </c>
      <c r="K707" s="4">
        <v>0.1</v>
      </c>
      <c r="L707" s="3">
        <v>191.84</v>
      </c>
      <c r="M707" s="3">
        <v>111.78</v>
      </c>
      <c r="N707" s="3">
        <v>80.06</v>
      </c>
    </row>
    <row r="708" spans="1:14" x14ac:dyDescent="0.35">
      <c r="A708" t="s">
        <v>762</v>
      </c>
      <c r="B708" s="2">
        <v>45916</v>
      </c>
      <c r="C708" t="s">
        <v>32</v>
      </c>
      <c r="D708" t="s">
        <v>36</v>
      </c>
      <c r="E708" t="s">
        <v>27</v>
      </c>
      <c r="F708" t="s">
        <v>79</v>
      </c>
      <c r="G708" t="s">
        <v>19</v>
      </c>
      <c r="H708" t="s">
        <v>23</v>
      </c>
      <c r="I708">
        <v>11</v>
      </c>
      <c r="J708" s="3">
        <v>103.56</v>
      </c>
      <c r="K708" s="4">
        <v>0.1</v>
      </c>
      <c r="L708" s="3">
        <v>1025.24</v>
      </c>
      <c r="M708" s="3">
        <v>640.1</v>
      </c>
      <c r="N708" s="3">
        <v>385.14</v>
      </c>
    </row>
    <row r="709" spans="1:14" x14ac:dyDescent="0.35">
      <c r="A709" t="s">
        <v>763</v>
      </c>
      <c r="B709" s="2">
        <v>45918</v>
      </c>
      <c r="C709" t="s">
        <v>15</v>
      </c>
      <c r="D709" t="s">
        <v>59</v>
      </c>
      <c r="E709" t="s">
        <v>27</v>
      </c>
      <c r="F709" t="s">
        <v>28</v>
      </c>
      <c r="G709" t="s">
        <v>22</v>
      </c>
      <c r="H709" t="s">
        <v>23</v>
      </c>
      <c r="I709">
        <v>6</v>
      </c>
      <c r="J709" s="3">
        <v>138.91999999999999</v>
      </c>
      <c r="K709" s="4">
        <v>0</v>
      </c>
      <c r="L709" s="3">
        <v>833.52</v>
      </c>
      <c r="M709" s="3">
        <v>485.54</v>
      </c>
      <c r="N709" s="3">
        <v>347.98</v>
      </c>
    </row>
    <row r="710" spans="1:14" x14ac:dyDescent="0.35">
      <c r="A710" t="s">
        <v>764</v>
      </c>
      <c r="B710" s="2">
        <v>45918</v>
      </c>
      <c r="C710" t="s">
        <v>32</v>
      </c>
      <c r="D710" t="s">
        <v>33</v>
      </c>
      <c r="E710" t="s">
        <v>53</v>
      </c>
      <c r="F710" t="s">
        <v>115</v>
      </c>
      <c r="G710" t="s">
        <v>22</v>
      </c>
      <c r="H710" t="s">
        <v>30</v>
      </c>
      <c r="I710">
        <v>5</v>
      </c>
      <c r="J710" s="3">
        <v>13.45</v>
      </c>
      <c r="K710" s="4">
        <v>0.1</v>
      </c>
      <c r="L710" s="3">
        <v>60.52</v>
      </c>
      <c r="M710" s="3">
        <v>39.14</v>
      </c>
      <c r="N710" s="3">
        <v>21.38</v>
      </c>
    </row>
    <row r="711" spans="1:14" x14ac:dyDescent="0.35">
      <c r="A711" t="s">
        <v>765</v>
      </c>
      <c r="B711" s="2">
        <v>45918</v>
      </c>
      <c r="C711" t="s">
        <v>25</v>
      </c>
      <c r="D711" t="s">
        <v>74</v>
      </c>
      <c r="E711" t="s">
        <v>37</v>
      </c>
      <c r="F711" t="s">
        <v>75</v>
      </c>
      <c r="G711" t="s">
        <v>19</v>
      </c>
      <c r="H711" t="s">
        <v>20</v>
      </c>
      <c r="I711">
        <v>12</v>
      </c>
      <c r="J711" s="3">
        <v>27.09</v>
      </c>
      <c r="K711" s="4">
        <v>0.05</v>
      </c>
      <c r="L711" s="3">
        <v>308.83</v>
      </c>
      <c r="M711" s="3">
        <v>210.28</v>
      </c>
      <c r="N711" s="3">
        <v>98.55</v>
      </c>
    </row>
    <row r="712" spans="1:14" x14ac:dyDescent="0.35">
      <c r="A712" t="s">
        <v>766</v>
      </c>
      <c r="B712" s="2">
        <v>45918</v>
      </c>
      <c r="C712" t="s">
        <v>15</v>
      </c>
      <c r="D712" t="s">
        <v>59</v>
      </c>
      <c r="E712" t="s">
        <v>53</v>
      </c>
      <c r="F712" t="s">
        <v>83</v>
      </c>
      <c r="G712" t="s">
        <v>22</v>
      </c>
      <c r="H712" t="s">
        <v>20</v>
      </c>
      <c r="I712">
        <v>8</v>
      </c>
      <c r="J712" s="3">
        <v>15.45</v>
      </c>
      <c r="K712" s="4">
        <v>0.15</v>
      </c>
      <c r="L712" s="3">
        <v>105.06</v>
      </c>
      <c r="M712" s="3">
        <v>85.21</v>
      </c>
      <c r="N712" s="3">
        <v>19.850000000000001</v>
      </c>
    </row>
    <row r="713" spans="1:14" x14ac:dyDescent="0.35">
      <c r="A713" t="s">
        <v>767</v>
      </c>
      <c r="B713" s="2">
        <v>45918</v>
      </c>
      <c r="C713" t="s">
        <v>40</v>
      </c>
      <c r="D713" t="s">
        <v>50</v>
      </c>
      <c r="E713" t="s">
        <v>27</v>
      </c>
      <c r="F713" t="s">
        <v>68</v>
      </c>
      <c r="G713" t="s">
        <v>19</v>
      </c>
      <c r="H713" t="s">
        <v>23</v>
      </c>
      <c r="I713">
        <v>10</v>
      </c>
      <c r="J713" s="3">
        <v>45.57</v>
      </c>
      <c r="K713" s="4">
        <v>0</v>
      </c>
      <c r="L713" s="3">
        <v>455.7</v>
      </c>
      <c r="M713" s="3">
        <v>290.64999999999998</v>
      </c>
      <c r="N713" s="3">
        <v>165.05</v>
      </c>
    </row>
    <row r="714" spans="1:14" x14ac:dyDescent="0.35">
      <c r="A714" t="s">
        <v>768</v>
      </c>
      <c r="B714" s="2">
        <v>45918</v>
      </c>
      <c r="C714" t="s">
        <v>40</v>
      </c>
      <c r="D714" t="s">
        <v>50</v>
      </c>
      <c r="E714" t="s">
        <v>27</v>
      </c>
      <c r="F714" t="s">
        <v>79</v>
      </c>
      <c r="G714" t="s">
        <v>22</v>
      </c>
      <c r="H714" t="s">
        <v>23</v>
      </c>
      <c r="I714">
        <v>7</v>
      </c>
      <c r="J714" s="3">
        <v>112.03</v>
      </c>
      <c r="K714" s="4">
        <v>0.15</v>
      </c>
      <c r="L714" s="3">
        <v>666.58</v>
      </c>
      <c r="M714" s="3">
        <v>481.02</v>
      </c>
      <c r="N714" s="3">
        <v>185.56</v>
      </c>
    </row>
    <row r="715" spans="1:14" x14ac:dyDescent="0.35">
      <c r="A715" t="s">
        <v>769</v>
      </c>
      <c r="B715" s="2">
        <v>45919</v>
      </c>
      <c r="C715" t="s">
        <v>40</v>
      </c>
      <c r="D715" t="s">
        <v>71</v>
      </c>
      <c r="E715" t="s">
        <v>37</v>
      </c>
      <c r="F715" t="s">
        <v>75</v>
      </c>
      <c r="G715" t="s">
        <v>29</v>
      </c>
      <c r="H715" t="s">
        <v>23</v>
      </c>
      <c r="I715">
        <v>6</v>
      </c>
      <c r="J715" s="3">
        <v>24.62</v>
      </c>
      <c r="K715" s="4">
        <v>0</v>
      </c>
      <c r="L715" s="3">
        <v>147.72</v>
      </c>
      <c r="M715" s="3">
        <v>108.48</v>
      </c>
      <c r="N715" s="3">
        <v>39.24</v>
      </c>
    </row>
    <row r="716" spans="1:14" x14ac:dyDescent="0.35">
      <c r="A716" t="s">
        <v>770</v>
      </c>
      <c r="B716" s="2">
        <v>45919</v>
      </c>
      <c r="C716" t="s">
        <v>40</v>
      </c>
      <c r="D716" t="s">
        <v>50</v>
      </c>
      <c r="E716" t="s">
        <v>53</v>
      </c>
      <c r="F716" t="s">
        <v>83</v>
      </c>
      <c r="G716" t="s">
        <v>22</v>
      </c>
      <c r="H716" t="s">
        <v>23</v>
      </c>
      <c r="I716">
        <v>9</v>
      </c>
      <c r="J716" s="3">
        <v>14.75</v>
      </c>
      <c r="K716" s="4">
        <v>0</v>
      </c>
      <c r="L716" s="3">
        <v>132.75</v>
      </c>
      <c r="M716" s="3">
        <v>100.05</v>
      </c>
      <c r="N716" s="3">
        <v>32.700000000000003</v>
      </c>
    </row>
    <row r="717" spans="1:14" x14ac:dyDescent="0.35">
      <c r="A717" t="s">
        <v>771</v>
      </c>
      <c r="B717" s="2">
        <v>45919</v>
      </c>
      <c r="C717" t="s">
        <v>32</v>
      </c>
      <c r="D717" t="s">
        <v>36</v>
      </c>
      <c r="E717" t="s">
        <v>27</v>
      </c>
      <c r="F717" t="s">
        <v>79</v>
      </c>
      <c r="G717" t="s">
        <v>29</v>
      </c>
      <c r="H717" t="s">
        <v>30</v>
      </c>
      <c r="I717">
        <v>5</v>
      </c>
      <c r="J717" s="3">
        <v>119.85</v>
      </c>
      <c r="K717" s="4">
        <v>0.1</v>
      </c>
      <c r="L717" s="3">
        <v>539.33000000000004</v>
      </c>
      <c r="M717" s="3">
        <v>299.12</v>
      </c>
      <c r="N717" s="3">
        <v>240.21</v>
      </c>
    </row>
    <row r="718" spans="1:14" x14ac:dyDescent="0.35">
      <c r="A718" t="s">
        <v>772</v>
      </c>
      <c r="B718" s="2">
        <v>45919</v>
      </c>
      <c r="C718" t="s">
        <v>32</v>
      </c>
      <c r="D718" t="s">
        <v>57</v>
      </c>
      <c r="E718" t="s">
        <v>53</v>
      </c>
      <c r="F718" t="s">
        <v>115</v>
      </c>
      <c r="G718" t="s">
        <v>29</v>
      </c>
      <c r="H718" t="s">
        <v>23</v>
      </c>
      <c r="I718">
        <v>1</v>
      </c>
      <c r="J718" s="3">
        <v>12.13</v>
      </c>
      <c r="K718" s="4">
        <v>0</v>
      </c>
      <c r="L718" s="3">
        <v>12.13</v>
      </c>
      <c r="M718" s="3">
        <v>6.33</v>
      </c>
      <c r="N718" s="3">
        <v>5.8</v>
      </c>
    </row>
    <row r="719" spans="1:14" x14ac:dyDescent="0.35">
      <c r="A719" t="s">
        <v>773</v>
      </c>
      <c r="B719" s="2">
        <v>45920</v>
      </c>
      <c r="C719" t="s">
        <v>32</v>
      </c>
      <c r="D719" t="s">
        <v>36</v>
      </c>
      <c r="E719" t="s">
        <v>17</v>
      </c>
      <c r="F719" t="s">
        <v>34</v>
      </c>
      <c r="G719" t="s">
        <v>29</v>
      </c>
      <c r="H719" t="s">
        <v>23</v>
      </c>
      <c r="I719">
        <v>10</v>
      </c>
      <c r="J719" s="3">
        <v>17.399999999999999</v>
      </c>
      <c r="K719" s="4">
        <v>0.1</v>
      </c>
      <c r="L719" s="3">
        <v>156.6</v>
      </c>
      <c r="M719" s="3">
        <v>118.64</v>
      </c>
      <c r="N719" s="3">
        <v>37.96</v>
      </c>
    </row>
    <row r="720" spans="1:14" x14ac:dyDescent="0.35">
      <c r="A720" t="s">
        <v>774</v>
      </c>
      <c r="B720" s="2">
        <v>45920</v>
      </c>
      <c r="C720" t="s">
        <v>25</v>
      </c>
      <c r="D720" t="s">
        <v>74</v>
      </c>
      <c r="E720" t="s">
        <v>17</v>
      </c>
      <c r="F720" t="s">
        <v>87</v>
      </c>
      <c r="G720" t="s">
        <v>29</v>
      </c>
      <c r="H720" t="s">
        <v>30</v>
      </c>
      <c r="I720">
        <v>8</v>
      </c>
      <c r="J720" s="3">
        <v>13.46</v>
      </c>
      <c r="K720" s="4">
        <v>0.15</v>
      </c>
      <c r="L720" s="3">
        <v>91.53</v>
      </c>
      <c r="M720" s="3">
        <v>68.209999999999994</v>
      </c>
      <c r="N720" s="3">
        <v>23.32</v>
      </c>
    </row>
    <row r="721" spans="1:14" x14ac:dyDescent="0.35">
      <c r="A721" t="s">
        <v>775</v>
      </c>
      <c r="B721" s="2">
        <v>45921</v>
      </c>
      <c r="C721" t="s">
        <v>40</v>
      </c>
      <c r="D721" t="s">
        <v>50</v>
      </c>
      <c r="E721" t="s">
        <v>37</v>
      </c>
      <c r="F721" t="s">
        <v>75</v>
      </c>
      <c r="G721" t="s">
        <v>29</v>
      </c>
      <c r="H721" t="s">
        <v>30</v>
      </c>
      <c r="I721">
        <v>1</v>
      </c>
      <c r="J721" s="3">
        <v>24</v>
      </c>
      <c r="K721" s="4">
        <v>0.15</v>
      </c>
      <c r="L721" s="3">
        <v>20.399999999999999</v>
      </c>
      <c r="M721" s="3">
        <v>13.42</v>
      </c>
      <c r="N721" s="3">
        <v>6.98</v>
      </c>
    </row>
    <row r="722" spans="1:14" x14ac:dyDescent="0.35">
      <c r="A722" t="s">
        <v>776</v>
      </c>
      <c r="B722" s="2">
        <v>45921</v>
      </c>
      <c r="C722" t="s">
        <v>40</v>
      </c>
      <c r="D722" t="s">
        <v>50</v>
      </c>
      <c r="E722" t="s">
        <v>27</v>
      </c>
      <c r="F722" t="s">
        <v>28</v>
      </c>
      <c r="G722" t="s">
        <v>22</v>
      </c>
      <c r="H722" t="s">
        <v>23</v>
      </c>
      <c r="I722">
        <v>4</v>
      </c>
      <c r="J722" s="3">
        <v>157.38999999999999</v>
      </c>
      <c r="K722" s="4">
        <v>0</v>
      </c>
      <c r="L722" s="3">
        <v>629.55999999999995</v>
      </c>
      <c r="M722" s="3">
        <v>454.52</v>
      </c>
      <c r="N722" s="3">
        <v>175.04</v>
      </c>
    </row>
    <row r="723" spans="1:14" x14ac:dyDescent="0.35">
      <c r="A723" t="s">
        <v>777</v>
      </c>
      <c r="B723" s="2">
        <v>45921</v>
      </c>
      <c r="C723" t="s">
        <v>32</v>
      </c>
      <c r="D723" t="s">
        <v>36</v>
      </c>
      <c r="E723" t="s">
        <v>53</v>
      </c>
      <c r="F723" t="s">
        <v>54</v>
      </c>
      <c r="G723" t="s">
        <v>29</v>
      </c>
      <c r="H723" t="s">
        <v>30</v>
      </c>
      <c r="I723">
        <v>2</v>
      </c>
      <c r="J723" s="3">
        <v>8.48</v>
      </c>
      <c r="K723" s="4">
        <v>0</v>
      </c>
      <c r="L723" s="3">
        <v>16.96</v>
      </c>
      <c r="M723" s="3">
        <v>10.91</v>
      </c>
      <c r="N723" s="3">
        <v>6.05</v>
      </c>
    </row>
    <row r="724" spans="1:14" x14ac:dyDescent="0.35">
      <c r="A724" t="s">
        <v>778</v>
      </c>
      <c r="B724" s="2">
        <v>45921</v>
      </c>
      <c r="C724" t="s">
        <v>15</v>
      </c>
      <c r="D724" t="s">
        <v>46</v>
      </c>
      <c r="E724" t="s">
        <v>37</v>
      </c>
      <c r="F724" t="s">
        <v>42</v>
      </c>
      <c r="G724" t="s">
        <v>22</v>
      </c>
      <c r="H724" t="s">
        <v>20</v>
      </c>
      <c r="I724">
        <v>4</v>
      </c>
      <c r="J724" s="3">
        <v>19.84</v>
      </c>
      <c r="K724" s="4">
        <v>0.15</v>
      </c>
      <c r="L724" s="3">
        <v>67.459999999999994</v>
      </c>
      <c r="M724" s="3">
        <v>51.9</v>
      </c>
      <c r="N724" s="3">
        <v>15.56</v>
      </c>
    </row>
    <row r="725" spans="1:14" x14ac:dyDescent="0.35">
      <c r="A725" t="s">
        <v>779</v>
      </c>
      <c r="B725" s="2">
        <v>45921</v>
      </c>
      <c r="C725" t="s">
        <v>15</v>
      </c>
      <c r="D725" t="s">
        <v>46</v>
      </c>
      <c r="E725" t="s">
        <v>17</v>
      </c>
      <c r="F725" t="s">
        <v>34</v>
      </c>
      <c r="G725" t="s">
        <v>22</v>
      </c>
      <c r="H725" t="s">
        <v>23</v>
      </c>
      <c r="I725">
        <v>5</v>
      </c>
      <c r="J725" s="3">
        <v>20.48</v>
      </c>
      <c r="K725" s="4">
        <v>0</v>
      </c>
      <c r="L725" s="3">
        <v>102.4</v>
      </c>
      <c r="M725" s="3">
        <v>78.19</v>
      </c>
      <c r="N725" s="3">
        <v>24.21</v>
      </c>
    </row>
    <row r="726" spans="1:14" x14ac:dyDescent="0.35">
      <c r="A726" t="s">
        <v>780</v>
      </c>
      <c r="B726" s="2">
        <v>45922</v>
      </c>
      <c r="C726" t="s">
        <v>32</v>
      </c>
      <c r="D726" t="s">
        <v>57</v>
      </c>
      <c r="E726" t="s">
        <v>37</v>
      </c>
      <c r="F726" t="s">
        <v>38</v>
      </c>
      <c r="G726" t="s">
        <v>22</v>
      </c>
      <c r="H726" t="s">
        <v>20</v>
      </c>
      <c r="I726">
        <v>4</v>
      </c>
      <c r="J726" s="3">
        <v>52.28</v>
      </c>
      <c r="K726" s="4">
        <v>0.1</v>
      </c>
      <c r="L726" s="3">
        <v>188.21</v>
      </c>
      <c r="M726" s="3">
        <v>142.63999999999999</v>
      </c>
      <c r="N726" s="3">
        <v>45.57</v>
      </c>
    </row>
    <row r="727" spans="1:14" x14ac:dyDescent="0.35">
      <c r="A727" t="s">
        <v>781</v>
      </c>
      <c r="B727" s="2">
        <v>45924</v>
      </c>
      <c r="C727" t="s">
        <v>40</v>
      </c>
      <c r="D727" t="s">
        <v>71</v>
      </c>
      <c r="E727" t="s">
        <v>37</v>
      </c>
      <c r="F727" t="s">
        <v>75</v>
      </c>
      <c r="G727" t="s">
        <v>29</v>
      </c>
      <c r="H727" t="s">
        <v>23</v>
      </c>
      <c r="I727">
        <v>3</v>
      </c>
      <c r="J727" s="3">
        <v>25.73</v>
      </c>
      <c r="K727" s="4">
        <v>0.15</v>
      </c>
      <c r="L727" s="3">
        <v>65.61</v>
      </c>
      <c r="M727" s="3">
        <v>39.31</v>
      </c>
      <c r="N727" s="3">
        <v>26.3</v>
      </c>
    </row>
    <row r="728" spans="1:14" x14ac:dyDescent="0.35">
      <c r="A728" t="s">
        <v>782</v>
      </c>
      <c r="B728" s="2">
        <v>45924</v>
      </c>
      <c r="C728" t="s">
        <v>25</v>
      </c>
      <c r="D728" t="s">
        <v>26</v>
      </c>
      <c r="E728" t="s">
        <v>17</v>
      </c>
      <c r="F728" t="s">
        <v>44</v>
      </c>
      <c r="G728" t="s">
        <v>19</v>
      </c>
      <c r="H728" t="s">
        <v>23</v>
      </c>
      <c r="I728">
        <v>12</v>
      </c>
      <c r="J728" s="3">
        <v>17.09</v>
      </c>
      <c r="K728" s="4">
        <v>0.15</v>
      </c>
      <c r="L728" s="3">
        <v>174.32</v>
      </c>
      <c r="M728" s="3">
        <v>146.53</v>
      </c>
      <c r="N728" s="3">
        <v>27.79</v>
      </c>
    </row>
    <row r="729" spans="1:14" x14ac:dyDescent="0.35">
      <c r="A729" t="s">
        <v>783</v>
      </c>
      <c r="B729" s="2">
        <v>45924</v>
      </c>
      <c r="C729" t="s">
        <v>15</v>
      </c>
      <c r="D729" t="s">
        <v>59</v>
      </c>
      <c r="E729" t="s">
        <v>27</v>
      </c>
      <c r="F729" t="s">
        <v>48</v>
      </c>
      <c r="G729" t="s">
        <v>19</v>
      </c>
      <c r="H729" t="s">
        <v>23</v>
      </c>
      <c r="I729">
        <v>11</v>
      </c>
      <c r="J729" s="3">
        <v>311.58999999999997</v>
      </c>
      <c r="K729" s="4">
        <v>0.05</v>
      </c>
      <c r="L729" s="3">
        <v>3256.12</v>
      </c>
      <c r="M729" s="3">
        <v>2669.47</v>
      </c>
      <c r="N729" s="3">
        <v>586.65</v>
      </c>
    </row>
    <row r="730" spans="1:14" x14ac:dyDescent="0.35">
      <c r="A730" t="s">
        <v>784</v>
      </c>
      <c r="B730" s="2">
        <v>45924</v>
      </c>
      <c r="C730" t="s">
        <v>25</v>
      </c>
      <c r="D730" t="s">
        <v>26</v>
      </c>
      <c r="E730" t="s">
        <v>53</v>
      </c>
      <c r="F730" t="s">
        <v>83</v>
      </c>
      <c r="G730" t="s">
        <v>19</v>
      </c>
      <c r="H730" t="s">
        <v>30</v>
      </c>
      <c r="I730">
        <v>6</v>
      </c>
      <c r="J730" s="3">
        <v>16.45</v>
      </c>
      <c r="K730" s="4">
        <v>0.15</v>
      </c>
      <c r="L730" s="3">
        <v>83.89</v>
      </c>
      <c r="M730" s="3">
        <v>68.760000000000005</v>
      </c>
      <c r="N730" s="3">
        <v>15.13</v>
      </c>
    </row>
    <row r="731" spans="1:14" x14ac:dyDescent="0.35">
      <c r="A731" t="s">
        <v>785</v>
      </c>
      <c r="B731" s="2">
        <v>45925</v>
      </c>
      <c r="C731" t="s">
        <v>15</v>
      </c>
      <c r="D731" t="s">
        <v>46</v>
      </c>
      <c r="E731" t="s">
        <v>17</v>
      </c>
      <c r="F731" t="s">
        <v>18</v>
      </c>
      <c r="G731" t="s">
        <v>19</v>
      </c>
      <c r="H731" t="s">
        <v>30</v>
      </c>
      <c r="I731">
        <v>1</v>
      </c>
      <c r="J731" s="3">
        <v>78.78</v>
      </c>
      <c r="K731" s="4">
        <v>0.1</v>
      </c>
      <c r="L731" s="3">
        <v>70.900000000000006</v>
      </c>
      <c r="M731" s="3">
        <v>43.24</v>
      </c>
      <c r="N731" s="3">
        <v>27.66</v>
      </c>
    </row>
    <row r="732" spans="1:14" x14ac:dyDescent="0.35">
      <c r="A732" t="s">
        <v>786</v>
      </c>
      <c r="B732" s="2">
        <v>45925</v>
      </c>
      <c r="C732" t="s">
        <v>15</v>
      </c>
      <c r="D732" t="s">
        <v>46</v>
      </c>
      <c r="E732" t="s">
        <v>37</v>
      </c>
      <c r="F732" t="s">
        <v>75</v>
      </c>
      <c r="G732" t="s">
        <v>22</v>
      </c>
      <c r="H732" t="s">
        <v>20</v>
      </c>
      <c r="I732">
        <v>11</v>
      </c>
      <c r="J732" s="3">
        <v>26.5</v>
      </c>
      <c r="K732" s="4">
        <v>0.1</v>
      </c>
      <c r="L732" s="3">
        <v>262.35000000000002</v>
      </c>
      <c r="M732" s="3">
        <v>170.16</v>
      </c>
      <c r="N732" s="3">
        <v>92.19</v>
      </c>
    </row>
    <row r="733" spans="1:14" x14ac:dyDescent="0.35">
      <c r="A733" t="s">
        <v>787</v>
      </c>
      <c r="B733" s="2">
        <v>45926</v>
      </c>
      <c r="C733" t="s">
        <v>25</v>
      </c>
      <c r="D733" t="s">
        <v>97</v>
      </c>
      <c r="E733" t="s">
        <v>53</v>
      </c>
      <c r="F733" t="s">
        <v>54</v>
      </c>
      <c r="G733" t="s">
        <v>19</v>
      </c>
      <c r="H733" t="s">
        <v>20</v>
      </c>
      <c r="I733">
        <v>10</v>
      </c>
      <c r="J733" s="3">
        <v>6.96</v>
      </c>
      <c r="K733" s="4">
        <v>0.15</v>
      </c>
      <c r="L733" s="3">
        <v>59.16</v>
      </c>
      <c r="M733" s="3">
        <v>48.64</v>
      </c>
      <c r="N733" s="3">
        <v>10.52</v>
      </c>
    </row>
    <row r="734" spans="1:14" x14ac:dyDescent="0.35">
      <c r="A734" t="s">
        <v>788</v>
      </c>
      <c r="B734" s="2">
        <v>45926</v>
      </c>
      <c r="C734" t="s">
        <v>25</v>
      </c>
      <c r="D734" t="s">
        <v>26</v>
      </c>
      <c r="E734" t="s">
        <v>27</v>
      </c>
      <c r="F734" t="s">
        <v>68</v>
      </c>
      <c r="G734" t="s">
        <v>19</v>
      </c>
      <c r="H734" t="s">
        <v>20</v>
      </c>
      <c r="I734">
        <v>2</v>
      </c>
      <c r="J734" s="3">
        <v>37.28</v>
      </c>
      <c r="K734" s="4">
        <v>0</v>
      </c>
      <c r="L734" s="3">
        <v>74.56</v>
      </c>
      <c r="M734" s="3">
        <v>53.19</v>
      </c>
      <c r="N734" s="3">
        <v>21.37</v>
      </c>
    </row>
    <row r="735" spans="1:14" x14ac:dyDescent="0.35">
      <c r="A735" t="s">
        <v>789</v>
      </c>
      <c r="B735" s="2">
        <v>45926</v>
      </c>
      <c r="C735" t="s">
        <v>25</v>
      </c>
      <c r="D735" t="s">
        <v>74</v>
      </c>
      <c r="E735" t="s">
        <v>17</v>
      </c>
      <c r="F735" t="s">
        <v>87</v>
      </c>
      <c r="G735" t="s">
        <v>22</v>
      </c>
      <c r="H735" t="s">
        <v>23</v>
      </c>
      <c r="I735">
        <v>11</v>
      </c>
      <c r="J735" s="3">
        <v>13.09</v>
      </c>
      <c r="K735" s="4">
        <v>0.15</v>
      </c>
      <c r="L735" s="3">
        <v>122.39</v>
      </c>
      <c r="M735" s="3">
        <v>110.07</v>
      </c>
      <c r="N735" s="3">
        <v>12.32</v>
      </c>
    </row>
    <row r="736" spans="1:14" x14ac:dyDescent="0.35">
      <c r="A736" t="s">
        <v>790</v>
      </c>
      <c r="B736" s="2">
        <v>45926</v>
      </c>
      <c r="C736" t="s">
        <v>40</v>
      </c>
      <c r="D736" t="s">
        <v>41</v>
      </c>
      <c r="E736" t="s">
        <v>27</v>
      </c>
      <c r="F736" t="s">
        <v>79</v>
      </c>
      <c r="G736" t="s">
        <v>22</v>
      </c>
      <c r="H736" t="s">
        <v>23</v>
      </c>
      <c r="I736">
        <v>4</v>
      </c>
      <c r="J736" s="3">
        <v>104.91</v>
      </c>
      <c r="K736" s="4">
        <v>0.05</v>
      </c>
      <c r="L736" s="3">
        <v>398.66</v>
      </c>
      <c r="M736" s="3">
        <v>270.94</v>
      </c>
      <c r="N736" s="3">
        <v>127.72</v>
      </c>
    </row>
    <row r="737" spans="1:14" x14ac:dyDescent="0.35">
      <c r="A737" t="s">
        <v>791</v>
      </c>
      <c r="B737" s="2">
        <v>45926</v>
      </c>
      <c r="C737" t="s">
        <v>32</v>
      </c>
      <c r="D737" t="s">
        <v>33</v>
      </c>
      <c r="E737" t="s">
        <v>27</v>
      </c>
      <c r="F737" t="s">
        <v>48</v>
      </c>
      <c r="G737" t="s">
        <v>19</v>
      </c>
      <c r="H737" t="s">
        <v>20</v>
      </c>
      <c r="I737">
        <v>2</v>
      </c>
      <c r="J737" s="3">
        <v>242.66</v>
      </c>
      <c r="K737" s="4">
        <v>0</v>
      </c>
      <c r="L737" s="3">
        <v>485.32</v>
      </c>
      <c r="M737" s="3">
        <v>345.53</v>
      </c>
      <c r="N737" s="3">
        <v>139.79</v>
      </c>
    </row>
    <row r="738" spans="1:14" x14ac:dyDescent="0.35">
      <c r="A738" t="s">
        <v>792</v>
      </c>
      <c r="B738" s="2">
        <v>45927</v>
      </c>
      <c r="C738" t="s">
        <v>15</v>
      </c>
      <c r="D738" t="s">
        <v>46</v>
      </c>
      <c r="E738" t="s">
        <v>27</v>
      </c>
      <c r="F738" t="s">
        <v>48</v>
      </c>
      <c r="G738" t="s">
        <v>29</v>
      </c>
      <c r="H738" t="s">
        <v>20</v>
      </c>
      <c r="I738">
        <v>9</v>
      </c>
      <c r="J738" s="3">
        <v>228.12</v>
      </c>
      <c r="K738" s="4">
        <v>0.15</v>
      </c>
      <c r="L738" s="3">
        <v>1745.12</v>
      </c>
      <c r="M738" s="3">
        <v>1039.95</v>
      </c>
      <c r="N738" s="3">
        <v>705.17</v>
      </c>
    </row>
    <row r="739" spans="1:14" x14ac:dyDescent="0.35">
      <c r="A739" t="s">
        <v>793</v>
      </c>
      <c r="B739" s="2">
        <v>45927</v>
      </c>
      <c r="C739" t="s">
        <v>15</v>
      </c>
      <c r="D739" t="s">
        <v>46</v>
      </c>
      <c r="E739" t="s">
        <v>17</v>
      </c>
      <c r="F739" t="s">
        <v>34</v>
      </c>
      <c r="G739" t="s">
        <v>19</v>
      </c>
      <c r="H739" t="s">
        <v>20</v>
      </c>
      <c r="I739">
        <v>10</v>
      </c>
      <c r="J739" s="3">
        <v>17.52</v>
      </c>
      <c r="K739" s="4">
        <v>0.05</v>
      </c>
      <c r="L739" s="3">
        <v>166.44</v>
      </c>
      <c r="M739" s="3">
        <v>117.86</v>
      </c>
      <c r="N739" s="3">
        <v>48.58</v>
      </c>
    </row>
    <row r="740" spans="1:14" x14ac:dyDescent="0.35">
      <c r="A740" t="s">
        <v>794</v>
      </c>
      <c r="B740" s="2">
        <v>45928</v>
      </c>
      <c r="C740" t="s">
        <v>15</v>
      </c>
      <c r="D740" t="s">
        <v>46</v>
      </c>
      <c r="E740" t="s">
        <v>53</v>
      </c>
      <c r="F740" t="s">
        <v>83</v>
      </c>
      <c r="G740" t="s">
        <v>29</v>
      </c>
      <c r="H740" t="s">
        <v>30</v>
      </c>
      <c r="I740">
        <v>8</v>
      </c>
      <c r="J740" s="3">
        <v>16.13</v>
      </c>
      <c r="K740" s="4">
        <v>0.15</v>
      </c>
      <c r="L740" s="3">
        <v>109.68</v>
      </c>
      <c r="M740" s="3">
        <v>86.11</v>
      </c>
      <c r="N740" s="3">
        <v>23.57</v>
      </c>
    </row>
    <row r="741" spans="1:14" x14ac:dyDescent="0.35">
      <c r="A741" t="s">
        <v>795</v>
      </c>
      <c r="B741" s="2">
        <v>45928</v>
      </c>
      <c r="C741" t="s">
        <v>15</v>
      </c>
      <c r="D741" t="s">
        <v>16</v>
      </c>
      <c r="E741" t="s">
        <v>37</v>
      </c>
      <c r="F741" t="s">
        <v>75</v>
      </c>
      <c r="G741" t="s">
        <v>19</v>
      </c>
      <c r="H741" t="s">
        <v>23</v>
      </c>
      <c r="I741">
        <v>10</v>
      </c>
      <c r="J741" s="3">
        <v>23.05</v>
      </c>
      <c r="K741" s="4">
        <v>0</v>
      </c>
      <c r="L741" s="3">
        <v>230.5</v>
      </c>
      <c r="M741" s="3">
        <v>129.16</v>
      </c>
      <c r="N741" s="3">
        <v>101.34</v>
      </c>
    </row>
    <row r="742" spans="1:14" x14ac:dyDescent="0.35">
      <c r="A742" t="s">
        <v>796</v>
      </c>
      <c r="B742" s="2">
        <v>45929</v>
      </c>
      <c r="C742" t="s">
        <v>32</v>
      </c>
      <c r="D742" t="s">
        <v>57</v>
      </c>
      <c r="E742" t="s">
        <v>17</v>
      </c>
      <c r="F742" t="s">
        <v>44</v>
      </c>
      <c r="G742" t="s">
        <v>29</v>
      </c>
      <c r="H742" t="s">
        <v>20</v>
      </c>
      <c r="I742">
        <v>5</v>
      </c>
      <c r="J742" s="3">
        <v>18.79</v>
      </c>
      <c r="K742" s="4">
        <v>0.1</v>
      </c>
      <c r="L742" s="3">
        <v>84.55</v>
      </c>
      <c r="M742" s="3">
        <v>55.86</v>
      </c>
      <c r="N742" s="3">
        <v>28.69</v>
      </c>
    </row>
    <row r="743" spans="1:14" x14ac:dyDescent="0.35">
      <c r="A743" t="s">
        <v>797</v>
      </c>
      <c r="B743" s="2">
        <v>45929</v>
      </c>
      <c r="C743" t="s">
        <v>25</v>
      </c>
      <c r="D743" t="s">
        <v>26</v>
      </c>
      <c r="E743" t="s">
        <v>17</v>
      </c>
      <c r="F743" t="s">
        <v>44</v>
      </c>
      <c r="G743" t="s">
        <v>22</v>
      </c>
      <c r="H743" t="s">
        <v>20</v>
      </c>
      <c r="I743">
        <v>9</v>
      </c>
      <c r="J743" s="3">
        <v>18.29</v>
      </c>
      <c r="K743" s="4">
        <v>0.15</v>
      </c>
      <c r="L743" s="3">
        <v>139.91999999999999</v>
      </c>
      <c r="M743" s="3">
        <v>114.26</v>
      </c>
      <c r="N743" s="3">
        <v>25.66</v>
      </c>
    </row>
    <row r="744" spans="1:14" x14ac:dyDescent="0.35">
      <c r="A744" t="s">
        <v>798</v>
      </c>
      <c r="B744" s="2">
        <v>45930</v>
      </c>
      <c r="C744" t="s">
        <v>25</v>
      </c>
      <c r="D744" t="s">
        <v>97</v>
      </c>
      <c r="E744" t="s">
        <v>17</v>
      </c>
      <c r="F744" t="s">
        <v>18</v>
      </c>
      <c r="G744" t="s">
        <v>29</v>
      </c>
      <c r="H744" t="s">
        <v>23</v>
      </c>
      <c r="I744">
        <v>1</v>
      </c>
      <c r="J744" s="3">
        <v>71.069999999999993</v>
      </c>
      <c r="K744" s="4">
        <v>0.05</v>
      </c>
      <c r="L744" s="3">
        <v>67.52</v>
      </c>
      <c r="M744" s="3">
        <v>35.86</v>
      </c>
      <c r="N744" s="3">
        <v>31.66</v>
      </c>
    </row>
    <row r="745" spans="1:14" x14ac:dyDescent="0.35">
      <c r="A745" t="s">
        <v>799</v>
      </c>
      <c r="B745" s="2">
        <v>45930</v>
      </c>
      <c r="C745" t="s">
        <v>40</v>
      </c>
      <c r="D745" t="s">
        <v>50</v>
      </c>
      <c r="E745" t="s">
        <v>53</v>
      </c>
      <c r="F745" t="s">
        <v>83</v>
      </c>
      <c r="G745" t="s">
        <v>29</v>
      </c>
      <c r="H745" t="s">
        <v>23</v>
      </c>
      <c r="I745">
        <v>2</v>
      </c>
      <c r="J745" s="3">
        <v>15.8</v>
      </c>
      <c r="K745" s="4">
        <v>0.1</v>
      </c>
      <c r="L745" s="3">
        <v>28.44</v>
      </c>
      <c r="M745" s="3">
        <v>20.16</v>
      </c>
      <c r="N745" s="3">
        <v>8.2799999999999994</v>
      </c>
    </row>
    <row r="746" spans="1:14" x14ac:dyDescent="0.35">
      <c r="A746" t="s">
        <v>800</v>
      </c>
      <c r="B746" s="2">
        <v>45930</v>
      </c>
      <c r="C746" t="s">
        <v>25</v>
      </c>
      <c r="D746" t="s">
        <v>97</v>
      </c>
      <c r="E746" t="s">
        <v>27</v>
      </c>
      <c r="F746" t="s">
        <v>48</v>
      </c>
      <c r="G746" t="s">
        <v>29</v>
      </c>
      <c r="H746" t="s">
        <v>30</v>
      </c>
      <c r="I746">
        <v>4</v>
      </c>
      <c r="J746" s="3">
        <v>298.67</v>
      </c>
      <c r="K746" s="4">
        <v>0</v>
      </c>
      <c r="L746" s="3">
        <v>1194.68</v>
      </c>
      <c r="M746" s="3">
        <v>622.41</v>
      </c>
      <c r="N746" s="3">
        <v>572.27</v>
      </c>
    </row>
    <row r="747" spans="1:14" x14ac:dyDescent="0.35">
      <c r="A747" t="s">
        <v>801</v>
      </c>
      <c r="B747" s="2">
        <v>45930</v>
      </c>
      <c r="C747" t="s">
        <v>32</v>
      </c>
      <c r="D747" t="s">
        <v>57</v>
      </c>
      <c r="E747" t="s">
        <v>37</v>
      </c>
      <c r="F747" t="s">
        <v>75</v>
      </c>
      <c r="G747" t="s">
        <v>19</v>
      </c>
      <c r="H747" t="s">
        <v>23</v>
      </c>
      <c r="I747">
        <v>2</v>
      </c>
      <c r="J747" s="3">
        <v>23.17</v>
      </c>
      <c r="K747" s="4">
        <v>0</v>
      </c>
      <c r="L747" s="3">
        <v>46.34</v>
      </c>
      <c r="M747" s="3">
        <v>27.29</v>
      </c>
      <c r="N747" s="3">
        <v>19.05</v>
      </c>
    </row>
    <row r="748" spans="1:14" x14ac:dyDescent="0.35">
      <c r="A748" t="s">
        <v>802</v>
      </c>
      <c r="B748" s="2">
        <v>45931</v>
      </c>
      <c r="C748" t="s">
        <v>40</v>
      </c>
      <c r="D748" t="s">
        <v>50</v>
      </c>
      <c r="E748" t="s">
        <v>53</v>
      </c>
      <c r="F748" t="s">
        <v>66</v>
      </c>
      <c r="G748" t="s">
        <v>29</v>
      </c>
      <c r="H748" t="s">
        <v>30</v>
      </c>
      <c r="I748">
        <v>1</v>
      </c>
      <c r="J748" s="3">
        <v>25.01</v>
      </c>
      <c r="K748" s="4">
        <v>0.15</v>
      </c>
      <c r="L748" s="3">
        <v>21.26</v>
      </c>
      <c r="M748" s="3">
        <v>14.2</v>
      </c>
      <c r="N748" s="3">
        <v>7.06</v>
      </c>
    </row>
    <row r="749" spans="1:14" x14ac:dyDescent="0.35">
      <c r="A749" t="s">
        <v>803</v>
      </c>
      <c r="B749" s="2">
        <v>45931</v>
      </c>
      <c r="C749" t="s">
        <v>25</v>
      </c>
      <c r="D749" t="s">
        <v>26</v>
      </c>
      <c r="E749" t="s">
        <v>37</v>
      </c>
      <c r="F749" t="s">
        <v>51</v>
      </c>
      <c r="G749" t="s">
        <v>19</v>
      </c>
      <c r="H749" t="s">
        <v>30</v>
      </c>
      <c r="I749">
        <v>7</v>
      </c>
      <c r="J749" s="3">
        <v>37.08</v>
      </c>
      <c r="K749" s="4">
        <v>0</v>
      </c>
      <c r="L749" s="3">
        <v>259.56</v>
      </c>
      <c r="M749" s="3">
        <v>197.31</v>
      </c>
      <c r="N749" s="3">
        <v>62.25</v>
      </c>
    </row>
    <row r="750" spans="1:14" x14ac:dyDescent="0.35">
      <c r="A750" t="s">
        <v>804</v>
      </c>
      <c r="B750" s="2">
        <v>45931</v>
      </c>
      <c r="C750" t="s">
        <v>32</v>
      </c>
      <c r="D750" t="s">
        <v>57</v>
      </c>
      <c r="E750" t="s">
        <v>53</v>
      </c>
      <c r="F750" t="s">
        <v>54</v>
      </c>
      <c r="G750" t="s">
        <v>22</v>
      </c>
      <c r="H750" t="s">
        <v>23</v>
      </c>
      <c r="I750">
        <v>8</v>
      </c>
      <c r="J750" s="3">
        <v>7.86</v>
      </c>
      <c r="K750" s="4">
        <v>0.15</v>
      </c>
      <c r="L750" s="3">
        <v>53.45</v>
      </c>
      <c r="M750" s="3">
        <v>34.33</v>
      </c>
      <c r="N750" s="3">
        <v>19.12</v>
      </c>
    </row>
    <row r="751" spans="1:14" x14ac:dyDescent="0.35">
      <c r="A751" t="s">
        <v>805</v>
      </c>
      <c r="B751" s="2">
        <v>45932</v>
      </c>
      <c r="C751" t="s">
        <v>25</v>
      </c>
      <c r="D751" t="s">
        <v>26</v>
      </c>
      <c r="E751" t="s">
        <v>17</v>
      </c>
      <c r="F751" t="s">
        <v>87</v>
      </c>
      <c r="G751" t="s">
        <v>19</v>
      </c>
      <c r="H751" t="s">
        <v>20</v>
      </c>
      <c r="I751">
        <v>7</v>
      </c>
      <c r="J751" s="3">
        <v>12.8</v>
      </c>
      <c r="K751" s="4">
        <v>0.1</v>
      </c>
      <c r="L751" s="3">
        <v>80.64</v>
      </c>
      <c r="M751" s="3">
        <v>49.72</v>
      </c>
      <c r="N751" s="3">
        <v>30.92</v>
      </c>
    </row>
    <row r="752" spans="1:14" x14ac:dyDescent="0.35">
      <c r="A752" t="s">
        <v>806</v>
      </c>
      <c r="B752" s="2">
        <v>45932</v>
      </c>
      <c r="C752" t="s">
        <v>40</v>
      </c>
      <c r="D752" t="s">
        <v>41</v>
      </c>
      <c r="E752" t="s">
        <v>27</v>
      </c>
      <c r="F752" t="s">
        <v>28</v>
      </c>
      <c r="G752" t="s">
        <v>22</v>
      </c>
      <c r="H752" t="s">
        <v>23</v>
      </c>
      <c r="I752">
        <v>9</v>
      </c>
      <c r="J752" s="3">
        <v>164.52</v>
      </c>
      <c r="K752" s="4">
        <v>0.1</v>
      </c>
      <c r="L752" s="3">
        <v>1332.61</v>
      </c>
      <c r="M752" s="3">
        <v>1068.83</v>
      </c>
      <c r="N752" s="3">
        <v>263.77999999999997</v>
      </c>
    </row>
    <row r="753" spans="1:14" x14ac:dyDescent="0.35">
      <c r="A753" t="s">
        <v>807</v>
      </c>
      <c r="B753" s="2">
        <v>45933</v>
      </c>
      <c r="C753" t="s">
        <v>40</v>
      </c>
      <c r="D753" t="s">
        <v>50</v>
      </c>
      <c r="E753" t="s">
        <v>37</v>
      </c>
      <c r="F753" t="s">
        <v>38</v>
      </c>
      <c r="G753" t="s">
        <v>22</v>
      </c>
      <c r="H753" t="s">
        <v>23</v>
      </c>
      <c r="I753">
        <v>4</v>
      </c>
      <c r="J753" s="3">
        <v>61.15</v>
      </c>
      <c r="K753" s="4">
        <v>0.05</v>
      </c>
      <c r="L753" s="3">
        <v>232.37</v>
      </c>
      <c r="M753" s="3">
        <v>132.94999999999999</v>
      </c>
      <c r="N753" s="3">
        <v>99.42</v>
      </c>
    </row>
    <row r="754" spans="1:14" x14ac:dyDescent="0.35">
      <c r="A754" t="s">
        <v>808</v>
      </c>
      <c r="B754" s="2">
        <v>45933</v>
      </c>
      <c r="C754" t="s">
        <v>40</v>
      </c>
      <c r="D754" t="s">
        <v>41</v>
      </c>
      <c r="E754" t="s">
        <v>53</v>
      </c>
      <c r="F754" t="s">
        <v>54</v>
      </c>
      <c r="G754" t="s">
        <v>29</v>
      </c>
      <c r="H754" t="s">
        <v>20</v>
      </c>
      <c r="I754">
        <v>9</v>
      </c>
      <c r="J754" s="3">
        <v>8.27</v>
      </c>
      <c r="K754" s="4">
        <v>0.05</v>
      </c>
      <c r="L754" s="3">
        <v>70.709999999999994</v>
      </c>
      <c r="M754" s="3">
        <v>47.98</v>
      </c>
      <c r="N754" s="3">
        <v>22.73</v>
      </c>
    </row>
    <row r="755" spans="1:14" x14ac:dyDescent="0.35">
      <c r="A755" t="s">
        <v>809</v>
      </c>
      <c r="B755" s="2">
        <v>45934</v>
      </c>
      <c r="C755" t="s">
        <v>40</v>
      </c>
      <c r="D755" t="s">
        <v>71</v>
      </c>
      <c r="E755" t="s">
        <v>37</v>
      </c>
      <c r="F755" t="s">
        <v>75</v>
      </c>
      <c r="G755" t="s">
        <v>29</v>
      </c>
      <c r="H755" t="s">
        <v>23</v>
      </c>
      <c r="I755">
        <v>12</v>
      </c>
      <c r="J755" s="3">
        <v>28.29</v>
      </c>
      <c r="K755" s="4">
        <v>0.15</v>
      </c>
      <c r="L755" s="3">
        <v>288.56</v>
      </c>
      <c r="M755" s="3">
        <v>251.67</v>
      </c>
      <c r="N755" s="3">
        <v>36.89</v>
      </c>
    </row>
    <row r="756" spans="1:14" x14ac:dyDescent="0.35">
      <c r="A756" t="s">
        <v>810</v>
      </c>
      <c r="B756" s="2">
        <v>45935</v>
      </c>
      <c r="C756" t="s">
        <v>15</v>
      </c>
      <c r="D756" t="s">
        <v>59</v>
      </c>
      <c r="E756" t="s">
        <v>17</v>
      </c>
      <c r="F756" t="s">
        <v>34</v>
      </c>
      <c r="G756" t="s">
        <v>29</v>
      </c>
      <c r="H756" t="s">
        <v>30</v>
      </c>
      <c r="I756">
        <v>1</v>
      </c>
      <c r="J756" s="3">
        <v>18.309999999999999</v>
      </c>
      <c r="K756" s="4">
        <v>0.05</v>
      </c>
      <c r="L756" s="3">
        <v>17.39</v>
      </c>
      <c r="M756" s="3">
        <v>12.21</v>
      </c>
      <c r="N756" s="3">
        <v>5.18</v>
      </c>
    </row>
    <row r="757" spans="1:14" x14ac:dyDescent="0.35">
      <c r="A757" t="s">
        <v>811</v>
      </c>
      <c r="B757" s="2">
        <v>45936</v>
      </c>
      <c r="C757" t="s">
        <v>25</v>
      </c>
      <c r="D757" t="s">
        <v>26</v>
      </c>
      <c r="E757" t="s">
        <v>17</v>
      </c>
      <c r="F757" t="s">
        <v>18</v>
      </c>
      <c r="G757" t="s">
        <v>19</v>
      </c>
      <c r="H757" t="s">
        <v>20</v>
      </c>
      <c r="I757">
        <v>10</v>
      </c>
      <c r="J757" s="3">
        <v>73.86</v>
      </c>
      <c r="K757" s="4">
        <v>0.1</v>
      </c>
      <c r="L757" s="3">
        <v>664.74</v>
      </c>
      <c r="M757" s="3">
        <v>414.45</v>
      </c>
      <c r="N757" s="3">
        <v>250.29</v>
      </c>
    </row>
    <row r="758" spans="1:14" x14ac:dyDescent="0.35">
      <c r="A758" t="s">
        <v>812</v>
      </c>
      <c r="B758" s="2">
        <v>45936</v>
      </c>
      <c r="C758" t="s">
        <v>15</v>
      </c>
      <c r="D758" t="s">
        <v>59</v>
      </c>
      <c r="E758" t="s">
        <v>37</v>
      </c>
      <c r="F758" t="s">
        <v>51</v>
      </c>
      <c r="G758" t="s">
        <v>22</v>
      </c>
      <c r="H758" t="s">
        <v>30</v>
      </c>
      <c r="I758">
        <v>6</v>
      </c>
      <c r="J758" s="3">
        <v>27.38</v>
      </c>
      <c r="K758" s="4">
        <v>0</v>
      </c>
      <c r="L758" s="3">
        <v>164.28</v>
      </c>
      <c r="M758" s="3">
        <v>107.79</v>
      </c>
      <c r="N758" s="3">
        <v>56.49</v>
      </c>
    </row>
    <row r="759" spans="1:14" x14ac:dyDescent="0.35">
      <c r="A759" t="s">
        <v>813</v>
      </c>
      <c r="B759" s="2">
        <v>45936</v>
      </c>
      <c r="C759" t="s">
        <v>32</v>
      </c>
      <c r="D759" t="s">
        <v>36</v>
      </c>
      <c r="E759" t="s">
        <v>17</v>
      </c>
      <c r="F759" t="s">
        <v>87</v>
      </c>
      <c r="G759" t="s">
        <v>22</v>
      </c>
      <c r="H759" t="s">
        <v>20</v>
      </c>
      <c r="I759">
        <v>9</v>
      </c>
      <c r="J759" s="3">
        <v>14.19</v>
      </c>
      <c r="K759" s="4">
        <v>0</v>
      </c>
      <c r="L759" s="3">
        <v>127.71</v>
      </c>
      <c r="M759" s="3">
        <v>92.29</v>
      </c>
      <c r="N759" s="3">
        <v>35.42</v>
      </c>
    </row>
    <row r="760" spans="1:14" x14ac:dyDescent="0.35">
      <c r="A760" t="s">
        <v>814</v>
      </c>
      <c r="B760" s="2">
        <v>45937</v>
      </c>
      <c r="C760" t="s">
        <v>32</v>
      </c>
      <c r="D760" t="s">
        <v>36</v>
      </c>
      <c r="E760" t="s">
        <v>53</v>
      </c>
      <c r="F760" t="s">
        <v>83</v>
      </c>
      <c r="G760" t="s">
        <v>29</v>
      </c>
      <c r="H760" t="s">
        <v>20</v>
      </c>
      <c r="I760">
        <v>4</v>
      </c>
      <c r="J760" s="3">
        <v>14.18</v>
      </c>
      <c r="K760" s="4">
        <v>0.1</v>
      </c>
      <c r="L760" s="3">
        <v>51.05</v>
      </c>
      <c r="M760" s="3">
        <v>27.72</v>
      </c>
      <c r="N760" s="3">
        <v>23.33</v>
      </c>
    </row>
    <row r="761" spans="1:14" x14ac:dyDescent="0.35">
      <c r="A761" t="s">
        <v>815</v>
      </c>
      <c r="B761" s="2">
        <v>45937</v>
      </c>
      <c r="C761" t="s">
        <v>25</v>
      </c>
      <c r="D761" t="s">
        <v>26</v>
      </c>
      <c r="E761" t="s">
        <v>17</v>
      </c>
      <c r="F761" t="s">
        <v>87</v>
      </c>
      <c r="G761" t="s">
        <v>29</v>
      </c>
      <c r="H761" t="s">
        <v>23</v>
      </c>
      <c r="I761">
        <v>9</v>
      </c>
      <c r="J761" s="3">
        <v>16.75</v>
      </c>
      <c r="K761" s="4">
        <v>0</v>
      </c>
      <c r="L761" s="3">
        <v>150.75</v>
      </c>
      <c r="M761" s="3">
        <v>96.06</v>
      </c>
      <c r="N761" s="3">
        <v>54.69</v>
      </c>
    </row>
    <row r="762" spans="1:14" x14ac:dyDescent="0.35">
      <c r="A762" t="s">
        <v>816</v>
      </c>
      <c r="B762" s="2">
        <v>45937</v>
      </c>
      <c r="C762" t="s">
        <v>15</v>
      </c>
      <c r="D762" t="s">
        <v>16</v>
      </c>
      <c r="E762" t="s">
        <v>27</v>
      </c>
      <c r="F762" t="s">
        <v>79</v>
      </c>
      <c r="G762" t="s">
        <v>22</v>
      </c>
      <c r="H762" t="s">
        <v>20</v>
      </c>
      <c r="I762">
        <v>2</v>
      </c>
      <c r="J762" s="3">
        <v>96.58</v>
      </c>
      <c r="K762" s="4">
        <v>0.05</v>
      </c>
      <c r="L762" s="3">
        <v>183.5</v>
      </c>
      <c r="M762" s="3">
        <v>110.48</v>
      </c>
      <c r="N762" s="3">
        <v>73.02</v>
      </c>
    </row>
    <row r="763" spans="1:14" x14ac:dyDescent="0.35">
      <c r="A763" t="s">
        <v>817</v>
      </c>
      <c r="B763" s="2">
        <v>45937</v>
      </c>
      <c r="C763" t="s">
        <v>40</v>
      </c>
      <c r="D763" t="s">
        <v>71</v>
      </c>
      <c r="E763" t="s">
        <v>53</v>
      </c>
      <c r="F763" t="s">
        <v>83</v>
      </c>
      <c r="G763" t="s">
        <v>19</v>
      </c>
      <c r="H763" t="s">
        <v>23</v>
      </c>
      <c r="I763">
        <v>7</v>
      </c>
      <c r="J763" s="3">
        <v>14.45</v>
      </c>
      <c r="K763" s="4">
        <v>0</v>
      </c>
      <c r="L763" s="3">
        <v>101.15</v>
      </c>
      <c r="M763" s="3">
        <v>53.98</v>
      </c>
      <c r="N763" s="3">
        <v>47.17</v>
      </c>
    </row>
    <row r="764" spans="1:14" x14ac:dyDescent="0.35">
      <c r="A764" t="s">
        <v>818</v>
      </c>
      <c r="B764" s="2">
        <v>45939</v>
      </c>
      <c r="C764" t="s">
        <v>32</v>
      </c>
      <c r="D764" t="s">
        <v>36</v>
      </c>
      <c r="E764" t="s">
        <v>17</v>
      </c>
      <c r="F764" t="s">
        <v>18</v>
      </c>
      <c r="G764" t="s">
        <v>19</v>
      </c>
      <c r="H764" t="s">
        <v>20</v>
      </c>
      <c r="I764">
        <v>11</v>
      </c>
      <c r="J764" s="3">
        <v>65.19</v>
      </c>
      <c r="K764" s="4">
        <v>0.15</v>
      </c>
      <c r="L764" s="3">
        <v>609.53</v>
      </c>
      <c r="M764" s="3">
        <v>439.51</v>
      </c>
      <c r="N764" s="3">
        <v>170.02</v>
      </c>
    </row>
    <row r="765" spans="1:14" x14ac:dyDescent="0.35">
      <c r="A765" t="s">
        <v>819</v>
      </c>
      <c r="B765" s="2">
        <v>45939</v>
      </c>
      <c r="C765" t="s">
        <v>40</v>
      </c>
      <c r="D765" t="s">
        <v>41</v>
      </c>
      <c r="E765" t="s">
        <v>27</v>
      </c>
      <c r="F765" t="s">
        <v>79</v>
      </c>
      <c r="G765" t="s">
        <v>22</v>
      </c>
      <c r="H765" t="s">
        <v>30</v>
      </c>
      <c r="I765">
        <v>3</v>
      </c>
      <c r="J765" s="3">
        <v>129.82</v>
      </c>
      <c r="K765" s="4">
        <v>0.05</v>
      </c>
      <c r="L765" s="3">
        <v>369.99</v>
      </c>
      <c r="M765" s="3">
        <v>254.02</v>
      </c>
      <c r="N765" s="3">
        <v>115.97</v>
      </c>
    </row>
    <row r="766" spans="1:14" x14ac:dyDescent="0.35">
      <c r="A766" t="s">
        <v>820</v>
      </c>
      <c r="B766" s="2">
        <v>45940</v>
      </c>
      <c r="C766" t="s">
        <v>32</v>
      </c>
      <c r="D766" t="s">
        <v>57</v>
      </c>
      <c r="E766" t="s">
        <v>17</v>
      </c>
      <c r="F766" t="s">
        <v>44</v>
      </c>
      <c r="G766" t="s">
        <v>29</v>
      </c>
      <c r="H766" t="s">
        <v>20</v>
      </c>
      <c r="I766">
        <v>2</v>
      </c>
      <c r="J766" s="3">
        <v>14.02</v>
      </c>
      <c r="K766" s="4">
        <v>0</v>
      </c>
      <c r="L766" s="3">
        <v>28.04</v>
      </c>
      <c r="M766" s="3">
        <v>18.05</v>
      </c>
      <c r="N766" s="3">
        <v>9.99</v>
      </c>
    </row>
    <row r="767" spans="1:14" x14ac:dyDescent="0.35">
      <c r="A767" t="s">
        <v>821</v>
      </c>
      <c r="B767" s="2">
        <v>45940</v>
      </c>
      <c r="C767" t="s">
        <v>25</v>
      </c>
      <c r="D767" t="s">
        <v>74</v>
      </c>
      <c r="E767" t="s">
        <v>37</v>
      </c>
      <c r="F767" t="s">
        <v>75</v>
      </c>
      <c r="G767" t="s">
        <v>29</v>
      </c>
      <c r="H767" t="s">
        <v>23</v>
      </c>
      <c r="I767">
        <v>2</v>
      </c>
      <c r="J767" s="3">
        <v>22.29</v>
      </c>
      <c r="K767" s="4">
        <v>0</v>
      </c>
      <c r="L767" s="3">
        <v>44.58</v>
      </c>
      <c r="M767" s="3">
        <v>27.57</v>
      </c>
      <c r="N767" s="3">
        <v>17.010000000000002</v>
      </c>
    </row>
    <row r="768" spans="1:14" x14ac:dyDescent="0.35">
      <c r="A768" t="s">
        <v>822</v>
      </c>
      <c r="B768" s="2">
        <v>45940</v>
      </c>
      <c r="C768" t="s">
        <v>32</v>
      </c>
      <c r="D768" t="s">
        <v>33</v>
      </c>
      <c r="E768" t="s">
        <v>27</v>
      </c>
      <c r="F768" t="s">
        <v>48</v>
      </c>
      <c r="G768" t="s">
        <v>22</v>
      </c>
      <c r="H768" t="s">
        <v>30</v>
      </c>
      <c r="I768">
        <v>11</v>
      </c>
      <c r="J768" s="3">
        <v>291.54000000000002</v>
      </c>
      <c r="K768" s="4">
        <v>0.05</v>
      </c>
      <c r="L768" s="3">
        <v>3046.59</v>
      </c>
      <c r="M768" s="3">
        <v>1916.95</v>
      </c>
      <c r="N768" s="3">
        <v>1129.6400000000001</v>
      </c>
    </row>
    <row r="769" spans="1:14" x14ac:dyDescent="0.35">
      <c r="A769" t="s">
        <v>823</v>
      </c>
      <c r="B769" s="2">
        <v>45940</v>
      </c>
      <c r="C769" t="s">
        <v>15</v>
      </c>
      <c r="D769" t="s">
        <v>46</v>
      </c>
      <c r="E769" t="s">
        <v>37</v>
      </c>
      <c r="F769" t="s">
        <v>42</v>
      </c>
      <c r="G769" t="s">
        <v>29</v>
      </c>
      <c r="H769" t="s">
        <v>20</v>
      </c>
      <c r="I769">
        <v>9</v>
      </c>
      <c r="J769" s="3">
        <v>15.98</v>
      </c>
      <c r="K769" s="4">
        <v>0.1</v>
      </c>
      <c r="L769" s="3">
        <v>129.44</v>
      </c>
      <c r="M769" s="3">
        <v>86.85</v>
      </c>
      <c r="N769" s="3">
        <v>42.59</v>
      </c>
    </row>
    <row r="770" spans="1:14" x14ac:dyDescent="0.35">
      <c r="A770" t="s">
        <v>824</v>
      </c>
      <c r="B770" s="2">
        <v>45941</v>
      </c>
      <c r="C770" t="s">
        <v>15</v>
      </c>
      <c r="D770" t="s">
        <v>59</v>
      </c>
      <c r="E770" t="s">
        <v>27</v>
      </c>
      <c r="F770" t="s">
        <v>28</v>
      </c>
      <c r="G770" t="s">
        <v>22</v>
      </c>
      <c r="H770" t="s">
        <v>20</v>
      </c>
      <c r="I770">
        <v>8</v>
      </c>
      <c r="J770" s="3">
        <v>143.53</v>
      </c>
      <c r="K770" s="4">
        <v>0.15</v>
      </c>
      <c r="L770" s="3">
        <v>976</v>
      </c>
      <c r="M770" s="3">
        <v>754.75</v>
      </c>
      <c r="N770" s="3">
        <v>221.25</v>
      </c>
    </row>
    <row r="771" spans="1:14" x14ac:dyDescent="0.35">
      <c r="A771" t="s">
        <v>825</v>
      </c>
      <c r="B771" s="2">
        <v>45941</v>
      </c>
      <c r="C771" t="s">
        <v>15</v>
      </c>
      <c r="D771" t="s">
        <v>16</v>
      </c>
      <c r="E771" t="s">
        <v>27</v>
      </c>
      <c r="F771" t="s">
        <v>48</v>
      </c>
      <c r="G771" t="s">
        <v>29</v>
      </c>
      <c r="H771" t="s">
        <v>20</v>
      </c>
      <c r="I771">
        <v>9</v>
      </c>
      <c r="J771" s="3">
        <v>232.81</v>
      </c>
      <c r="K771" s="4">
        <v>0</v>
      </c>
      <c r="L771" s="3">
        <v>2095.29</v>
      </c>
      <c r="M771" s="3">
        <v>1047.07</v>
      </c>
      <c r="N771" s="3">
        <v>1048.22</v>
      </c>
    </row>
    <row r="772" spans="1:14" x14ac:dyDescent="0.35">
      <c r="A772" t="s">
        <v>826</v>
      </c>
      <c r="B772" s="2">
        <v>45941</v>
      </c>
      <c r="C772" t="s">
        <v>25</v>
      </c>
      <c r="D772" t="s">
        <v>74</v>
      </c>
      <c r="E772" t="s">
        <v>53</v>
      </c>
      <c r="F772" t="s">
        <v>54</v>
      </c>
      <c r="G772" t="s">
        <v>29</v>
      </c>
      <c r="H772" t="s">
        <v>23</v>
      </c>
      <c r="I772">
        <v>4</v>
      </c>
      <c r="J772" s="3">
        <v>6.86</v>
      </c>
      <c r="K772" s="4">
        <v>0.05</v>
      </c>
      <c r="L772" s="3">
        <v>26.07</v>
      </c>
      <c r="M772" s="3">
        <v>20.67</v>
      </c>
      <c r="N772" s="3">
        <v>5.4</v>
      </c>
    </row>
    <row r="773" spans="1:14" x14ac:dyDescent="0.35">
      <c r="A773" t="s">
        <v>827</v>
      </c>
      <c r="B773" s="2">
        <v>45942</v>
      </c>
      <c r="C773" t="s">
        <v>25</v>
      </c>
      <c r="D773" t="s">
        <v>26</v>
      </c>
      <c r="E773" t="s">
        <v>53</v>
      </c>
      <c r="F773" t="s">
        <v>115</v>
      </c>
      <c r="G773" t="s">
        <v>22</v>
      </c>
      <c r="H773" t="s">
        <v>23</v>
      </c>
      <c r="I773">
        <v>8</v>
      </c>
      <c r="J773" s="3">
        <v>10.63</v>
      </c>
      <c r="K773" s="4">
        <v>0</v>
      </c>
      <c r="L773" s="3">
        <v>85.04</v>
      </c>
      <c r="M773" s="3">
        <v>43.92</v>
      </c>
      <c r="N773" s="3">
        <v>41.12</v>
      </c>
    </row>
    <row r="774" spans="1:14" x14ac:dyDescent="0.35">
      <c r="A774" t="s">
        <v>828</v>
      </c>
      <c r="B774" s="2">
        <v>45942</v>
      </c>
      <c r="C774" t="s">
        <v>25</v>
      </c>
      <c r="D774" t="s">
        <v>74</v>
      </c>
      <c r="E774" t="s">
        <v>17</v>
      </c>
      <c r="F774" t="s">
        <v>18</v>
      </c>
      <c r="G774" t="s">
        <v>29</v>
      </c>
      <c r="H774" t="s">
        <v>23</v>
      </c>
      <c r="I774">
        <v>5</v>
      </c>
      <c r="J774" s="3">
        <v>75.760000000000005</v>
      </c>
      <c r="K774" s="4">
        <v>0.1</v>
      </c>
      <c r="L774" s="3">
        <v>340.92</v>
      </c>
      <c r="M774" s="3">
        <v>265.44</v>
      </c>
      <c r="N774" s="3">
        <v>75.48</v>
      </c>
    </row>
    <row r="775" spans="1:14" x14ac:dyDescent="0.35">
      <c r="A775" t="s">
        <v>829</v>
      </c>
      <c r="B775" s="2">
        <v>45942</v>
      </c>
      <c r="C775" t="s">
        <v>32</v>
      </c>
      <c r="D775" t="s">
        <v>36</v>
      </c>
      <c r="E775" t="s">
        <v>17</v>
      </c>
      <c r="F775" t="s">
        <v>44</v>
      </c>
      <c r="G775" t="s">
        <v>19</v>
      </c>
      <c r="H775" t="s">
        <v>23</v>
      </c>
      <c r="I775">
        <v>1</v>
      </c>
      <c r="J775" s="3">
        <v>14.1</v>
      </c>
      <c r="K775" s="4">
        <v>0.15</v>
      </c>
      <c r="L775" s="3">
        <v>11.98</v>
      </c>
      <c r="M775" s="3">
        <v>7.16</v>
      </c>
      <c r="N775" s="3">
        <v>4.82</v>
      </c>
    </row>
    <row r="776" spans="1:14" x14ac:dyDescent="0.35">
      <c r="A776" t="s">
        <v>830</v>
      </c>
      <c r="B776" s="2">
        <v>45943</v>
      </c>
      <c r="C776" t="s">
        <v>15</v>
      </c>
      <c r="D776" t="s">
        <v>46</v>
      </c>
      <c r="E776" t="s">
        <v>17</v>
      </c>
      <c r="F776" t="s">
        <v>87</v>
      </c>
      <c r="G776" t="s">
        <v>19</v>
      </c>
      <c r="H776" t="s">
        <v>20</v>
      </c>
      <c r="I776">
        <v>9</v>
      </c>
      <c r="J776" s="3">
        <v>13.76</v>
      </c>
      <c r="K776" s="4">
        <v>0.1</v>
      </c>
      <c r="L776" s="3">
        <v>111.46</v>
      </c>
      <c r="M776" s="3">
        <v>70.489999999999995</v>
      </c>
      <c r="N776" s="3">
        <v>40.97</v>
      </c>
    </row>
    <row r="777" spans="1:14" x14ac:dyDescent="0.35">
      <c r="A777" t="s">
        <v>831</v>
      </c>
      <c r="B777" s="2">
        <v>45943</v>
      </c>
      <c r="C777" t="s">
        <v>25</v>
      </c>
      <c r="D777" t="s">
        <v>26</v>
      </c>
      <c r="E777" t="s">
        <v>27</v>
      </c>
      <c r="F777" t="s">
        <v>68</v>
      </c>
      <c r="G777" t="s">
        <v>19</v>
      </c>
      <c r="H777" t="s">
        <v>30</v>
      </c>
      <c r="I777">
        <v>12</v>
      </c>
      <c r="J777" s="3">
        <v>43.92</v>
      </c>
      <c r="K777" s="4">
        <v>0.15</v>
      </c>
      <c r="L777" s="3">
        <v>447.98</v>
      </c>
      <c r="M777" s="3">
        <v>358.83</v>
      </c>
      <c r="N777" s="3">
        <v>89.15</v>
      </c>
    </row>
    <row r="778" spans="1:14" x14ac:dyDescent="0.35">
      <c r="A778" t="s">
        <v>832</v>
      </c>
      <c r="B778" s="2">
        <v>45943</v>
      </c>
      <c r="C778" t="s">
        <v>15</v>
      </c>
      <c r="D778" t="s">
        <v>59</v>
      </c>
      <c r="E778" t="s">
        <v>17</v>
      </c>
      <c r="F778" t="s">
        <v>44</v>
      </c>
      <c r="G778" t="s">
        <v>22</v>
      </c>
      <c r="H778" t="s">
        <v>23</v>
      </c>
      <c r="I778">
        <v>11</v>
      </c>
      <c r="J778" s="3">
        <v>16.829999999999998</v>
      </c>
      <c r="K778" s="4">
        <v>0.1</v>
      </c>
      <c r="L778" s="3">
        <v>166.62</v>
      </c>
      <c r="M778" s="3">
        <v>127.88</v>
      </c>
      <c r="N778" s="3">
        <v>38.74</v>
      </c>
    </row>
    <row r="779" spans="1:14" x14ac:dyDescent="0.35">
      <c r="A779" t="s">
        <v>833</v>
      </c>
      <c r="B779" s="2">
        <v>45943</v>
      </c>
      <c r="C779" t="s">
        <v>40</v>
      </c>
      <c r="D779" t="s">
        <v>50</v>
      </c>
      <c r="E779" t="s">
        <v>37</v>
      </c>
      <c r="F779" t="s">
        <v>42</v>
      </c>
      <c r="G779" t="s">
        <v>29</v>
      </c>
      <c r="H779" t="s">
        <v>23</v>
      </c>
      <c r="I779">
        <v>6</v>
      </c>
      <c r="J779" s="3">
        <v>20.85</v>
      </c>
      <c r="K779" s="4">
        <v>0.05</v>
      </c>
      <c r="L779" s="3">
        <v>118.84</v>
      </c>
      <c r="M779" s="3">
        <v>85.45</v>
      </c>
      <c r="N779" s="3">
        <v>33.39</v>
      </c>
    </row>
    <row r="780" spans="1:14" x14ac:dyDescent="0.35">
      <c r="A780" t="s">
        <v>834</v>
      </c>
      <c r="B780" s="2">
        <v>45944</v>
      </c>
      <c r="C780" t="s">
        <v>15</v>
      </c>
      <c r="D780" t="s">
        <v>16</v>
      </c>
      <c r="E780" t="s">
        <v>27</v>
      </c>
      <c r="F780" t="s">
        <v>79</v>
      </c>
      <c r="G780" t="s">
        <v>29</v>
      </c>
      <c r="H780" t="s">
        <v>23</v>
      </c>
      <c r="I780">
        <v>5</v>
      </c>
      <c r="J780" s="3">
        <v>102.21</v>
      </c>
      <c r="K780" s="4">
        <v>0</v>
      </c>
      <c r="L780" s="3">
        <v>511.05</v>
      </c>
      <c r="M780" s="3">
        <v>315.02999999999997</v>
      </c>
      <c r="N780" s="3">
        <v>196.02</v>
      </c>
    </row>
    <row r="781" spans="1:14" x14ac:dyDescent="0.35">
      <c r="A781" t="s">
        <v>835</v>
      </c>
      <c r="B781" s="2">
        <v>45944</v>
      </c>
      <c r="C781" t="s">
        <v>40</v>
      </c>
      <c r="D781" t="s">
        <v>50</v>
      </c>
      <c r="E781" t="s">
        <v>37</v>
      </c>
      <c r="F781" t="s">
        <v>75</v>
      </c>
      <c r="G781" t="s">
        <v>22</v>
      </c>
      <c r="H781" t="s">
        <v>30</v>
      </c>
      <c r="I781">
        <v>6</v>
      </c>
      <c r="J781" s="3">
        <v>22.04</v>
      </c>
      <c r="K781" s="4">
        <v>0</v>
      </c>
      <c r="L781" s="3">
        <v>132.24</v>
      </c>
      <c r="M781" s="3">
        <v>88.89</v>
      </c>
      <c r="N781" s="3">
        <v>43.35</v>
      </c>
    </row>
    <row r="782" spans="1:14" x14ac:dyDescent="0.35">
      <c r="A782" t="s">
        <v>836</v>
      </c>
      <c r="B782" s="2">
        <v>45944</v>
      </c>
      <c r="C782" t="s">
        <v>15</v>
      </c>
      <c r="D782" t="s">
        <v>16</v>
      </c>
      <c r="E782" t="s">
        <v>37</v>
      </c>
      <c r="F782" t="s">
        <v>51</v>
      </c>
      <c r="G782" t="s">
        <v>22</v>
      </c>
      <c r="H782" t="s">
        <v>23</v>
      </c>
      <c r="I782">
        <v>5</v>
      </c>
      <c r="J782" s="3">
        <v>29.1</v>
      </c>
      <c r="K782" s="4">
        <v>0.1</v>
      </c>
      <c r="L782" s="3">
        <v>130.94999999999999</v>
      </c>
      <c r="M782" s="3">
        <v>110.45</v>
      </c>
      <c r="N782" s="3">
        <v>20.5</v>
      </c>
    </row>
    <row r="783" spans="1:14" x14ac:dyDescent="0.35">
      <c r="A783" t="s">
        <v>837</v>
      </c>
      <c r="B783" s="2">
        <v>45945</v>
      </c>
      <c r="C783" t="s">
        <v>25</v>
      </c>
      <c r="D783" t="s">
        <v>74</v>
      </c>
      <c r="E783" t="s">
        <v>53</v>
      </c>
      <c r="F783" t="s">
        <v>83</v>
      </c>
      <c r="G783" t="s">
        <v>19</v>
      </c>
      <c r="H783" t="s">
        <v>30</v>
      </c>
      <c r="I783">
        <v>4</v>
      </c>
      <c r="J783" s="3">
        <v>15.43</v>
      </c>
      <c r="K783" s="4">
        <v>0.05</v>
      </c>
      <c r="L783" s="3">
        <v>58.63</v>
      </c>
      <c r="M783" s="3">
        <v>42.46</v>
      </c>
      <c r="N783" s="3">
        <v>16.170000000000002</v>
      </c>
    </row>
    <row r="784" spans="1:14" x14ac:dyDescent="0.35">
      <c r="A784" t="s">
        <v>838</v>
      </c>
      <c r="B784" s="2">
        <v>45945</v>
      </c>
      <c r="C784" t="s">
        <v>15</v>
      </c>
      <c r="D784" t="s">
        <v>59</v>
      </c>
      <c r="E784" t="s">
        <v>17</v>
      </c>
      <c r="F784" t="s">
        <v>34</v>
      </c>
      <c r="G784" t="s">
        <v>22</v>
      </c>
      <c r="H784" t="s">
        <v>20</v>
      </c>
      <c r="I784">
        <v>11</v>
      </c>
      <c r="J784" s="3">
        <v>22.24</v>
      </c>
      <c r="K784" s="4">
        <v>0.15</v>
      </c>
      <c r="L784" s="3">
        <v>207.94</v>
      </c>
      <c r="M784" s="3">
        <v>138.41</v>
      </c>
      <c r="N784" s="3">
        <v>69.53</v>
      </c>
    </row>
    <row r="785" spans="1:14" x14ac:dyDescent="0.35">
      <c r="A785" t="s">
        <v>839</v>
      </c>
      <c r="B785" s="2">
        <v>45945</v>
      </c>
      <c r="C785" t="s">
        <v>15</v>
      </c>
      <c r="D785" t="s">
        <v>59</v>
      </c>
      <c r="E785" t="s">
        <v>37</v>
      </c>
      <c r="F785" t="s">
        <v>42</v>
      </c>
      <c r="G785" t="s">
        <v>29</v>
      </c>
      <c r="H785" t="s">
        <v>23</v>
      </c>
      <c r="I785">
        <v>4</v>
      </c>
      <c r="J785" s="3">
        <v>21.11</v>
      </c>
      <c r="K785" s="4">
        <v>0.05</v>
      </c>
      <c r="L785" s="3">
        <v>80.22</v>
      </c>
      <c r="M785" s="3">
        <v>48.98</v>
      </c>
      <c r="N785" s="3">
        <v>31.24</v>
      </c>
    </row>
    <row r="786" spans="1:14" x14ac:dyDescent="0.35">
      <c r="A786" t="s">
        <v>840</v>
      </c>
      <c r="B786" s="2">
        <v>45946</v>
      </c>
      <c r="C786" t="s">
        <v>40</v>
      </c>
      <c r="D786" t="s">
        <v>50</v>
      </c>
      <c r="E786" t="s">
        <v>53</v>
      </c>
      <c r="F786" t="s">
        <v>83</v>
      </c>
      <c r="G786" t="s">
        <v>29</v>
      </c>
      <c r="H786" t="s">
        <v>20</v>
      </c>
      <c r="I786">
        <v>11</v>
      </c>
      <c r="J786" s="3">
        <v>17.46</v>
      </c>
      <c r="K786" s="4">
        <v>0.05</v>
      </c>
      <c r="L786" s="3">
        <v>182.46</v>
      </c>
      <c r="M786" s="3">
        <v>114.31</v>
      </c>
      <c r="N786" s="3">
        <v>68.150000000000006</v>
      </c>
    </row>
    <row r="787" spans="1:14" x14ac:dyDescent="0.35">
      <c r="A787" t="s">
        <v>841</v>
      </c>
      <c r="B787" s="2">
        <v>45946</v>
      </c>
      <c r="C787" t="s">
        <v>32</v>
      </c>
      <c r="D787" t="s">
        <v>36</v>
      </c>
      <c r="E787" t="s">
        <v>37</v>
      </c>
      <c r="F787" t="s">
        <v>42</v>
      </c>
      <c r="G787" t="s">
        <v>22</v>
      </c>
      <c r="H787" t="s">
        <v>23</v>
      </c>
      <c r="I787">
        <v>9</v>
      </c>
      <c r="J787" s="3">
        <v>16.64</v>
      </c>
      <c r="K787" s="4">
        <v>0.05</v>
      </c>
      <c r="L787" s="3">
        <v>142.27000000000001</v>
      </c>
      <c r="M787" s="3">
        <v>77.84</v>
      </c>
      <c r="N787" s="3">
        <v>64.430000000000007</v>
      </c>
    </row>
    <row r="788" spans="1:14" x14ac:dyDescent="0.35">
      <c r="A788" t="s">
        <v>842</v>
      </c>
      <c r="B788" s="2">
        <v>45947</v>
      </c>
      <c r="C788" t="s">
        <v>15</v>
      </c>
      <c r="D788" t="s">
        <v>46</v>
      </c>
      <c r="E788" t="s">
        <v>27</v>
      </c>
      <c r="F788" t="s">
        <v>79</v>
      </c>
      <c r="G788" t="s">
        <v>22</v>
      </c>
      <c r="H788" t="s">
        <v>30</v>
      </c>
      <c r="I788">
        <v>11</v>
      </c>
      <c r="J788" s="3">
        <v>108.8</v>
      </c>
      <c r="K788" s="4">
        <v>0</v>
      </c>
      <c r="L788" s="3">
        <v>1196.8</v>
      </c>
      <c r="M788" s="3">
        <v>722.83</v>
      </c>
      <c r="N788" s="3">
        <v>473.97</v>
      </c>
    </row>
    <row r="789" spans="1:14" x14ac:dyDescent="0.35">
      <c r="A789" t="s">
        <v>843</v>
      </c>
      <c r="B789" s="2">
        <v>45947</v>
      </c>
      <c r="C789" t="s">
        <v>40</v>
      </c>
      <c r="D789" t="s">
        <v>71</v>
      </c>
      <c r="E789" t="s">
        <v>17</v>
      </c>
      <c r="F789" t="s">
        <v>44</v>
      </c>
      <c r="G789" t="s">
        <v>19</v>
      </c>
      <c r="H789" t="s">
        <v>30</v>
      </c>
      <c r="I789">
        <v>3</v>
      </c>
      <c r="J789" s="3">
        <v>17.75</v>
      </c>
      <c r="K789" s="4">
        <v>0</v>
      </c>
      <c r="L789" s="3">
        <v>53.25</v>
      </c>
      <c r="M789" s="3">
        <v>27.03</v>
      </c>
      <c r="N789" s="3">
        <v>26.22</v>
      </c>
    </row>
    <row r="790" spans="1:14" x14ac:dyDescent="0.35">
      <c r="A790" t="s">
        <v>844</v>
      </c>
      <c r="B790" s="2">
        <v>45947</v>
      </c>
      <c r="C790" t="s">
        <v>40</v>
      </c>
      <c r="D790" t="s">
        <v>41</v>
      </c>
      <c r="E790" t="s">
        <v>37</v>
      </c>
      <c r="F790" t="s">
        <v>51</v>
      </c>
      <c r="G790" t="s">
        <v>19</v>
      </c>
      <c r="H790" t="s">
        <v>20</v>
      </c>
      <c r="I790">
        <v>5</v>
      </c>
      <c r="J790" s="3">
        <v>27.57</v>
      </c>
      <c r="K790" s="4">
        <v>0</v>
      </c>
      <c r="L790" s="3">
        <v>137.85</v>
      </c>
      <c r="M790" s="3">
        <v>88.4</v>
      </c>
      <c r="N790" s="3">
        <v>49.45</v>
      </c>
    </row>
    <row r="791" spans="1:14" x14ac:dyDescent="0.35">
      <c r="A791" t="s">
        <v>845</v>
      </c>
      <c r="B791" s="2">
        <v>45948</v>
      </c>
      <c r="C791" t="s">
        <v>25</v>
      </c>
      <c r="D791" t="s">
        <v>74</v>
      </c>
      <c r="E791" t="s">
        <v>37</v>
      </c>
      <c r="F791" t="s">
        <v>51</v>
      </c>
      <c r="G791" t="s">
        <v>19</v>
      </c>
      <c r="H791" t="s">
        <v>23</v>
      </c>
      <c r="I791">
        <v>10</v>
      </c>
      <c r="J791" s="3">
        <v>30.76</v>
      </c>
      <c r="K791" s="4">
        <v>0.15</v>
      </c>
      <c r="L791" s="3">
        <v>261.45999999999998</v>
      </c>
      <c r="M791" s="3">
        <v>168.03</v>
      </c>
      <c r="N791" s="3">
        <v>93.43</v>
      </c>
    </row>
    <row r="792" spans="1:14" x14ac:dyDescent="0.35">
      <c r="A792" t="s">
        <v>846</v>
      </c>
      <c r="B792" s="2">
        <v>45948</v>
      </c>
      <c r="C792" t="s">
        <v>32</v>
      </c>
      <c r="D792" t="s">
        <v>36</v>
      </c>
      <c r="E792" t="s">
        <v>37</v>
      </c>
      <c r="F792" t="s">
        <v>42</v>
      </c>
      <c r="G792" t="s">
        <v>19</v>
      </c>
      <c r="H792" t="s">
        <v>30</v>
      </c>
      <c r="I792">
        <v>10</v>
      </c>
      <c r="J792" s="3">
        <v>20.21</v>
      </c>
      <c r="K792" s="4">
        <v>0.05</v>
      </c>
      <c r="L792" s="3">
        <v>192</v>
      </c>
      <c r="M792" s="3">
        <v>149.6</v>
      </c>
      <c r="N792" s="3">
        <v>42.4</v>
      </c>
    </row>
    <row r="793" spans="1:14" x14ac:dyDescent="0.35">
      <c r="A793" t="s">
        <v>847</v>
      </c>
      <c r="B793" s="2">
        <v>45948</v>
      </c>
      <c r="C793" t="s">
        <v>15</v>
      </c>
      <c r="D793" t="s">
        <v>59</v>
      </c>
      <c r="E793" t="s">
        <v>37</v>
      </c>
      <c r="F793" t="s">
        <v>75</v>
      </c>
      <c r="G793" t="s">
        <v>22</v>
      </c>
      <c r="H793" t="s">
        <v>23</v>
      </c>
      <c r="I793">
        <v>1</v>
      </c>
      <c r="J793" s="3">
        <v>28.27</v>
      </c>
      <c r="K793" s="4">
        <v>0.05</v>
      </c>
      <c r="L793" s="3">
        <v>26.86</v>
      </c>
      <c r="M793" s="3">
        <v>20.27</v>
      </c>
      <c r="N793" s="3">
        <v>6.59</v>
      </c>
    </row>
    <row r="794" spans="1:14" x14ac:dyDescent="0.35">
      <c r="A794" t="s">
        <v>848</v>
      </c>
      <c r="B794" s="2">
        <v>45949</v>
      </c>
      <c r="C794" t="s">
        <v>40</v>
      </c>
      <c r="D794" t="s">
        <v>41</v>
      </c>
      <c r="E794" t="s">
        <v>53</v>
      </c>
      <c r="F794" t="s">
        <v>66</v>
      </c>
      <c r="G794" t="s">
        <v>19</v>
      </c>
      <c r="H794" t="s">
        <v>23</v>
      </c>
      <c r="I794">
        <v>2</v>
      </c>
      <c r="J794" s="3">
        <v>22.26</v>
      </c>
      <c r="K794" s="4">
        <v>0.1</v>
      </c>
      <c r="L794" s="3">
        <v>40.07</v>
      </c>
      <c r="M794" s="3">
        <v>30.42</v>
      </c>
      <c r="N794" s="3">
        <v>9.65</v>
      </c>
    </row>
    <row r="795" spans="1:14" x14ac:dyDescent="0.35">
      <c r="A795" t="s">
        <v>849</v>
      </c>
      <c r="B795" s="2">
        <v>45950</v>
      </c>
      <c r="C795" t="s">
        <v>32</v>
      </c>
      <c r="D795" t="s">
        <v>36</v>
      </c>
      <c r="E795" t="s">
        <v>27</v>
      </c>
      <c r="F795" t="s">
        <v>28</v>
      </c>
      <c r="G795" t="s">
        <v>19</v>
      </c>
      <c r="H795" t="s">
        <v>30</v>
      </c>
      <c r="I795">
        <v>9</v>
      </c>
      <c r="J795" s="3">
        <v>131.03</v>
      </c>
      <c r="K795" s="4">
        <v>0.05</v>
      </c>
      <c r="L795" s="3">
        <v>1120.31</v>
      </c>
      <c r="M795" s="3">
        <v>673.93</v>
      </c>
      <c r="N795" s="3">
        <v>446.38</v>
      </c>
    </row>
    <row r="796" spans="1:14" x14ac:dyDescent="0.35">
      <c r="A796" t="s">
        <v>850</v>
      </c>
      <c r="B796" s="2">
        <v>45950</v>
      </c>
      <c r="C796" t="s">
        <v>25</v>
      </c>
      <c r="D796" t="s">
        <v>74</v>
      </c>
      <c r="E796" t="s">
        <v>27</v>
      </c>
      <c r="F796" t="s">
        <v>48</v>
      </c>
      <c r="G796" t="s">
        <v>22</v>
      </c>
      <c r="H796" t="s">
        <v>20</v>
      </c>
      <c r="I796">
        <v>1</v>
      </c>
      <c r="J796" s="3">
        <v>302.58</v>
      </c>
      <c r="K796" s="4">
        <v>0</v>
      </c>
      <c r="L796" s="3">
        <v>302.58</v>
      </c>
      <c r="M796" s="3">
        <v>204.5</v>
      </c>
      <c r="N796" s="3">
        <v>98.08</v>
      </c>
    </row>
    <row r="797" spans="1:14" x14ac:dyDescent="0.35">
      <c r="A797" t="s">
        <v>851</v>
      </c>
      <c r="B797" s="2">
        <v>45950</v>
      </c>
      <c r="C797" t="s">
        <v>15</v>
      </c>
      <c r="D797" t="s">
        <v>16</v>
      </c>
      <c r="E797" t="s">
        <v>17</v>
      </c>
      <c r="F797" t="s">
        <v>87</v>
      </c>
      <c r="G797" t="s">
        <v>19</v>
      </c>
      <c r="H797" t="s">
        <v>30</v>
      </c>
      <c r="I797">
        <v>8</v>
      </c>
      <c r="J797" s="3">
        <v>15.86</v>
      </c>
      <c r="K797" s="4">
        <v>0</v>
      </c>
      <c r="L797" s="3">
        <v>126.88</v>
      </c>
      <c r="M797" s="3">
        <v>64.489999999999995</v>
      </c>
      <c r="N797" s="3">
        <v>62.39</v>
      </c>
    </row>
    <row r="798" spans="1:14" x14ac:dyDescent="0.35">
      <c r="A798" t="s">
        <v>852</v>
      </c>
      <c r="B798" s="2">
        <v>45951</v>
      </c>
      <c r="C798" t="s">
        <v>25</v>
      </c>
      <c r="D798" t="s">
        <v>74</v>
      </c>
      <c r="E798" t="s">
        <v>17</v>
      </c>
      <c r="F798" t="s">
        <v>44</v>
      </c>
      <c r="G798" t="s">
        <v>22</v>
      </c>
      <c r="H798" t="s">
        <v>30</v>
      </c>
      <c r="I798">
        <v>8</v>
      </c>
      <c r="J798" s="3">
        <v>16.100000000000001</v>
      </c>
      <c r="K798" s="4">
        <v>0</v>
      </c>
      <c r="L798" s="3">
        <v>128.80000000000001</v>
      </c>
      <c r="M798" s="3">
        <v>99.72</v>
      </c>
      <c r="N798" s="3">
        <v>29.08</v>
      </c>
    </row>
    <row r="799" spans="1:14" x14ac:dyDescent="0.35">
      <c r="A799" t="s">
        <v>853</v>
      </c>
      <c r="B799" s="2">
        <v>45951</v>
      </c>
      <c r="C799" t="s">
        <v>15</v>
      </c>
      <c r="D799" t="s">
        <v>16</v>
      </c>
      <c r="E799" t="s">
        <v>17</v>
      </c>
      <c r="F799" t="s">
        <v>18</v>
      </c>
      <c r="G799" t="s">
        <v>29</v>
      </c>
      <c r="H799" t="s">
        <v>20</v>
      </c>
      <c r="I799">
        <v>12</v>
      </c>
      <c r="J799" s="3">
        <v>79.98</v>
      </c>
      <c r="K799" s="4">
        <v>0.15</v>
      </c>
      <c r="L799" s="3">
        <v>815.8</v>
      </c>
      <c r="M799" s="3">
        <v>512.83000000000004</v>
      </c>
      <c r="N799" s="3">
        <v>302.97000000000003</v>
      </c>
    </row>
    <row r="800" spans="1:14" x14ac:dyDescent="0.35">
      <c r="A800" t="s">
        <v>854</v>
      </c>
      <c r="B800" s="2">
        <v>45952</v>
      </c>
      <c r="C800" t="s">
        <v>15</v>
      </c>
      <c r="D800" t="s">
        <v>46</v>
      </c>
      <c r="E800" t="s">
        <v>27</v>
      </c>
      <c r="F800" t="s">
        <v>48</v>
      </c>
      <c r="G800" t="s">
        <v>29</v>
      </c>
      <c r="H800" t="s">
        <v>30</v>
      </c>
      <c r="I800">
        <v>7</v>
      </c>
      <c r="J800" s="3">
        <v>272.25</v>
      </c>
      <c r="K800" s="4">
        <v>0</v>
      </c>
      <c r="L800" s="3">
        <v>1905.75</v>
      </c>
      <c r="M800" s="3">
        <v>1347.83</v>
      </c>
      <c r="N800" s="3">
        <v>557.91999999999996</v>
      </c>
    </row>
    <row r="801" spans="1:14" x14ac:dyDescent="0.35">
      <c r="A801" t="s">
        <v>855</v>
      </c>
      <c r="B801" s="2">
        <v>45952</v>
      </c>
      <c r="C801" t="s">
        <v>40</v>
      </c>
      <c r="D801" t="s">
        <v>50</v>
      </c>
      <c r="E801" t="s">
        <v>37</v>
      </c>
      <c r="F801" t="s">
        <v>38</v>
      </c>
      <c r="G801" t="s">
        <v>19</v>
      </c>
      <c r="H801" t="s">
        <v>23</v>
      </c>
      <c r="I801">
        <v>3</v>
      </c>
      <c r="J801" s="3">
        <v>57.95</v>
      </c>
      <c r="K801" s="4">
        <v>0</v>
      </c>
      <c r="L801" s="3">
        <v>173.85</v>
      </c>
      <c r="M801" s="3">
        <v>100.12</v>
      </c>
      <c r="N801" s="3">
        <v>73.73</v>
      </c>
    </row>
    <row r="802" spans="1:14" x14ac:dyDescent="0.35">
      <c r="A802" t="s">
        <v>856</v>
      </c>
      <c r="B802" s="2">
        <v>45953</v>
      </c>
      <c r="C802" t="s">
        <v>40</v>
      </c>
      <c r="D802" t="s">
        <v>71</v>
      </c>
      <c r="E802" t="s">
        <v>53</v>
      </c>
      <c r="F802" t="s">
        <v>115</v>
      </c>
      <c r="G802" t="s">
        <v>29</v>
      </c>
      <c r="H802" t="s">
        <v>30</v>
      </c>
      <c r="I802">
        <v>7</v>
      </c>
      <c r="J802" s="3">
        <v>13.8</v>
      </c>
      <c r="K802" s="4">
        <v>0.1</v>
      </c>
      <c r="L802" s="3">
        <v>86.94</v>
      </c>
      <c r="M802" s="3">
        <v>71.349999999999994</v>
      </c>
      <c r="N802" s="3">
        <v>15.59</v>
      </c>
    </row>
    <row r="803" spans="1:14" x14ac:dyDescent="0.35">
      <c r="A803" t="s">
        <v>857</v>
      </c>
      <c r="B803" s="2">
        <v>45954</v>
      </c>
      <c r="C803" t="s">
        <v>40</v>
      </c>
      <c r="D803" t="s">
        <v>41</v>
      </c>
      <c r="E803" t="s">
        <v>37</v>
      </c>
      <c r="F803" t="s">
        <v>38</v>
      </c>
      <c r="G803" t="s">
        <v>22</v>
      </c>
      <c r="H803" t="s">
        <v>20</v>
      </c>
      <c r="I803">
        <v>10</v>
      </c>
      <c r="J803" s="3">
        <v>59.79</v>
      </c>
      <c r="K803" s="4">
        <v>0.1</v>
      </c>
      <c r="L803" s="3">
        <v>538.11</v>
      </c>
      <c r="M803" s="3">
        <v>358.14</v>
      </c>
      <c r="N803" s="3">
        <v>179.97</v>
      </c>
    </row>
    <row r="804" spans="1:14" x14ac:dyDescent="0.35">
      <c r="A804" t="s">
        <v>858</v>
      </c>
      <c r="B804" s="2">
        <v>45954</v>
      </c>
      <c r="C804" t="s">
        <v>40</v>
      </c>
      <c r="D804" t="s">
        <v>41</v>
      </c>
      <c r="E804" t="s">
        <v>27</v>
      </c>
      <c r="F804" t="s">
        <v>68</v>
      </c>
      <c r="G804" t="s">
        <v>22</v>
      </c>
      <c r="H804" t="s">
        <v>23</v>
      </c>
      <c r="I804">
        <v>2</v>
      </c>
      <c r="J804" s="3">
        <v>44.4</v>
      </c>
      <c r="K804" s="4">
        <v>0.05</v>
      </c>
      <c r="L804" s="3">
        <v>84.36</v>
      </c>
      <c r="M804" s="3">
        <v>62.54</v>
      </c>
      <c r="N804" s="3">
        <v>21.82</v>
      </c>
    </row>
    <row r="805" spans="1:14" x14ac:dyDescent="0.35">
      <c r="A805" t="s">
        <v>859</v>
      </c>
      <c r="B805" s="2">
        <v>45955</v>
      </c>
      <c r="C805" t="s">
        <v>25</v>
      </c>
      <c r="D805" t="s">
        <v>97</v>
      </c>
      <c r="E805" t="s">
        <v>17</v>
      </c>
      <c r="F805" t="s">
        <v>34</v>
      </c>
      <c r="G805" t="s">
        <v>19</v>
      </c>
      <c r="H805" t="s">
        <v>20</v>
      </c>
      <c r="I805">
        <v>5</v>
      </c>
      <c r="J805" s="3">
        <v>21.4</v>
      </c>
      <c r="K805" s="4">
        <v>0.1</v>
      </c>
      <c r="L805" s="3">
        <v>96.3</v>
      </c>
      <c r="M805" s="3">
        <v>82.63</v>
      </c>
      <c r="N805" s="3">
        <v>13.67</v>
      </c>
    </row>
    <row r="806" spans="1:14" x14ac:dyDescent="0.35">
      <c r="A806" t="s">
        <v>860</v>
      </c>
      <c r="B806" s="2">
        <v>45956</v>
      </c>
      <c r="C806" t="s">
        <v>25</v>
      </c>
      <c r="D806" t="s">
        <v>97</v>
      </c>
      <c r="E806" t="s">
        <v>17</v>
      </c>
      <c r="F806" t="s">
        <v>34</v>
      </c>
      <c r="G806" t="s">
        <v>22</v>
      </c>
      <c r="H806" t="s">
        <v>23</v>
      </c>
      <c r="I806">
        <v>9</v>
      </c>
      <c r="J806" s="3">
        <v>17.260000000000002</v>
      </c>
      <c r="K806" s="4">
        <v>0.05</v>
      </c>
      <c r="L806" s="3">
        <v>147.57</v>
      </c>
      <c r="M806" s="3">
        <v>107.26</v>
      </c>
      <c r="N806" s="3">
        <v>40.31</v>
      </c>
    </row>
    <row r="807" spans="1:14" x14ac:dyDescent="0.35">
      <c r="A807" t="s">
        <v>861</v>
      </c>
      <c r="B807" s="2">
        <v>45957</v>
      </c>
      <c r="C807" t="s">
        <v>15</v>
      </c>
      <c r="D807" t="s">
        <v>46</v>
      </c>
      <c r="E807" t="s">
        <v>37</v>
      </c>
      <c r="F807" t="s">
        <v>75</v>
      </c>
      <c r="G807" t="s">
        <v>19</v>
      </c>
      <c r="H807" t="s">
        <v>20</v>
      </c>
      <c r="I807">
        <v>8</v>
      </c>
      <c r="J807" s="3">
        <v>20.45</v>
      </c>
      <c r="K807" s="4">
        <v>0.05</v>
      </c>
      <c r="L807" s="3">
        <v>155.41999999999999</v>
      </c>
      <c r="M807" s="3">
        <v>93.18</v>
      </c>
      <c r="N807" s="3">
        <v>62.24</v>
      </c>
    </row>
    <row r="808" spans="1:14" x14ac:dyDescent="0.35">
      <c r="A808" t="s">
        <v>862</v>
      </c>
      <c r="B808" s="2">
        <v>45957</v>
      </c>
      <c r="C808" t="s">
        <v>32</v>
      </c>
      <c r="D808" t="s">
        <v>36</v>
      </c>
      <c r="E808" t="s">
        <v>27</v>
      </c>
      <c r="F808" t="s">
        <v>28</v>
      </c>
      <c r="G808" t="s">
        <v>29</v>
      </c>
      <c r="H808" t="s">
        <v>23</v>
      </c>
      <c r="I808">
        <v>1</v>
      </c>
      <c r="J808" s="3">
        <v>133.36000000000001</v>
      </c>
      <c r="K808" s="4">
        <v>0.05</v>
      </c>
      <c r="L808" s="3">
        <v>126.69</v>
      </c>
      <c r="M808" s="3">
        <v>70.98</v>
      </c>
      <c r="N808" s="3">
        <v>55.71</v>
      </c>
    </row>
    <row r="809" spans="1:14" x14ac:dyDescent="0.35">
      <c r="A809" t="s">
        <v>863</v>
      </c>
      <c r="B809" s="2">
        <v>45957</v>
      </c>
      <c r="C809" t="s">
        <v>32</v>
      </c>
      <c r="D809" t="s">
        <v>57</v>
      </c>
      <c r="E809" t="s">
        <v>17</v>
      </c>
      <c r="F809" t="s">
        <v>34</v>
      </c>
      <c r="G809" t="s">
        <v>29</v>
      </c>
      <c r="H809" t="s">
        <v>20</v>
      </c>
      <c r="I809">
        <v>11</v>
      </c>
      <c r="J809" s="3">
        <v>22.24</v>
      </c>
      <c r="K809" s="4">
        <v>0.15</v>
      </c>
      <c r="L809" s="3">
        <v>207.94</v>
      </c>
      <c r="M809" s="3">
        <v>173.98</v>
      </c>
      <c r="N809" s="3">
        <v>33.96</v>
      </c>
    </row>
    <row r="810" spans="1:14" x14ac:dyDescent="0.35">
      <c r="A810" t="s">
        <v>864</v>
      </c>
      <c r="B810" s="2">
        <v>45958</v>
      </c>
      <c r="C810" t="s">
        <v>40</v>
      </c>
      <c r="D810" t="s">
        <v>71</v>
      </c>
      <c r="E810" t="s">
        <v>53</v>
      </c>
      <c r="F810" t="s">
        <v>54</v>
      </c>
      <c r="G810" t="s">
        <v>22</v>
      </c>
      <c r="H810" t="s">
        <v>23</v>
      </c>
      <c r="I810">
        <v>1</v>
      </c>
      <c r="J810" s="3">
        <v>8.68</v>
      </c>
      <c r="K810" s="4">
        <v>0.15</v>
      </c>
      <c r="L810" s="3">
        <v>7.38</v>
      </c>
      <c r="M810" s="3">
        <v>4.75</v>
      </c>
      <c r="N810" s="3">
        <v>2.63</v>
      </c>
    </row>
    <row r="811" spans="1:14" x14ac:dyDescent="0.35">
      <c r="A811" t="s">
        <v>865</v>
      </c>
      <c r="B811" s="2">
        <v>45958</v>
      </c>
      <c r="C811" t="s">
        <v>32</v>
      </c>
      <c r="D811" t="s">
        <v>36</v>
      </c>
      <c r="E811" t="s">
        <v>37</v>
      </c>
      <c r="F811" t="s">
        <v>38</v>
      </c>
      <c r="G811" t="s">
        <v>19</v>
      </c>
      <c r="H811" t="s">
        <v>30</v>
      </c>
      <c r="I811">
        <v>7</v>
      </c>
      <c r="J811" s="3">
        <v>65.47</v>
      </c>
      <c r="K811" s="4">
        <v>0</v>
      </c>
      <c r="L811" s="3">
        <v>458.29</v>
      </c>
      <c r="M811" s="3">
        <v>290.97000000000003</v>
      </c>
      <c r="N811" s="3">
        <v>167.32</v>
      </c>
    </row>
    <row r="812" spans="1:14" x14ac:dyDescent="0.35">
      <c r="A812" t="s">
        <v>866</v>
      </c>
      <c r="B812" s="2">
        <v>45958</v>
      </c>
      <c r="C812" t="s">
        <v>40</v>
      </c>
      <c r="D812" t="s">
        <v>50</v>
      </c>
      <c r="E812" t="s">
        <v>17</v>
      </c>
      <c r="F812" t="s">
        <v>34</v>
      </c>
      <c r="G812" t="s">
        <v>29</v>
      </c>
      <c r="H812" t="s">
        <v>30</v>
      </c>
      <c r="I812">
        <v>10</v>
      </c>
      <c r="J812" s="3">
        <v>23.08</v>
      </c>
      <c r="K812" s="4">
        <v>0</v>
      </c>
      <c r="L812" s="3">
        <v>230.8</v>
      </c>
      <c r="M812" s="3">
        <v>130.87</v>
      </c>
      <c r="N812" s="3">
        <v>99.93</v>
      </c>
    </row>
    <row r="813" spans="1:14" x14ac:dyDescent="0.35">
      <c r="A813" t="s">
        <v>867</v>
      </c>
      <c r="B813" s="2">
        <v>45958</v>
      </c>
      <c r="C813" t="s">
        <v>40</v>
      </c>
      <c r="D813" t="s">
        <v>71</v>
      </c>
      <c r="E813" t="s">
        <v>53</v>
      </c>
      <c r="F813" t="s">
        <v>54</v>
      </c>
      <c r="G813" t="s">
        <v>22</v>
      </c>
      <c r="H813" t="s">
        <v>20</v>
      </c>
      <c r="I813">
        <v>6</v>
      </c>
      <c r="J813" s="3">
        <v>8.9700000000000006</v>
      </c>
      <c r="K813" s="4">
        <v>0.15</v>
      </c>
      <c r="L813" s="3">
        <v>45.75</v>
      </c>
      <c r="M813" s="3">
        <v>25.88</v>
      </c>
      <c r="N813" s="3">
        <v>19.87</v>
      </c>
    </row>
    <row r="814" spans="1:14" x14ac:dyDescent="0.35">
      <c r="A814" t="s">
        <v>868</v>
      </c>
      <c r="B814" s="2">
        <v>45959</v>
      </c>
      <c r="C814" t="s">
        <v>15</v>
      </c>
      <c r="D814" t="s">
        <v>59</v>
      </c>
      <c r="E814" t="s">
        <v>37</v>
      </c>
      <c r="F814" t="s">
        <v>75</v>
      </c>
      <c r="G814" t="s">
        <v>19</v>
      </c>
      <c r="H814" t="s">
        <v>20</v>
      </c>
      <c r="I814">
        <v>9</v>
      </c>
      <c r="J814" s="3">
        <v>23.55</v>
      </c>
      <c r="K814" s="4">
        <v>0</v>
      </c>
      <c r="L814" s="3">
        <v>211.95</v>
      </c>
      <c r="M814" s="3">
        <v>121.86</v>
      </c>
      <c r="N814" s="3">
        <v>90.09</v>
      </c>
    </row>
    <row r="815" spans="1:14" x14ac:dyDescent="0.35">
      <c r="A815" t="s">
        <v>869</v>
      </c>
      <c r="B815" s="2">
        <v>45959</v>
      </c>
      <c r="C815" t="s">
        <v>15</v>
      </c>
      <c r="D815" t="s">
        <v>46</v>
      </c>
      <c r="E815" t="s">
        <v>53</v>
      </c>
      <c r="F815" t="s">
        <v>83</v>
      </c>
      <c r="G815" t="s">
        <v>29</v>
      </c>
      <c r="H815" t="s">
        <v>30</v>
      </c>
      <c r="I815">
        <v>1</v>
      </c>
      <c r="J815" s="3">
        <v>15.53</v>
      </c>
      <c r="K815" s="4">
        <v>0</v>
      </c>
      <c r="L815" s="3">
        <v>15.53</v>
      </c>
      <c r="M815" s="3">
        <v>10.029999999999999</v>
      </c>
      <c r="N815" s="3">
        <v>5.5</v>
      </c>
    </row>
    <row r="816" spans="1:14" x14ac:dyDescent="0.35">
      <c r="A816" t="s">
        <v>870</v>
      </c>
      <c r="B816" s="2">
        <v>45960</v>
      </c>
      <c r="C816" t="s">
        <v>25</v>
      </c>
      <c r="D816" t="s">
        <v>26</v>
      </c>
      <c r="E816" t="s">
        <v>37</v>
      </c>
      <c r="F816" t="s">
        <v>38</v>
      </c>
      <c r="G816" t="s">
        <v>19</v>
      </c>
      <c r="H816" t="s">
        <v>30</v>
      </c>
      <c r="I816">
        <v>9</v>
      </c>
      <c r="J816" s="3">
        <v>48.18</v>
      </c>
      <c r="K816" s="4">
        <v>0.1</v>
      </c>
      <c r="L816" s="3">
        <v>390.26</v>
      </c>
      <c r="M816" s="3">
        <v>266.93</v>
      </c>
      <c r="N816" s="3">
        <v>123.33</v>
      </c>
    </row>
    <row r="817" spans="1:14" x14ac:dyDescent="0.35">
      <c r="A817" t="s">
        <v>871</v>
      </c>
      <c r="B817" s="2">
        <v>45960</v>
      </c>
      <c r="C817" t="s">
        <v>15</v>
      </c>
      <c r="D817" t="s">
        <v>46</v>
      </c>
      <c r="E817" t="s">
        <v>53</v>
      </c>
      <c r="F817" t="s">
        <v>83</v>
      </c>
      <c r="G817" t="s">
        <v>29</v>
      </c>
      <c r="H817" t="s">
        <v>30</v>
      </c>
      <c r="I817">
        <v>9</v>
      </c>
      <c r="J817" s="3">
        <v>15.35</v>
      </c>
      <c r="K817" s="4">
        <v>0.05</v>
      </c>
      <c r="L817" s="3">
        <v>131.24</v>
      </c>
      <c r="M817" s="3">
        <v>105.34</v>
      </c>
      <c r="N817" s="3">
        <v>25.9</v>
      </c>
    </row>
    <row r="818" spans="1:14" x14ac:dyDescent="0.35">
      <c r="A818" t="s">
        <v>872</v>
      </c>
      <c r="B818" s="2">
        <v>45961</v>
      </c>
      <c r="C818" t="s">
        <v>40</v>
      </c>
      <c r="D818" t="s">
        <v>71</v>
      </c>
      <c r="E818" t="s">
        <v>17</v>
      </c>
      <c r="F818" t="s">
        <v>87</v>
      </c>
      <c r="G818" t="s">
        <v>19</v>
      </c>
      <c r="H818" t="s">
        <v>30</v>
      </c>
      <c r="I818">
        <v>11</v>
      </c>
      <c r="J818" s="3">
        <v>15.44</v>
      </c>
      <c r="K818" s="4">
        <v>0</v>
      </c>
      <c r="L818" s="3">
        <v>169.84</v>
      </c>
      <c r="M818" s="3">
        <v>83.26</v>
      </c>
      <c r="N818" s="3">
        <v>86.58</v>
      </c>
    </row>
    <row r="819" spans="1:14" x14ac:dyDescent="0.35">
      <c r="A819" t="s">
        <v>873</v>
      </c>
      <c r="B819" s="2">
        <v>45961</v>
      </c>
      <c r="C819" t="s">
        <v>40</v>
      </c>
      <c r="D819" t="s">
        <v>41</v>
      </c>
      <c r="E819" t="s">
        <v>27</v>
      </c>
      <c r="F819" t="s">
        <v>79</v>
      </c>
      <c r="G819" t="s">
        <v>19</v>
      </c>
      <c r="H819" t="s">
        <v>23</v>
      </c>
      <c r="I819">
        <v>2</v>
      </c>
      <c r="J819" s="3">
        <v>115.31</v>
      </c>
      <c r="K819" s="4">
        <v>0.15</v>
      </c>
      <c r="L819" s="3">
        <v>196.03</v>
      </c>
      <c r="M819" s="3">
        <v>143.58000000000001</v>
      </c>
      <c r="N819" s="3">
        <v>52.45</v>
      </c>
    </row>
    <row r="820" spans="1:14" x14ac:dyDescent="0.35">
      <c r="A820" t="s">
        <v>874</v>
      </c>
      <c r="B820" s="2">
        <v>45962</v>
      </c>
      <c r="C820" t="s">
        <v>15</v>
      </c>
      <c r="D820" t="s">
        <v>16</v>
      </c>
      <c r="E820" t="s">
        <v>27</v>
      </c>
      <c r="F820" t="s">
        <v>79</v>
      </c>
      <c r="G820" t="s">
        <v>29</v>
      </c>
      <c r="H820" t="s">
        <v>30</v>
      </c>
      <c r="I820">
        <v>12</v>
      </c>
      <c r="J820" s="3">
        <v>128.69999999999999</v>
      </c>
      <c r="K820" s="4">
        <v>0</v>
      </c>
      <c r="L820" s="3">
        <v>1544.4</v>
      </c>
      <c r="M820" s="3">
        <v>781.63</v>
      </c>
      <c r="N820" s="3">
        <v>762.77</v>
      </c>
    </row>
    <row r="821" spans="1:14" x14ac:dyDescent="0.35">
      <c r="A821" t="s">
        <v>875</v>
      </c>
      <c r="B821" s="2">
        <v>45963</v>
      </c>
      <c r="C821" t="s">
        <v>40</v>
      </c>
      <c r="D821" t="s">
        <v>71</v>
      </c>
      <c r="E821" t="s">
        <v>53</v>
      </c>
      <c r="F821" t="s">
        <v>83</v>
      </c>
      <c r="G821" t="s">
        <v>29</v>
      </c>
      <c r="H821" t="s">
        <v>23</v>
      </c>
      <c r="I821">
        <v>7</v>
      </c>
      <c r="J821" s="3">
        <v>13.73</v>
      </c>
      <c r="K821" s="4">
        <v>0.15</v>
      </c>
      <c r="L821" s="3">
        <v>81.69</v>
      </c>
      <c r="M821" s="3">
        <v>66.13</v>
      </c>
      <c r="N821" s="3">
        <v>15.56</v>
      </c>
    </row>
    <row r="822" spans="1:14" x14ac:dyDescent="0.35">
      <c r="A822" t="s">
        <v>876</v>
      </c>
      <c r="B822" s="2">
        <v>45963</v>
      </c>
      <c r="C822" t="s">
        <v>25</v>
      </c>
      <c r="D822" t="s">
        <v>26</v>
      </c>
      <c r="E822" t="s">
        <v>53</v>
      </c>
      <c r="F822" t="s">
        <v>83</v>
      </c>
      <c r="G822" t="s">
        <v>29</v>
      </c>
      <c r="H822" t="s">
        <v>23</v>
      </c>
      <c r="I822">
        <v>10</v>
      </c>
      <c r="J822" s="3">
        <v>17.739999999999998</v>
      </c>
      <c r="K822" s="4">
        <v>0.05</v>
      </c>
      <c r="L822" s="3">
        <v>168.53</v>
      </c>
      <c r="M822" s="3">
        <v>103.66</v>
      </c>
      <c r="N822" s="3">
        <v>64.87</v>
      </c>
    </row>
    <row r="823" spans="1:14" x14ac:dyDescent="0.35">
      <c r="A823" t="s">
        <v>877</v>
      </c>
      <c r="B823" s="2">
        <v>45964</v>
      </c>
      <c r="C823" t="s">
        <v>32</v>
      </c>
      <c r="D823" t="s">
        <v>57</v>
      </c>
      <c r="E823" t="s">
        <v>37</v>
      </c>
      <c r="F823" t="s">
        <v>42</v>
      </c>
      <c r="G823" t="s">
        <v>19</v>
      </c>
      <c r="H823" t="s">
        <v>30</v>
      </c>
      <c r="I823">
        <v>4</v>
      </c>
      <c r="J823" s="3">
        <v>17.2</v>
      </c>
      <c r="K823" s="4">
        <v>0</v>
      </c>
      <c r="L823" s="3">
        <v>68.8</v>
      </c>
      <c r="M823" s="3">
        <v>48.86</v>
      </c>
      <c r="N823" s="3">
        <v>19.940000000000001</v>
      </c>
    </row>
    <row r="824" spans="1:14" x14ac:dyDescent="0.35">
      <c r="A824" t="s">
        <v>878</v>
      </c>
      <c r="B824" s="2">
        <v>45964</v>
      </c>
      <c r="C824" t="s">
        <v>25</v>
      </c>
      <c r="D824" t="s">
        <v>26</v>
      </c>
      <c r="E824" t="s">
        <v>27</v>
      </c>
      <c r="F824" t="s">
        <v>28</v>
      </c>
      <c r="G824" t="s">
        <v>22</v>
      </c>
      <c r="H824" t="s">
        <v>20</v>
      </c>
      <c r="I824">
        <v>12</v>
      </c>
      <c r="J824" s="3">
        <v>130.04</v>
      </c>
      <c r="K824" s="4">
        <v>0</v>
      </c>
      <c r="L824" s="3">
        <v>1560.48</v>
      </c>
      <c r="M824" s="3">
        <v>1034.03</v>
      </c>
      <c r="N824" s="3">
        <v>526.45000000000005</v>
      </c>
    </row>
    <row r="825" spans="1:14" x14ac:dyDescent="0.35">
      <c r="A825" t="s">
        <v>879</v>
      </c>
      <c r="B825" s="2">
        <v>45966</v>
      </c>
      <c r="C825" t="s">
        <v>40</v>
      </c>
      <c r="D825" t="s">
        <v>41</v>
      </c>
      <c r="E825" t="s">
        <v>27</v>
      </c>
      <c r="F825" t="s">
        <v>79</v>
      </c>
      <c r="G825" t="s">
        <v>22</v>
      </c>
      <c r="H825" t="s">
        <v>23</v>
      </c>
      <c r="I825">
        <v>6</v>
      </c>
      <c r="J825" s="3">
        <v>130.86000000000001</v>
      </c>
      <c r="K825" s="4">
        <v>0.15</v>
      </c>
      <c r="L825" s="3">
        <v>667.39</v>
      </c>
      <c r="M825" s="3">
        <v>515.01</v>
      </c>
      <c r="N825" s="3">
        <v>152.38</v>
      </c>
    </row>
    <row r="826" spans="1:14" x14ac:dyDescent="0.35">
      <c r="A826" t="s">
        <v>880</v>
      </c>
      <c r="B826" s="2">
        <v>45966</v>
      </c>
      <c r="C826" t="s">
        <v>32</v>
      </c>
      <c r="D826" t="s">
        <v>33</v>
      </c>
      <c r="E826" t="s">
        <v>53</v>
      </c>
      <c r="F826" t="s">
        <v>66</v>
      </c>
      <c r="G826" t="s">
        <v>29</v>
      </c>
      <c r="H826" t="s">
        <v>20</v>
      </c>
      <c r="I826">
        <v>2</v>
      </c>
      <c r="J826" s="3">
        <v>22.13</v>
      </c>
      <c r="K826" s="4">
        <v>0</v>
      </c>
      <c r="L826" s="3">
        <v>44.26</v>
      </c>
      <c r="M826" s="3">
        <v>33.42</v>
      </c>
      <c r="N826" s="3">
        <v>10.84</v>
      </c>
    </row>
    <row r="827" spans="1:14" x14ac:dyDescent="0.35">
      <c r="A827" t="s">
        <v>881</v>
      </c>
      <c r="B827" s="2">
        <v>45966</v>
      </c>
      <c r="C827" t="s">
        <v>15</v>
      </c>
      <c r="D827" t="s">
        <v>46</v>
      </c>
      <c r="E827" t="s">
        <v>37</v>
      </c>
      <c r="F827" t="s">
        <v>42</v>
      </c>
      <c r="G827" t="s">
        <v>22</v>
      </c>
      <c r="H827" t="s">
        <v>23</v>
      </c>
      <c r="I827">
        <v>10</v>
      </c>
      <c r="J827" s="3">
        <v>21.4</v>
      </c>
      <c r="K827" s="4">
        <v>0</v>
      </c>
      <c r="L827" s="3">
        <v>214</v>
      </c>
      <c r="M827" s="3">
        <v>115.11</v>
      </c>
      <c r="N827" s="3">
        <v>98.89</v>
      </c>
    </row>
    <row r="828" spans="1:14" x14ac:dyDescent="0.35">
      <c r="A828" t="s">
        <v>882</v>
      </c>
      <c r="B828" s="2">
        <v>45967</v>
      </c>
      <c r="C828" t="s">
        <v>25</v>
      </c>
      <c r="D828" t="s">
        <v>97</v>
      </c>
      <c r="E828" t="s">
        <v>27</v>
      </c>
      <c r="F828" t="s">
        <v>28</v>
      </c>
      <c r="G828" t="s">
        <v>29</v>
      </c>
      <c r="H828" t="s">
        <v>30</v>
      </c>
      <c r="I828">
        <v>2</v>
      </c>
      <c r="J828" s="3">
        <v>134.87</v>
      </c>
      <c r="K828" s="4">
        <v>0.15</v>
      </c>
      <c r="L828" s="3">
        <v>229.28</v>
      </c>
      <c r="M828" s="3">
        <v>176.99</v>
      </c>
      <c r="N828" s="3">
        <v>52.29</v>
      </c>
    </row>
    <row r="829" spans="1:14" x14ac:dyDescent="0.35">
      <c r="A829" t="s">
        <v>883</v>
      </c>
      <c r="B829" s="2">
        <v>45967</v>
      </c>
      <c r="C829" t="s">
        <v>32</v>
      </c>
      <c r="D829" t="s">
        <v>57</v>
      </c>
      <c r="E829" t="s">
        <v>37</v>
      </c>
      <c r="F829" t="s">
        <v>51</v>
      </c>
      <c r="G829" t="s">
        <v>22</v>
      </c>
      <c r="H829" t="s">
        <v>23</v>
      </c>
      <c r="I829">
        <v>8</v>
      </c>
      <c r="J829" s="3">
        <v>29.05</v>
      </c>
      <c r="K829" s="4">
        <v>0</v>
      </c>
      <c r="L829" s="3">
        <v>232.4</v>
      </c>
      <c r="M829" s="3">
        <v>147.43</v>
      </c>
      <c r="N829" s="3">
        <v>84.97</v>
      </c>
    </row>
    <row r="830" spans="1:14" x14ac:dyDescent="0.35">
      <c r="A830" t="s">
        <v>884</v>
      </c>
      <c r="B830" s="2">
        <v>45967</v>
      </c>
      <c r="C830" t="s">
        <v>32</v>
      </c>
      <c r="D830" t="s">
        <v>33</v>
      </c>
      <c r="E830" t="s">
        <v>27</v>
      </c>
      <c r="F830" t="s">
        <v>48</v>
      </c>
      <c r="G830" t="s">
        <v>22</v>
      </c>
      <c r="H830" t="s">
        <v>20</v>
      </c>
      <c r="I830">
        <v>10</v>
      </c>
      <c r="J830" s="3">
        <v>298.14999999999998</v>
      </c>
      <c r="K830" s="4">
        <v>0.05</v>
      </c>
      <c r="L830" s="3">
        <v>2832.42</v>
      </c>
      <c r="M830" s="3">
        <v>1901.06</v>
      </c>
      <c r="N830" s="3">
        <v>931.36</v>
      </c>
    </row>
    <row r="831" spans="1:14" x14ac:dyDescent="0.35">
      <c r="A831" t="s">
        <v>885</v>
      </c>
      <c r="B831" s="2">
        <v>45967</v>
      </c>
      <c r="C831" t="s">
        <v>32</v>
      </c>
      <c r="D831" t="s">
        <v>57</v>
      </c>
      <c r="E831" t="s">
        <v>37</v>
      </c>
      <c r="F831" t="s">
        <v>51</v>
      </c>
      <c r="G831" t="s">
        <v>22</v>
      </c>
      <c r="H831" t="s">
        <v>20</v>
      </c>
      <c r="I831">
        <v>8</v>
      </c>
      <c r="J831" s="3">
        <v>29.57</v>
      </c>
      <c r="K831" s="4">
        <v>0.1</v>
      </c>
      <c r="L831" s="3">
        <v>212.9</v>
      </c>
      <c r="M831" s="3">
        <v>166.13</v>
      </c>
      <c r="N831" s="3">
        <v>46.77</v>
      </c>
    </row>
    <row r="832" spans="1:14" x14ac:dyDescent="0.35">
      <c r="A832" t="s">
        <v>886</v>
      </c>
      <c r="B832" s="2">
        <v>45969</v>
      </c>
      <c r="C832" t="s">
        <v>15</v>
      </c>
      <c r="D832" t="s">
        <v>46</v>
      </c>
      <c r="E832" t="s">
        <v>27</v>
      </c>
      <c r="F832" t="s">
        <v>48</v>
      </c>
      <c r="G832" t="s">
        <v>22</v>
      </c>
      <c r="H832" t="s">
        <v>20</v>
      </c>
      <c r="I832">
        <v>3</v>
      </c>
      <c r="J832" s="3">
        <v>251.85</v>
      </c>
      <c r="K832" s="4">
        <v>0.05</v>
      </c>
      <c r="L832" s="3">
        <v>717.77</v>
      </c>
      <c r="M832" s="3">
        <v>503.98</v>
      </c>
      <c r="N832" s="3">
        <v>213.79</v>
      </c>
    </row>
    <row r="833" spans="1:14" x14ac:dyDescent="0.35">
      <c r="A833" t="s">
        <v>887</v>
      </c>
      <c r="B833" s="2">
        <v>45969</v>
      </c>
      <c r="C833" t="s">
        <v>40</v>
      </c>
      <c r="D833" t="s">
        <v>41</v>
      </c>
      <c r="E833" t="s">
        <v>53</v>
      </c>
      <c r="F833" t="s">
        <v>66</v>
      </c>
      <c r="G833" t="s">
        <v>22</v>
      </c>
      <c r="H833" t="s">
        <v>30</v>
      </c>
      <c r="I833">
        <v>7</v>
      </c>
      <c r="J833" s="3">
        <v>24.93</v>
      </c>
      <c r="K833" s="4">
        <v>0.05</v>
      </c>
      <c r="L833" s="3">
        <v>165.78</v>
      </c>
      <c r="M833" s="3">
        <v>107.47</v>
      </c>
      <c r="N833" s="3">
        <v>58.31</v>
      </c>
    </row>
    <row r="834" spans="1:14" x14ac:dyDescent="0.35">
      <c r="A834" t="s">
        <v>888</v>
      </c>
      <c r="B834" s="2">
        <v>45969</v>
      </c>
      <c r="C834" t="s">
        <v>25</v>
      </c>
      <c r="D834" t="s">
        <v>74</v>
      </c>
      <c r="E834" t="s">
        <v>37</v>
      </c>
      <c r="F834" t="s">
        <v>75</v>
      </c>
      <c r="G834" t="s">
        <v>22</v>
      </c>
      <c r="H834" t="s">
        <v>20</v>
      </c>
      <c r="I834">
        <v>7</v>
      </c>
      <c r="J834" s="3">
        <v>25.56</v>
      </c>
      <c r="K834" s="4">
        <v>0.15</v>
      </c>
      <c r="L834" s="3">
        <v>152.08000000000001</v>
      </c>
      <c r="M834" s="3">
        <v>101.26</v>
      </c>
      <c r="N834" s="3">
        <v>50.82</v>
      </c>
    </row>
    <row r="835" spans="1:14" x14ac:dyDescent="0.35">
      <c r="A835" t="s">
        <v>889</v>
      </c>
      <c r="B835" s="2">
        <v>45970</v>
      </c>
      <c r="C835" t="s">
        <v>40</v>
      </c>
      <c r="D835" t="s">
        <v>71</v>
      </c>
      <c r="E835" t="s">
        <v>53</v>
      </c>
      <c r="F835" t="s">
        <v>115</v>
      </c>
      <c r="G835" t="s">
        <v>22</v>
      </c>
      <c r="H835" t="s">
        <v>23</v>
      </c>
      <c r="I835">
        <v>2</v>
      </c>
      <c r="J835" s="3">
        <v>10.68</v>
      </c>
      <c r="K835" s="4">
        <v>0.15</v>
      </c>
      <c r="L835" s="3">
        <v>18.16</v>
      </c>
      <c r="M835" s="3">
        <v>15.37</v>
      </c>
      <c r="N835" s="3">
        <v>2.79</v>
      </c>
    </row>
    <row r="836" spans="1:14" x14ac:dyDescent="0.35">
      <c r="A836" t="s">
        <v>890</v>
      </c>
      <c r="B836" s="2">
        <v>45970</v>
      </c>
      <c r="C836" t="s">
        <v>40</v>
      </c>
      <c r="D836" t="s">
        <v>71</v>
      </c>
      <c r="E836" t="s">
        <v>17</v>
      </c>
      <c r="F836" t="s">
        <v>18</v>
      </c>
      <c r="G836" t="s">
        <v>19</v>
      </c>
      <c r="H836" t="s">
        <v>30</v>
      </c>
      <c r="I836">
        <v>1</v>
      </c>
      <c r="J836" s="3">
        <v>73.66</v>
      </c>
      <c r="K836" s="4">
        <v>0.05</v>
      </c>
      <c r="L836" s="3">
        <v>69.98</v>
      </c>
      <c r="M836" s="3">
        <v>39.380000000000003</v>
      </c>
      <c r="N836" s="3">
        <v>30.6</v>
      </c>
    </row>
    <row r="837" spans="1:14" x14ac:dyDescent="0.35">
      <c r="A837" t="s">
        <v>891</v>
      </c>
      <c r="B837" s="2">
        <v>45971</v>
      </c>
      <c r="C837" t="s">
        <v>40</v>
      </c>
      <c r="D837" t="s">
        <v>71</v>
      </c>
      <c r="E837" t="s">
        <v>37</v>
      </c>
      <c r="F837" t="s">
        <v>42</v>
      </c>
      <c r="G837" t="s">
        <v>29</v>
      </c>
      <c r="H837" t="s">
        <v>20</v>
      </c>
      <c r="I837">
        <v>8</v>
      </c>
      <c r="J837" s="3">
        <v>18.18</v>
      </c>
      <c r="K837" s="4">
        <v>0</v>
      </c>
      <c r="L837" s="3">
        <v>145.44</v>
      </c>
      <c r="M837" s="3">
        <v>108.11</v>
      </c>
      <c r="N837" s="3">
        <v>37.33</v>
      </c>
    </row>
    <row r="838" spans="1:14" x14ac:dyDescent="0.35">
      <c r="A838" t="s">
        <v>892</v>
      </c>
      <c r="B838" s="2">
        <v>45971</v>
      </c>
      <c r="C838" t="s">
        <v>32</v>
      </c>
      <c r="D838" t="s">
        <v>36</v>
      </c>
      <c r="E838" t="s">
        <v>53</v>
      </c>
      <c r="F838" t="s">
        <v>115</v>
      </c>
      <c r="G838" t="s">
        <v>22</v>
      </c>
      <c r="H838" t="s">
        <v>23</v>
      </c>
      <c r="I838">
        <v>10</v>
      </c>
      <c r="J838" s="3">
        <v>13.9</v>
      </c>
      <c r="K838" s="4">
        <v>0</v>
      </c>
      <c r="L838" s="3">
        <v>139</v>
      </c>
      <c r="M838" s="3">
        <v>88.18</v>
      </c>
      <c r="N838" s="3">
        <v>50.82</v>
      </c>
    </row>
    <row r="839" spans="1:14" x14ac:dyDescent="0.35">
      <c r="A839" t="s">
        <v>893</v>
      </c>
      <c r="B839" s="2">
        <v>45972</v>
      </c>
      <c r="C839" t="s">
        <v>32</v>
      </c>
      <c r="D839" t="s">
        <v>57</v>
      </c>
      <c r="E839" t="s">
        <v>37</v>
      </c>
      <c r="F839" t="s">
        <v>51</v>
      </c>
      <c r="G839" t="s">
        <v>29</v>
      </c>
      <c r="H839" t="s">
        <v>23</v>
      </c>
      <c r="I839">
        <v>10</v>
      </c>
      <c r="J839" s="3">
        <v>37.75</v>
      </c>
      <c r="K839" s="4">
        <v>0</v>
      </c>
      <c r="L839" s="3">
        <v>377.5</v>
      </c>
      <c r="M839" s="3">
        <v>200.59</v>
      </c>
      <c r="N839" s="3">
        <v>176.91</v>
      </c>
    </row>
    <row r="840" spans="1:14" x14ac:dyDescent="0.35">
      <c r="A840" t="s">
        <v>894</v>
      </c>
      <c r="B840" s="2">
        <v>45972</v>
      </c>
      <c r="C840" t="s">
        <v>25</v>
      </c>
      <c r="D840" t="s">
        <v>97</v>
      </c>
      <c r="E840" t="s">
        <v>17</v>
      </c>
      <c r="F840" t="s">
        <v>34</v>
      </c>
      <c r="G840" t="s">
        <v>29</v>
      </c>
      <c r="H840" t="s">
        <v>23</v>
      </c>
      <c r="I840">
        <v>7</v>
      </c>
      <c r="J840" s="3">
        <v>20</v>
      </c>
      <c r="K840" s="4">
        <v>0.1</v>
      </c>
      <c r="L840" s="3">
        <v>126</v>
      </c>
      <c r="M840" s="3">
        <v>83.3</v>
      </c>
      <c r="N840" s="3">
        <v>42.7</v>
      </c>
    </row>
    <row r="841" spans="1:14" x14ac:dyDescent="0.35">
      <c r="A841" t="s">
        <v>895</v>
      </c>
      <c r="B841" s="2">
        <v>45972</v>
      </c>
      <c r="C841" t="s">
        <v>15</v>
      </c>
      <c r="D841" t="s">
        <v>46</v>
      </c>
      <c r="E841" t="s">
        <v>37</v>
      </c>
      <c r="F841" t="s">
        <v>38</v>
      </c>
      <c r="G841" t="s">
        <v>19</v>
      </c>
      <c r="H841" t="s">
        <v>30</v>
      </c>
      <c r="I841">
        <v>8</v>
      </c>
      <c r="J841" s="3">
        <v>59.13</v>
      </c>
      <c r="K841" s="4">
        <v>0</v>
      </c>
      <c r="L841" s="3">
        <v>473.04</v>
      </c>
      <c r="M841" s="3">
        <v>235.69</v>
      </c>
      <c r="N841" s="3">
        <v>237.35</v>
      </c>
    </row>
    <row r="842" spans="1:14" x14ac:dyDescent="0.35">
      <c r="A842" t="s">
        <v>896</v>
      </c>
      <c r="B842" s="2">
        <v>45973</v>
      </c>
      <c r="C842" t="s">
        <v>15</v>
      </c>
      <c r="D842" t="s">
        <v>59</v>
      </c>
      <c r="E842" t="s">
        <v>27</v>
      </c>
      <c r="F842" t="s">
        <v>68</v>
      </c>
      <c r="G842" t="s">
        <v>29</v>
      </c>
      <c r="H842" t="s">
        <v>20</v>
      </c>
      <c r="I842">
        <v>2</v>
      </c>
      <c r="J842" s="3">
        <v>34.71</v>
      </c>
      <c r="K842" s="4">
        <v>0.15</v>
      </c>
      <c r="L842" s="3">
        <v>59.01</v>
      </c>
      <c r="M842" s="3">
        <v>51.07</v>
      </c>
      <c r="N842" s="3">
        <v>7.94</v>
      </c>
    </row>
    <row r="843" spans="1:14" x14ac:dyDescent="0.35">
      <c r="A843" t="s">
        <v>897</v>
      </c>
      <c r="B843" s="2">
        <v>45973</v>
      </c>
      <c r="C843" t="s">
        <v>15</v>
      </c>
      <c r="D843" t="s">
        <v>59</v>
      </c>
      <c r="E843" t="s">
        <v>37</v>
      </c>
      <c r="F843" t="s">
        <v>42</v>
      </c>
      <c r="G843" t="s">
        <v>22</v>
      </c>
      <c r="H843" t="s">
        <v>30</v>
      </c>
      <c r="I843">
        <v>1</v>
      </c>
      <c r="J843" s="3">
        <v>16.91</v>
      </c>
      <c r="K843" s="4">
        <v>0</v>
      </c>
      <c r="L843" s="3">
        <v>16.91</v>
      </c>
      <c r="M843" s="3">
        <v>10.9</v>
      </c>
      <c r="N843" s="3">
        <v>6.01</v>
      </c>
    </row>
    <row r="844" spans="1:14" x14ac:dyDescent="0.35">
      <c r="A844" t="s">
        <v>898</v>
      </c>
      <c r="B844" s="2">
        <v>45973</v>
      </c>
      <c r="C844" t="s">
        <v>32</v>
      </c>
      <c r="D844" t="s">
        <v>33</v>
      </c>
      <c r="E844" t="s">
        <v>27</v>
      </c>
      <c r="F844" t="s">
        <v>79</v>
      </c>
      <c r="G844" t="s">
        <v>19</v>
      </c>
      <c r="H844" t="s">
        <v>20</v>
      </c>
      <c r="I844">
        <v>6</v>
      </c>
      <c r="J844" s="3">
        <v>95.86</v>
      </c>
      <c r="K844" s="4">
        <v>0.15</v>
      </c>
      <c r="L844" s="3">
        <v>488.89</v>
      </c>
      <c r="M844" s="3">
        <v>283.86</v>
      </c>
      <c r="N844" s="3">
        <v>205.03</v>
      </c>
    </row>
    <row r="845" spans="1:14" x14ac:dyDescent="0.35">
      <c r="A845" t="s">
        <v>899</v>
      </c>
      <c r="B845" s="2">
        <v>45974</v>
      </c>
      <c r="C845" t="s">
        <v>40</v>
      </c>
      <c r="D845" t="s">
        <v>50</v>
      </c>
      <c r="E845" t="s">
        <v>37</v>
      </c>
      <c r="F845" t="s">
        <v>38</v>
      </c>
      <c r="G845" t="s">
        <v>19</v>
      </c>
      <c r="H845" t="s">
        <v>20</v>
      </c>
      <c r="I845">
        <v>2</v>
      </c>
      <c r="J845" s="3">
        <v>61.86</v>
      </c>
      <c r="K845" s="4">
        <v>0.1</v>
      </c>
      <c r="L845" s="3">
        <v>111.35</v>
      </c>
      <c r="M845" s="3">
        <v>66.760000000000005</v>
      </c>
      <c r="N845" s="3">
        <v>44.59</v>
      </c>
    </row>
    <row r="846" spans="1:14" x14ac:dyDescent="0.35">
      <c r="A846" t="s">
        <v>900</v>
      </c>
      <c r="B846" s="2">
        <v>45974</v>
      </c>
      <c r="C846" t="s">
        <v>25</v>
      </c>
      <c r="D846" t="s">
        <v>74</v>
      </c>
      <c r="E846" t="s">
        <v>37</v>
      </c>
      <c r="F846" t="s">
        <v>51</v>
      </c>
      <c r="G846" t="s">
        <v>29</v>
      </c>
      <c r="H846" t="s">
        <v>30</v>
      </c>
      <c r="I846">
        <v>7</v>
      </c>
      <c r="J846" s="3">
        <v>29.26</v>
      </c>
      <c r="K846" s="4">
        <v>0.15</v>
      </c>
      <c r="L846" s="3">
        <v>174.1</v>
      </c>
      <c r="M846" s="3">
        <v>135.49</v>
      </c>
      <c r="N846" s="3">
        <v>38.61</v>
      </c>
    </row>
    <row r="847" spans="1:14" x14ac:dyDescent="0.35">
      <c r="A847" t="s">
        <v>901</v>
      </c>
      <c r="B847" s="2">
        <v>45974</v>
      </c>
      <c r="C847" t="s">
        <v>40</v>
      </c>
      <c r="D847" t="s">
        <v>50</v>
      </c>
      <c r="E847" t="s">
        <v>27</v>
      </c>
      <c r="F847" t="s">
        <v>79</v>
      </c>
      <c r="G847" t="s">
        <v>22</v>
      </c>
      <c r="H847" t="s">
        <v>23</v>
      </c>
      <c r="I847">
        <v>12</v>
      </c>
      <c r="J847" s="3">
        <v>111.76</v>
      </c>
      <c r="K847" s="4">
        <v>0</v>
      </c>
      <c r="L847" s="3">
        <v>1341.12</v>
      </c>
      <c r="M847" s="3">
        <v>858.41</v>
      </c>
      <c r="N847" s="3">
        <v>482.71</v>
      </c>
    </row>
    <row r="848" spans="1:14" x14ac:dyDescent="0.35">
      <c r="A848" t="s">
        <v>902</v>
      </c>
      <c r="B848" s="2">
        <v>45975</v>
      </c>
      <c r="C848" t="s">
        <v>32</v>
      </c>
      <c r="D848" t="s">
        <v>33</v>
      </c>
      <c r="E848" t="s">
        <v>37</v>
      </c>
      <c r="F848" t="s">
        <v>75</v>
      </c>
      <c r="G848" t="s">
        <v>22</v>
      </c>
      <c r="H848" t="s">
        <v>20</v>
      </c>
      <c r="I848">
        <v>11</v>
      </c>
      <c r="J848" s="3">
        <v>25.3</v>
      </c>
      <c r="K848" s="4">
        <v>0.15</v>
      </c>
      <c r="L848" s="3">
        <v>236.56</v>
      </c>
      <c r="M848" s="3">
        <v>160</v>
      </c>
      <c r="N848" s="3">
        <v>76.56</v>
      </c>
    </row>
    <row r="849" spans="1:14" x14ac:dyDescent="0.35">
      <c r="A849" t="s">
        <v>903</v>
      </c>
      <c r="B849" s="2">
        <v>45975</v>
      </c>
      <c r="C849" t="s">
        <v>25</v>
      </c>
      <c r="D849" t="s">
        <v>26</v>
      </c>
      <c r="E849" t="s">
        <v>53</v>
      </c>
      <c r="F849" t="s">
        <v>66</v>
      </c>
      <c r="G849" t="s">
        <v>19</v>
      </c>
      <c r="H849" t="s">
        <v>30</v>
      </c>
      <c r="I849">
        <v>8</v>
      </c>
      <c r="J849" s="3">
        <v>20.88</v>
      </c>
      <c r="K849" s="4">
        <v>0.15</v>
      </c>
      <c r="L849" s="3">
        <v>141.97999999999999</v>
      </c>
      <c r="M849" s="3">
        <v>104.18</v>
      </c>
      <c r="N849" s="3">
        <v>37.799999999999997</v>
      </c>
    </row>
    <row r="850" spans="1:14" x14ac:dyDescent="0.35">
      <c r="A850" t="s">
        <v>904</v>
      </c>
      <c r="B850" s="2">
        <v>45976</v>
      </c>
      <c r="C850" t="s">
        <v>40</v>
      </c>
      <c r="D850" t="s">
        <v>71</v>
      </c>
      <c r="E850" t="s">
        <v>27</v>
      </c>
      <c r="F850" t="s">
        <v>48</v>
      </c>
      <c r="G850" t="s">
        <v>19</v>
      </c>
      <c r="H850" t="s">
        <v>30</v>
      </c>
      <c r="I850">
        <v>12</v>
      </c>
      <c r="J850" s="3">
        <v>260.7</v>
      </c>
      <c r="K850" s="4">
        <v>0</v>
      </c>
      <c r="L850" s="3">
        <v>3128.4</v>
      </c>
      <c r="M850" s="3">
        <v>1771.94</v>
      </c>
      <c r="N850" s="3">
        <v>1356.46</v>
      </c>
    </row>
    <row r="851" spans="1:14" x14ac:dyDescent="0.35">
      <c r="A851" t="s">
        <v>905</v>
      </c>
      <c r="B851" s="2">
        <v>45976</v>
      </c>
      <c r="C851" t="s">
        <v>25</v>
      </c>
      <c r="D851" t="s">
        <v>74</v>
      </c>
      <c r="E851" t="s">
        <v>17</v>
      </c>
      <c r="F851" t="s">
        <v>18</v>
      </c>
      <c r="G851" t="s">
        <v>29</v>
      </c>
      <c r="H851" t="s">
        <v>30</v>
      </c>
      <c r="I851">
        <v>12</v>
      </c>
      <c r="J851" s="3">
        <v>86.4</v>
      </c>
      <c r="K851" s="4">
        <v>0.15</v>
      </c>
      <c r="L851" s="3">
        <v>881.28</v>
      </c>
      <c r="M851" s="3">
        <v>537.89</v>
      </c>
      <c r="N851" s="3">
        <v>343.39</v>
      </c>
    </row>
    <row r="852" spans="1:14" x14ac:dyDescent="0.35">
      <c r="A852" t="s">
        <v>906</v>
      </c>
      <c r="B852" s="2">
        <v>45977</v>
      </c>
      <c r="C852" t="s">
        <v>25</v>
      </c>
      <c r="D852" t="s">
        <v>26</v>
      </c>
      <c r="E852" t="s">
        <v>27</v>
      </c>
      <c r="F852" t="s">
        <v>79</v>
      </c>
      <c r="G852" t="s">
        <v>29</v>
      </c>
      <c r="H852" t="s">
        <v>20</v>
      </c>
      <c r="I852">
        <v>2</v>
      </c>
      <c r="J852" s="3">
        <v>119.76</v>
      </c>
      <c r="K852" s="4">
        <v>0.15</v>
      </c>
      <c r="L852" s="3">
        <v>203.59</v>
      </c>
      <c r="M852" s="3">
        <v>147.31</v>
      </c>
      <c r="N852" s="3">
        <v>56.28</v>
      </c>
    </row>
    <row r="853" spans="1:14" x14ac:dyDescent="0.35">
      <c r="A853" t="s">
        <v>907</v>
      </c>
      <c r="B853" s="2">
        <v>45977</v>
      </c>
      <c r="C853" t="s">
        <v>40</v>
      </c>
      <c r="D853" t="s">
        <v>41</v>
      </c>
      <c r="E853" t="s">
        <v>17</v>
      </c>
      <c r="F853" t="s">
        <v>44</v>
      </c>
      <c r="G853" t="s">
        <v>29</v>
      </c>
      <c r="H853" t="s">
        <v>30</v>
      </c>
      <c r="I853">
        <v>2</v>
      </c>
      <c r="J853" s="3">
        <v>14.41</v>
      </c>
      <c r="K853" s="4">
        <v>0</v>
      </c>
      <c r="L853" s="3">
        <v>28.82</v>
      </c>
      <c r="M853" s="3">
        <v>20.71</v>
      </c>
      <c r="N853" s="3">
        <v>8.11</v>
      </c>
    </row>
    <row r="854" spans="1:14" x14ac:dyDescent="0.35">
      <c r="A854" t="s">
        <v>908</v>
      </c>
      <c r="B854" s="2">
        <v>45978</v>
      </c>
      <c r="C854" t="s">
        <v>15</v>
      </c>
      <c r="D854" t="s">
        <v>59</v>
      </c>
      <c r="E854" t="s">
        <v>37</v>
      </c>
      <c r="F854" t="s">
        <v>42</v>
      </c>
      <c r="G854" t="s">
        <v>29</v>
      </c>
      <c r="H854" t="s">
        <v>23</v>
      </c>
      <c r="I854">
        <v>1</v>
      </c>
      <c r="J854" s="3">
        <v>20.65</v>
      </c>
      <c r="K854" s="4">
        <v>0</v>
      </c>
      <c r="L854" s="3">
        <v>20.65</v>
      </c>
      <c r="M854" s="3">
        <v>14.95</v>
      </c>
      <c r="N854" s="3">
        <v>5.7</v>
      </c>
    </row>
    <row r="855" spans="1:14" x14ac:dyDescent="0.35">
      <c r="A855" t="s">
        <v>909</v>
      </c>
      <c r="B855" s="2">
        <v>45978</v>
      </c>
      <c r="C855" t="s">
        <v>25</v>
      </c>
      <c r="D855" t="s">
        <v>26</v>
      </c>
      <c r="E855" t="s">
        <v>53</v>
      </c>
      <c r="F855" t="s">
        <v>115</v>
      </c>
      <c r="G855" t="s">
        <v>22</v>
      </c>
      <c r="H855" t="s">
        <v>23</v>
      </c>
      <c r="I855">
        <v>5</v>
      </c>
      <c r="J855" s="3">
        <v>13.43</v>
      </c>
      <c r="K855" s="4">
        <v>0</v>
      </c>
      <c r="L855" s="3">
        <v>67.150000000000006</v>
      </c>
      <c r="M855" s="3">
        <v>41.78</v>
      </c>
      <c r="N855" s="3">
        <v>25.37</v>
      </c>
    </row>
    <row r="856" spans="1:14" x14ac:dyDescent="0.35">
      <c r="A856" t="s">
        <v>910</v>
      </c>
      <c r="B856" s="2">
        <v>45978</v>
      </c>
      <c r="C856" t="s">
        <v>40</v>
      </c>
      <c r="D856" t="s">
        <v>41</v>
      </c>
      <c r="E856" t="s">
        <v>37</v>
      </c>
      <c r="F856" t="s">
        <v>51</v>
      </c>
      <c r="G856" t="s">
        <v>29</v>
      </c>
      <c r="H856" t="s">
        <v>20</v>
      </c>
      <c r="I856">
        <v>4</v>
      </c>
      <c r="J856" s="3">
        <v>36.24</v>
      </c>
      <c r="K856" s="4">
        <v>0</v>
      </c>
      <c r="L856" s="3">
        <v>144.96</v>
      </c>
      <c r="M856" s="3">
        <v>103.02</v>
      </c>
      <c r="N856" s="3">
        <v>41.94</v>
      </c>
    </row>
    <row r="857" spans="1:14" x14ac:dyDescent="0.35">
      <c r="A857" t="s">
        <v>911</v>
      </c>
      <c r="B857" s="2">
        <v>45978</v>
      </c>
      <c r="C857" t="s">
        <v>40</v>
      </c>
      <c r="D857" t="s">
        <v>71</v>
      </c>
      <c r="E857" t="s">
        <v>53</v>
      </c>
      <c r="F857" t="s">
        <v>54</v>
      </c>
      <c r="G857" t="s">
        <v>22</v>
      </c>
      <c r="H857" t="s">
        <v>30</v>
      </c>
      <c r="I857">
        <v>9</v>
      </c>
      <c r="J857" s="3">
        <v>7.91</v>
      </c>
      <c r="K857" s="4">
        <v>0.1</v>
      </c>
      <c r="L857" s="3">
        <v>64.069999999999993</v>
      </c>
      <c r="M857" s="3">
        <v>36.75</v>
      </c>
      <c r="N857" s="3">
        <v>27.32</v>
      </c>
    </row>
    <row r="858" spans="1:14" x14ac:dyDescent="0.35">
      <c r="A858" t="s">
        <v>912</v>
      </c>
      <c r="B858" s="2">
        <v>45979</v>
      </c>
      <c r="C858" t="s">
        <v>15</v>
      </c>
      <c r="D858" t="s">
        <v>59</v>
      </c>
      <c r="E858" t="s">
        <v>37</v>
      </c>
      <c r="F858" t="s">
        <v>42</v>
      </c>
      <c r="G858" t="s">
        <v>22</v>
      </c>
      <c r="H858" t="s">
        <v>23</v>
      </c>
      <c r="I858">
        <v>1</v>
      </c>
      <c r="J858" s="3">
        <v>15.95</v>
      </c>
      <c r="K858" s="4">
        <v>0.05</v>
      </c>
      <c r="L858" s="3">
        <v>15.15</v>
      </c>
      <c r="M858" s="3">
        <v>8.15</v>
      </c>
      <c r="N858" s="3">
        <v>7</v>
      </c>
    </row>
    <row r="859" spans="1:14" x14ac:dyDescent="0.35">
      <c r="A859" t="s">
        <v>913</v>
      </c>
      <c r="B859" s="2">
        <v>45979</v>
      </c>
      <c r="C859" t="s">
        <v>15</v>
      </c>
      <c r="D859" t="s">
        <v>16</v>
      </c>
      <c r="E859" t="s">
        <v>37</v>
      </c>
      <c r="F859" t="s">
        <v>38</v>
      </c>
      <c r="G859" t="s">
        <v>19</v>
      </c>
      <c r="H859" t="s">
        <v>30</v>
      </c>
      <c r="I859">
        <v>7</v>
      </c>
      <c r="J859" s="3">
        <v>65.41</v>
      </c>
      <c r="K859" s="4">
        <v>0.15</v>
      </c>
      <c r="L859" s="3">
        <v>389.19</v>
      </c>
      <c r="M859" s="3">
        <v>347.76</v>
      </c>
      <c r="N859" s="3">
        <v>41.43</v>
      </c>
    </row>
    <row r="860" spans="1:14" x14ac:dyDescent="0.35">
      <c r="A860" t="s">
        <v>914</v>
      </c>
      <c r="B860" s="2">
        <v>45979</v>
      </c>
      <c r="C860" t="s">
        <v>25</v>
      </c>
      <c r="D860" t="s">
        <v>97</v>
      </c>
      <c r="E860" t="s">
        <v>53</v>
      </c>
      <c r="F860" t="s">
        <v>115</v>
      </c>
      <c r="G860" t="s">
        <v>29</v>
      </c>
      <c r="H860" t="s">
        <v>20</v>
      </c>
      <c r="I860">
        <v>3</v>
      </c>
      <c r="J860" s="3">
        <v>10.82</v>
      </c>
      <c r="K860" s="4">
        <v>0.05</v>
      </c>
      <c r="L860" s="3">
        <v>30.84</v>
      </c>
      <c r="M860" s="3">
        <v>15.94</v>
      </c>
      <c r="N860" s="3">
        <v>14.9</v>
      </c>
    </row>
    <row r="861" spans="1:14" x14ac:dyDescent="0.35">
      <c r="A861" t="s">
        <v>915</v>
      </c>
      <c r="B861" s="2">
        <v>45979</v>
      </c>
      <c r="C861" t="s">
        <v>25</v>
      </c>
      <c r="D861" t="s">
        <v>74</v>
      </c>
      <c r="E861" t="s">
        <v>53</v>
      </c>
      <c r="F861" t="s">
        <v>115</v>
      </c>
      <c r="G861" t="s">
        <v>19</v>
      </c>
      <c r="H861" t="s">
        <v>20</v>
      </c>
      <c r="I861">
        <v>12</v>
      </c>
      <c r="J861" s="3">
        <v>13.44</v>
      </c>
      <c r="K861" s="4">
        <v>0.15</v>
      </c>
      <c r="L861" s="3">
        <v>137.09</v>
      </c>
      <c r="M861" s="3">
        <v>116.39</v>
      </c>
      <c r="N861" s="3">
        <v>20.7</v>
      </c>
    </row>
    <row r="862" spans="1:14" x14ac:dyDescent="0.35">
      <c r="A862" t="s">
        <v>916</v>
      </c>
      <c r="B862" s="2">
        <v>45981</v>
      </c>
      <c r="C862" t="s">
        <v>32</v>
      </c>
      <c r="D862" t="s">
        <v>36</v>
      </c>
      <c r="E862" t="s">
        <v>27</v>
      </c>
      <c r="F862" t="s">
        <v>48</v>
      </c>
      <c r="G862" t="s">
        <v>29</v>
      </c>
      <c r="H862" t="s">
        <v>30</v>
      </c>
      <c r="I862">
        <v>7</v>
      </c>
      <c r="J862" s="3">
        <v>262.13</v>
      </c>
      <c r="K862" s="4">
        <v>0</v>
      </c>
      <c r="L862" s="3">
        <v>1834.91</v>
      </c>
      <c r="M862" s="3">
        <v>1102.52</v>
      </c>
      <c r="N862" s="3">
        <v>732.39</v>
      </c>
    </row>
    <row r="863" spans="1:14" x14ac:dyDescent="0.35">
      <c r="A863" t="s">
        <v>917</v>
      </c>
      <c r="B863" s="2">
        <v>45982</v>
      </c>
      <c r="C863" t="s">
        <v>15</v>
      </c>
      <c r="D863" t="s">
        <v>59</v>
      </c>
      <c r="E863" t="s">
        <v>53</v>
      </c>
      <c r="F863" t="s">
        <v>83</v>
      </c>
      <c r="G863" t="s">
        <v>22</v>
      </c>
      <c r="H863" t="s">
        <v>30</v>
      </c>
      <c r="I863">
        <v>4</v>
      </c>
      <c r="J863" s="3">
        <v>14.45</v>
      </c>
      <c r="K863" s="4">
        <v>0</v>
      </c>
      <c r="L863" s="3">
        <v>57.8</v>
      </c>
      <c r="M863" s="3">
        <v>37.83</v>
      </c>
      <c r="N863" s="3">
        <v>19.97</v>
      </c>
    </row>
    <row r="864" spans="1:14" x14ac:dyDescent="0.35">
      <c r="A864" t="s">
        <v>918</v>
      </c>
      <c r="B864" s="2">
        <v>45982</v>
      </c>
      <c r="C864" t="s">
        <v>32</v>
      </c>
      <c r="D864" t="s">
        <v>33</v>
      </c>
      <c r="E864" t="s">
        <v>37</v>
      </c>
      <c r="F864" t="s">
        <v>42</v>
      </c>
      <c r="G864" t="s">
        <v>19</v>
      </c>
      <c r="H864" t="s">
        <v>30</v>
      </c>
      <c r="I864">
        <v>7</v>
      </c>
      <c r="J864" s="3">
        <v>20.93</v>
      </c>
      <c r="K864" s="4">
        <v>0.05</v>
      </c>
      <c r="L864" s="3">
        <v>139.18</v>
      </c>
      <c r="M864" s="3">
        <v>93.66</v>
      </c>
      <c r="N864" s="3">
        <v>45.52</v>
      </c>
    </row>
    <row r="865" spans="1:14" x14ac:dyDescent="0.35">
      <c r="A865" t="s">
        <v>919</v>
      </c>
      <c r="B865" s="2">
        <v>45982</v>
      </c>
      <c r="C865" t="s">
        <v>15</v>
      </c>
      <c r="D865" t="s">
        <v>59</v>
      </c>
      <c r="E865" t="s">
        <v>27</v>
      </c>
      <c r="F865" t="s">
        <v>48</v>
      </c>
      <c r="G865" t="s">
        <v>22</v>
      </c>
      <c r="H865" t="s">
        <v>20</v>
      </c>
      <c r="I865">
        <v>10</v>
      </c>
      <c r="J865" s="3">
        <v>269.27999999999997</v>
      </c>
      <c r="K865" s="4">
        <v>0.1</v>
      </c>
      <c r="L865" s="3">
        <v>2423.52</v>
      </c>
      <c r="M865" s="3">
        <v>1700.95</v>
      </c>
      <c r="N865" s="3">
        <v>722.57</v>
      </c>
    </row>
    <row r="866" spans="1:14" x14ac:dyDescent="0.35">
      <c r="A866" t="s">
        <v>920</v>
      </c>
      <c r="B866" s="2">
        <v>45982</v>
      </c>
      <c r="C866" t="s">
        <v>40</v>
      </c>
      <c r="D866" t="s">
        <v>50</v>
      </c>
      <c r="E866" t="s">
        <v>53</v>
      </c>
      <c r="F866" t="s">
        <v>54</v>
      </c>
      <c r="G866" t="s">
        <v>22</v>
      </c>
      <c r="H866" t="s">
        <v>20</v>
      </c>
      <c r="I866">
        <v>3</v>
      </c>
      <c r="J866" s="3">
        <v>7.06</v>
      </c>
      <c r="K866" s="4">
        <v>0.15</v>
      </c>
      <c r="L866" s="3">
        <v>18</v>
      </c>
      <c r="M866" s="3">
        <v>13.65</v>
      </c>
      <c r="N866" s="3">
        <v>4.3499999999999996</v>
      </c>
    </row>
    <row r="867" spans="1:14" x14ac:dyDescent="0.35">
      <c r="A867" t="s">
        <v>921</v>
      </c>
      <c r="B867" s="2">
        <v>45983</v>
      </c>
      <c r="C867" t="s">
        <v>25</v>
      </c>
      <c r="D867" t="s">
        <v>26</v>
      </c>
      <c r="E867" t="s">
        <v>37</v>
      </c>
      <c r="F867" t="s">
        <v>75</v>
      </c>
      <c r="G867" t="s">
        <v>19</v>
      </c>
      <c r="H867" t="s">
        <v>23</v>
      </c>
      <c r="I867">
        <v>12</v>
      </c>
      <c r="J867" s="3">
        <v>22.99</v>
      </c>
      <c r="K867" s="4">
        <v>0</v>
      </c>
      <c r="L867" s="3">
        <v>275.88</v>
      </c>
      <c r="M867" s="3">
        <v>181.93</v>
      </c>
      <c r="N867" s="3">
        <v>93.95</v>
      </c>
    </row>
    <row r="868" spans="1:14" x14ac:dyDescent="0.35">
      <c r="A868" t="s">
        <v>922</v>
      </c>
      <c r="B868" s="2">
        <v>45983</v>
      </c>
      <c r="C868" t="s">
        <v>32</v>
      </c>
      <c r="D868" t="s">
        <v>36</v>
      </c>
      <c r="E868" t="s">
        <v>17</v>
      </c>
      <c r="F868" t="s">
        <v>87</v>
      </c>
      <c r="G868" t="s">
        <v>29</v>
      </c>
      <c r="H868" t="s">
        <v>20</v>
      </c>
      <c r="I868">
        <v>7</v>
      </c>
      <c r="J868" s="3">
        <v>12.76</v>
      </c>
      <c r="K868" s="4">
        <v>0.15</v>
      </c>
      <c r="L868" s="3">
        <v>75.92</v>
      </c>
      <c r="M868" s="3">
        <v>68.739999999999995</v>
      </c>
      <c r="N868" s="3">
        <v>7.18</v>
      </c>
    </row>
    <row r="869" spans="1:14" x14ac:dyDescent="0.35">
      <c r="A869" t="s">
        <v>923</v>
      </c>
      <c r="B869" s="2">
        <v>45984</v>
      </c>
      <c r="C869" t="s">
        <v>15</v>
      </c>
      <c r="D869" t="s">
        <v>16</v>
      </c>
      <c r="E869" t="s">
        <v>27</v>
      </c>
      <c r="F869" t="s">
        <v>28</v>
      </c>
      <c r="G869" t="s">
        <v>19</v>
      </c>
      <c r="H869" t="s">
        <v>20</v>
      </c>
      <c r="I869">
        <v>8</v>
      </c>
      <c r="J869" s="3">
        <v>166.07</v>
      </c>
      <c r="K869" s="4">
        <v>0.05</v>
      </c>
      <c r="L869" s="3">
        <v>1262.1300000000001</v>
      </c>
      <c r="M869" s="3">
        <v>950.54</v>
      </c>
      <c r="N869" s="3">
        <v>311.58999999999997</v>
      </c>
    </row>
    <row r="870" spans="1:14" x14ac:dyDescent="0.35">
      <c r="A870" t="s">
        <v>924</v>
      </c>
      <c r="B870" s="2">
        <v>45984</v>
      </c>
      <c r="C870" t="s">
        <v>25</v>
      </c>
      <c r="D870" t="s">
        <v>74</v>
      </c>
      <c r="E870" t="s">
        <v>17</v>
      </c>
      <c r="F870" t="s">
        <v>34</v>
      </c>
      <c r="G870" t="s">
        <v>29</v>
      </c>
      <c r="H870" t="s">
        <v>20</v>
      </c>
      <c r="I870">
        <v>1</v>
      </c>
      <c r="J870" s="3">
        <v>17.05</v>
      </c>
      <c r="K870" s="4">
        <v>0.15</v>
      </c>
      <c r="L870" s="3">
        <v>14.49</v>
      </c>
      <c r="M870" s="3">
        <v>10.29</v>
      </c>
      <c r="N870" s="3">
        <v>4.2</v>
      </c>
    </row>
    <row r="871" spans="1:14" x14ac:dyDescent="0.35">
      <c r="A871" t="s">
        <v>925</v>
      </c>
      <c r="B871" s="2">
        <v>45985</v>
      </c>
      <c r="C871" t="s">
        <v>25</v>
      </c>
      <c r="D871" t="s">
        <v>97</v>
      </c>
      <c r="E871" t="s">
        <v>37</v>
      </c>
      <c r="F871" t="s">
        <v>42</v>
      </c>
      <c r="G871" t="s">
        <v>29</v>
      </c>
      <c r="H871" t="s">
        <v>20</v>
      </c>
      <c r="I871">
        <v>12</v>
      </c>
      <c r="J871" s="3">
        <v>17.03</v>
      </c>
      <c r="K871" s="4">
        <v>0</v>
      </c>
      <c r="L871" s="3">
        <v>204.36</v>
      </c>
      <c r="M871" s="3">
        <v>106.65</v>
      </c>
      <c r="N871" s="3">
        <v>97.71</v>
      </c>
    </row>
    <row r="872" spans="1:14" x14ac:dyDescent="0.35">
      <c r="A872" t="s">
        <v>926</v>
      </c>
      <c r="B872" s="2">
        <v>45985</v>
      </c>
      <c r="C872" t="s">
        <v>15</v>
      </c>
      <c r="D872" t="s">
        <v>16</v>
      </c>
      <c r="E872" t="s">
        <v>53</v>
      </c>
      <c r="F872" t="s">
        <v>66</v>
      </c>
      <c r="G872" t="s">
        <v>29</v>
      </c>
      <c r="H872" t="s">
        <v>23</v>
      </c>
      <c r="I872">
        <v>4</v>
      </c>
      <c r="J872" s="3">
        <v>19.27</v>
      </c>
      <c r="K872" s="4">
        <v>0.05</v>
      </c>
      <c r="L872" s="3">
        <v>73.23</v>
      </c>
      <c r="M872" s="3">
        <v>49.31</v>
      </c>
      <c r="N872" s="3">
        <v>23.92</v>
      </c>
    </row>
    <row r="873" spans="1:14" x14ac:dyDescent="0.35">
      <c r="A873" t="s">
        <v>927</v>
      </c>
      <c r="B873" s="2">
        <v>45986</v>
      </c>
      <c r="C873" t="s">
        <v>32</v>
      </c>
      <c r="D873" t="s">
        <v>33</v>
      </c>
      <c r="E873" t="s">
        <v>17</v>
      </c>
      <c r="F873" t="s">
        <v>18</v>
      </c>
      <c r="G873" t="s">
        <v>22</v>
      </c>
      <c r="H873" t="s">
        <v>23</v>
      </c>
      <c r="I873">
        <v>1</v>
      </c>
      <c r="J873" s="3">
        <v>64.11</v>
      </c>
      <c r="K873" s="4">
        <v>0.05</v>
      </c>
      <c r="L873" s="3">
        <v>60.9</v>
      </c>
      <c r="M873" s="3">
        <v>34.21</v>
      </c>
      <c r="N873" s="3">
        <v>26.69</v>
      </c>
    </row>
    <row r="874" spans="1:14" x14ac:dyDescent="0.35">
      <c r="A874" t="s">
        <v>928</v>
      </c>
      <c r="B874" s="2">
        <v>45986</v>
      </c>
      <c r="C874" t="s">
        <v>15</v>
      </c>
      <c r="D874" t="s">
        <v>16</v>
      </c>
      <c r="E874" t="s">
        <v>17</v>
      </c>
      <c r="F874" t="s">
        <v>18</v>
      </c>
      <c r="G874" t="s">
        <v>19</v>
      </c>
      <c r="H874" t="s">
        <v>30</v>
      </c>
      <c r="I874">
        <v>6</v>
      </c>
      <c r="J874" s="3">
        <v>64.58</v>
      </c>
      <c r="K874" s="4">
        <v>0.05</v>
      </c>
      <c r="L874" s="3">
        <v>368.11</v>
      </c>
      <c r="M874" s="3">
        <v>288.04000000000002</v>
      </c>
      <c r="N874" s="3">
        <v>80.069999999999993</v>
      </c>
    </row>
    <row r="875" spans="1:14" x14ac:dyDescent="0.35">
      <c r="A875" t="s">
        <v>929</v>
      </c>
      <c r="B875" s="2">
        <v>45986</v>
      </c>
      <c r="C875" t="s">
        <v>15</v>
      </c>
      <c r="D875" t="s">
        <v>59</v>
      </c>
      <c r="E875" t="s">
        <v>53</v>
      </c>
      <c r="F875" t="s">
        <v>54</v>
      </c>
      <c r="G875" t="s">
        <v>29</v>
      </c>
      <c r="H875" t="s">
        <v>20</v>
      </c>
      <c r="I875">
        <v>5</v>
      </c>
      <c r="J875" s="3">
        <v>7.35</v>
      </c>
      <c r="K875" s="4">
        <v>0</v>
      </c>
      <c r="L875" s="3">
        <v>36.75</v>
      </c>
      <c r="M875" s="3">
        <v>23.58</v>
      </c>
      <c r="N875" s="3">
        <v>13.17</v>
      </c>
    </row>
    <row r="876" spans="1:14" x14ac:dyDescent="0.35">
      <c r="A876" t="s">
        <v>930</v>
      </c>
      <c r="B876" s="2">
        <v>45986</v>
      </c>
      <c r="C876" t="s">
        <v>32</v>
      </c>
      <c r="D876" t="s">
        <v>33</v>
      </c>
      <c r="E876" t="s">
        <v>17</v>
      </c>
      <c r="F876" t="s">
        <v>34</v>
      </c>
      <c r="G876" t="s">
        <v>22</v>
      </c>
      <c r="H876" t="s">
        <v>20</v>
      </c>
      <c r="I876">
        <v>9</v>
      </c>
      <c r="J876" s="3">
        <v>21.37</v>
      </c>
      <c r="K876" s="4">
        <v>0.15</v>
      </c>
      <c r="L876" s="3">
        <v>163.47999999999999</v>
      </c>
      <c r="M876" s="3">
        <v>107.09</v>
      </c>
      <c r="N876" s="3">
        <v>56.39</v>
      </c>
    </row>
    <row r="877" spans="1:14" x14ac:dyDescent="0.35">
      <c r="A877" t="s">
        <v>931</v>
      </c>
      <c r="B877" s="2">
        <v>45986</v>
      </c>
      <c r="C877" t="s">
        <v>40</v>
      </c>
      <c r="D877" t="s">
        <v>50</v>
      </c>
      <c r="E877" t="s">
        <v>37</v>
      </c>
      <c r="F877" t="s">
        <v>42</v>
      </c>
      <c r="G877" t="s">
        <v>22</v>
      </c>
      <c r="H877" t="s">
        <v>20</v>
      </c>
      <c r="I877">
        <v>6</v>
      </c>
      <c r="J877" s="3">
        <v>16.829999999999998</v>
      </c>
      <c r="K877" s="4">
        <v>0</v>
      </c>
      <c r="L877" s="3">
        <v>100.98</v>
      </c>
      <c r="M877" s="3">
        <v>72.31</v>
      </c>
      <c r="N877" s="3">
        <v>28.67</v>
      </c>
    </row>
    <row r="878" spans="1:14" x14ac:dyDescent="0.35">
      <c r="A878" t="s">
        <v>932</v>
      </c>
      <c r="B878" s="2">
        <v>45987</v>
      </c>
      <c r="C878" t="s">
        <v>40</v>
      </c>
      <c r="D878" t="s">
        <v>71</v>
      </c>
      <c r="E878" t="s">
        <v>17</v>
      </c>
      <c r="F878" t="s">
        <v>34</v>
      </c>
      <c r="G878" t="s">
        <v>19</v>
      </c>
      <c r="H878" t="s">
        <v>23</v>
      </c>
      <c r="I878">
        <v>12</v>
      </c>
      <c r="J878" s="3">
        <v>21.1</v>
      </c>
      <c r="K878" s="4">
        <v>0</v>
      </c>
      <c r="L878" s="3">
        <v>253.2</v>
      </c>
      <c r="M878" s="3">
        <v>160.91999999999999</v>
      </c>
      <c r="N878" s="3">
        <v>92.28</v>
      </c>
    </row>
    <row r="879" spans="1:14" x14ac:dyDescent="0.35">
      <c r="A879" t="s">
        <v>933</v>
      </c>
      <c r="B879" s="2">
        <v>45987</v>
      </c>
      <c r="C879" t="s">
        <v>32</v>
      </c>
      <c r="D879" t="s">
        <v>36</v>
      </c>
      <c r="E879" t="s">
        <v>37</v>
      </c>
      <c r="F879" t="s">
        <v>75</v>
      </c>
      <c r="G879" t="s">
        <v>22</v>
      </c>
      <c r="H879" t="s">
        <v>30</v>
      </c>
      <c r="I879">
        <v>1</v>
      </c>
      <c r="J879" s="3">
        <v>20.86</v>
      </c>
      <c r="K879" s="4">
        <v>0</v>
      </c>
      <c r="L879" s="3">
        <v>20.86</v>
      </c>
      <c r="M879" s="3">
        <v>11.98</v>
      </c>
      <c r="N879" s="3">
        <v>8.8800000000000008</v>
      </c>
    </row>
    <row r="880" spans="1:14" x14ac:dyDescent="0.35">
      <c r="A880" t="s">
        <v>934</v>
      </c>
      <c r="B880" s="2">
        <v>45987</v>
      </c>
      <c r="C880" t="s">
        <v>15</v>
      </c>
      <c r="D880" t="s">
        <v>16</v>
      </c>
      <c r="E880" t="s">
        <v>17</v>
      </c>
      <c r="F880" t="s">
        <v>44</v>
      </c>
      <c r="G880" t="s">
        <v>19</v>
      </c>
      <c r="H880" t="s">
        <v>20</v>
      </c>
      <c r="I880">
        <v>5</v>
      </c>
      <c r="J880" s="3">
        <v>18.45</v>
      </c>
      <c r="K880" s="4">
        <v>0.1</v>
      </c>
      <c r="L880" s="3">
        <v>83.03</v>
      </c>
      <c r="M880" s="3">
        <v>57.32</v>
      </c>
      <c r="N880" s="3">
        <v>25.71</v>
      </c>
    </row>
    <row r="881" spans="1:14" x14ac:dyDescent="0.35">
      <c r="A881" t="s">
        <v>935</v>
      </c>
      <c r="B881" s="2">
        <v>45988</v>
      </c>
      <c r="C881" t="s">
        <v>40</v>
      </c>
      <c r="D881" t="s">
        <v>71</v>
      </c>
      <c r="E881" t="s">
        <v>37</v>
      </c>
      <c r="F881" t="s">
        <v>75</v>
      </c>
      <c r="G881" t="s">
        <v>19</v>
      </c>
      <c r="H881" t="s">
        <v>20</v>
      </c>
      <c r="I881">
        <v>8</v>
      </c>
      <c r="J881" s="3">
        <v>25.27</v>
      </c>
      <c r="K881" s="4">
        <v>0</v>
      </c>
      <c r="L881" s="3">
        <v>202.16</v>
      </c>
      <c r="M881" s="3">
        <v>124.31</v>
      </c>
      <c r="N881" s="3">
        <v>77.849999999999994</v>
      </c>
    </row>
    <row r="882" spans="1:14" x14ac:dyDescent="0.35">
      <c r="A882" t="s">
        <v>936</v>
      </c>
      <c r="B882" s="2">
        <v>45988</v>
      </c>
      <c r="C882" t="s">
        <v>32</v>
      </c>
      <c r="D882" t="s">
        <v>36</v>
      </c>
      <c r="E882" t="s">
        <v>37</v>
      </c>
      <c r="F882" t="s">
        <v>38</v>
      </c>
      <c r="G882" t="s">
        <v>19</v>
      </c>
      <c r="H882" t="s">
        <v>20</v>
      </c>
      <c r="I882">
        <v>4</v>
      </c>
      <c r="J882" s="3">
        <v>47.96</v>
      </c>
      <c r="K882" s="4">
        <v>0</v>
      </c>
      <c r="L882" s="3">
        <v>191.84</v>
      </c>
      <c r="M882" s="3">
        <v>140.13999999999999</v>
      </c>
      <c r="N882" s="3">
        <v>51.7</v>
      </c>
    </row>
    <row r="883" spans="1:14" x14ac:dyDescent="0.35">
      <c r="A883" t="s">
        <v>937</v>
      </c>
      <c r="B883" s="2">
        <v>45988</v>
      </c>
      <c r="C883" t="s">
        <v>25</v>
      </c>
      <c r="D883" t="s">
        <v>74</v>
      </c>
      <c r="E883" t="s">
        <v>37</v>
      </c>
      <c r="F883" t="s">
        <v>51</v>
      </c>
      <c r="G883" t="s">
        <v>29</v>
      </c>
      <c r="H883" t="s">
        <v>23</v>
      </c>
      <c r="I883">
        <v>8</v>
      </c>
      <c r="J883" s="3">
        <v>31.52</v>
      </c>
      <c r="K883" s="4">
        <v>0</v>
      </c>
      <c r="L883" s="3">
        <v>252.16</v>
      </c>
      <c r="M883" s="3">
        <v>158.83000000000001</v>
      </c>
      <c r="N883" s="3">
        <v>93.33</v>
      </c>
    </row>
    <row r="884" spans="1:14" x14ac:dyDescent="0.35">
      <c r="A884" t="s">
        <v>938</v>
      </c>
      <c r="B884" s="2">
        <v>45988</v>
      </c>
      <c r="C884" t="s">
        <v>15</v>
      </c>
      <c r="D884" t="s">
        <v>59</v>
      </c>
      <c r="E884" t="s">
        <v>17</v>
      </c>
      <c r="F884" t="s">
        <v>18</v>
      </c>
      <c r="G884" t="s">
        <v>19</v>
      </c>
      <c r="H884" t="s">
        <v>23</v>
      </c>
      <c r="I884">
        <v>8</v>
      </c>
      <c r="J884" s="3">
        <v>80.88</v>
      </c>
      <c r="K884" s="4">
        <v>0.05</v>
      </c>
      <c r="L884" s="3">
        <v>614.69000000000005</v>
      </c>
      <c r="M884" s="3">
        <v>455.75</v>
      </c>
      <c r="N884" s="3">
        <v>158.94</v>
      </c>
    </row>
    <row r="885" spans="1:14" x14ac:dyDescent="0.35">
      <c r="A885" t="s">
        <v>939</v>
      </c>
      <c r="B885" s="2">
        <v>45989</v>
      </c>
      <c r="C885" t="s">
        <v>40</v>
      </c>
      <c r="D885" t="s">
        <v>41</v>
      </c>
      <c r="E885" t="s">
        <v>27</v>
      </c>
      <c r="F885" t="s">
        <v>68</v>
      </c>
      <c r="G885" t="s">
        <v>22</v>
      </c>
      <c r="H885" t="s">
        <v>20</v>
      </c>
      <c r="I885">
        <v>1</v>
      </c>
      <c r="J885" s="3">
        <v>42.1</v>
      </c>
      <c r="K885" s="4">
        <v>0.05</v>
      </c>
      <c r="L885" s="3">
        <v>39.99</v>
      </c>
      <c r="M885" s="3">
        <v>27.38</v>
      </c>
      <c r="N885" s="3">
        <v>12.61</v>
      </c>
    </row>
    <row r="886" spans="1:14" x14ac:dyDescent="0.35">
      <c r="A886" t="s">
        <v>940</v>
      </c>
      <c r="B886" s="2">
        <v>45990</v>
      </c>
      <c r="C886" t="s">
        <v>15</v>
      </c>
      <c r="D886" t="s">
        <v>46</v>
      </c>
      <c r="E886" t="s">
        <v>27</v>
      </c>
      <c r="F886" t="s">
        <v>28</v>
      </c>
      <c r="G886" t="s">
        <v>22</v>
      </c>
      <c r="H886" t="s">
        <v>20</v>
      </c>
      <c r="I886">
        <v>2</v>
      </c>
      <c r="J886" s="3">
        <v>168.19</v>
      </c>
      <c r="K886" s="4">
        <v>0.1</v>
      </c>
      <c r="L886" s="3">
        <v>302.74</v>
      </c>
      <c r="M886" s="3">
        <v>191.89</v>
      </c>
      <c r="N886" s="3">
        <v>110.85</v>
      </c>
    </row>
    <row r="887" spans="1:14" x14ac:dyDescent="0.35">
      <c r="A887" t="s">
        <v>941</v>
      </c>
      <c r="B887" s="2">
        <v>45990</v>
      </c>
      <c r="C887" t="s">
        <v>40</v>
      </c>
      <c r="D887" t="s">
        <v>71</v>
      </c>
      <c r="E887" t="s">
        <v>17</v>
      </c>
      <c r="F887" t="s">
        <v>87</v>
      </c>
      <c r="G887" t="s">
        <v>29</v>
      </c>
      <c r="H887" t="s">
        <v>30</v>
      </c>
      <c r="I887">
        <v>8</v>
      </c>
      <c r="J887" s="3">
        <v>14.79</v>
      </c>
      <c r="K887" s="4">
        <v>0</v>
      </c>
      <c r="L887" s="3">
        <v>118.32</v>
      </c>
      <c r="M887" s="3">
        <v>83.73</v>
      </c>
      <c r="N887" s="3">
        <v>34.590000000000003</v>
      </c>
    </row>
    <row r="888" spans="1:14" x14ac:dyDescent="0.35">
      <c r="A888" t="s">
        <v>942</v>
      </c>
      <c r="B888" s="2">
        <v>45991</v>
      </c>
      <c r="C888" t="s">
        <v>40</v>
      </c>
      <c r="D888" t="s">
        <v>41</v>
      </c>
      <c r="E888" t="s">
        <v>37</v>
      </c>
      <c r="F888" t="s">
        <v>42</v>
      </c>
      <c r="G888" t="s">
        <v>22</v>
      </c>
      <c r="H888" t="s">
        <v>30</v>
      </c>
      <c r="I888">
        <v>4</v>
      </c>
      <c r="J888" s="3">
        <v>16.559999999999999</v>
      </c>
      <c r="K888" s="4">
        <v>0</v>
      </c>
      <c r="L888" s="3">
        <v>66.239999999999995</v>
      </c>
      <c r="M888" s="3">
        <v>44.14</v>
      </c>
      <c r="N888" s="3">
        <v>22.1</v>
      </c>
    </row>
    <row r="889" spans="1:14" x14ac:dyDescent="0.35">
      <c r="A889" t="s">
        <v>943</v>
      </c>
      <c r="B889" s="2">
        <v>45991</v>
      </c>
      <c r="C889" t="s">
        <v>40</v>
      </c>
      <c r="D889" t="s">
        <v>71</v>
      </c>
      <c r="E889" t="s">
        <v>53</v>
      </c>
      <c r="F889" t="s">
        <v>66</v>
      </c>
      <c r="G889" t="s">
        <v>19</v>
      </c>
      <c r="H889" t="s">
        <v>30</v>
      </c>
      <c r="I889">
        <v>6</v>
      </c>
      <c r="J889" s="3">
        <v>22.28</v>
      </c>
      <c r="K889" s="4">
        <v>0</v>
      </c>
      <c r="L889" s="3">
        <v>133.68</v>
      </c>
      <c r="M889" s="3">
        <v>83.38</v>
      </c>
      <c r="N889" s="3">
        <v>50.3</v>
      </c>
    </row>
    <row r="890" spans="1:14" x14ac:dyDescent="0.35">
      <c r="A890" t="s">
        <v>944</v>
      </c>
      <c r="B890" s="2">
        <v>45991</v>
      </c>
      <c r="C890" t="s">
        <v>40</v>
      </c>
      <c r="D890" t="s">
        <v>41</v>
      </c>
      <c r="E890" t="s">
        <v>37</v>
      </c>
      <c r="F890" t="s">
        <v>38</v>
      </c>
      <c r="G890" t="s">
        <v>19</v>
      </c>
      <c r="H890" t="s">
        <v>30</v>
      </c>
      <c r="I890">
        <v>12</v>
      </c>
      <c r="J890" s="3">
        <v>63.23</v>
      </c>
      <c r="K890" s="4">
        <v>0</v>
      </c>
      <c r="L890" s="3">
        <v>758.76</v>
      </c>
      <c r="M890" s="3">
        <v>518.61</v>
      </c>
      <c r="N890" s="3">
        <v>240.15</v>
      </c>
    </row>
    <row r="891" spans="1:14" x14ac:dyDescent="0.35">
      <c r="A891" t="s">
        <v>945</v>
      </c>
      <c r="B891" s="2">
        <v>45992</v>
      </c>
      <c r="C891" t="s">
        <v>40</v>
      </c>
      <c r="D891" t="s">
        <v>50</v>
      </c>
      <c r="E891" t="s">
        <v>17</v>
      </c>
      <c r="F891" t="s">
        <v>87</v>
      </c>
      <c r="G891" t="s">
        <v>19</v>
      </c>
      <c r="H891" t="s">
        <v>20</v>
      </c>
      <c r="I891">
        <v>12</v>
      </c>
      <c r="J891" s="3">
        <v>14.74</v>
      </c>
      <c r="K891" s="4">
        <v>0</v>
      </c>
      <c r="L891" s="3">
        <v>176.88</v>
      </c>
      <c r="M891" s="3">
        <v>86.86</v>
      </c>
      <c r="N891" s="3">
        <v>90.02</v>
      </c>
    </row>
    <row r="892" spans="1:14" x14ac:dyDescent="0.35">
      <c r="A892" t="s">
        <v>946</v>
      </c>
      <c r="B892" s="2">
        <v>45993</v>
      </c>
      <c r="C892" t="s">
        <v>15</v>
      </c>
      <c r="D892" t="s">
        <v>16</v>
      </c>
      <c r="E892" t="s">
        <v>17</v>
      </c>
      <c r="F892" t="s">
        <v>34</v>
      </c>
      <c r="G892" t="s">
        <v>22</v>
      </c>
      <c r="H892" t="s">
        <v>30</v>
      </c>
      <c r="I892">
        <v>1</v>
      </c>
      <c r="J892" s="3">
        <v>18.21</v>
      </c>
      <c r="K892" s="4">
        <v>0.1</v>
      </c>
      <c r="L892" s="3">
        <v>16.39</v>
      </c>
      <c r="M892" s="3">
        <v>9.5299999999999994</v>
      </c>
      <c r="N892" s="3">
        <v>6.86</v>
      </c>
    </row>
    <row r="893" spans="1:14" x14ac:dyDescent="0.35">
      <c r="A893" t="s">
        <v>947</v>
      </c>
      <c r="B893" s="2">
        <v>45993</v>
      </c>
      <c r="C893" t="s">
        <v>25</v>
      </c>
      <c r="D893" t="s">
        <v>26</v>
      </c>
      <c r="E893" t="s">
        <v>17</v>
      </c>
      <c r="F893" t="s">
        <v>87</v>
      </c>
      <c r="G893" t="s">
        <v>29</v>
      </c>
      <c r="H893" t="s">
        <v>30</v>
      </c>
      <c r="I893">
        <v>6</v>
      </c>
      <c r="J893" s="3">
        <v>13.12</v>
      </c>
      <c r="K893" s="4">
        <v>0.05</v>
      </c>
      <c r="L893" s="3">
        <v>74.78</v>
      </c>
      <c r="M893" s="3">
        <v>44.19</v>
      </c>
      <c r="N893" s="3">
        <v>30.59</v>
      </c>
    </row>
    <row r="894" spans="1:14" x14ac:dyDescent="0.35">
      <c r="A894" t="s">
        <v>948</v>
      </c>
      <c r="B894" s="2">
        <v>45993</v>
      </c>
      <c r="C894" t="s">
        <v>15</v>
      </c>
      <c r="D894" t="s">
        <v>16</v>
      </c>
      <c r="E894" t="s">
        <v>37</v>
      </c>
      <c r="F894" t="s">
        <v>38</v>
      </c>
      <c r="G894" t="s">
        <v>29</v>
      </c>
      <c r="H894" t="s">
        <v>23</v>
      </c>
      <c r="I894">
        <v>3</v>
      </c>
      <c r="J894" s="3">
        <v>65.760000000000005</v>
      </c>
      <c r="K894" s="4">
        <v>0.15</v>
      </c>
      <c r="L894" s="3">
        <v>167.69</v>
      </c>
      <c r="M894" s="3">
        <v>143.32</v>
      </c>
      <c r="N894" s="3">
        <v>24.37</v>
      </c>
    </row>
    <row r="895" spans="1:14" x14ac:dyDescent="0.35">
      <c r="A895" t="s">
        <v>949</v>
      </c>
      <c r="B895" s="2">
        <v>45993</v>
      </c>
      <c r="C895" t="s">
        <v>32</v>
      </c>
      <c r="D895" t="s">
        <v>36</v>
      </c>
      <c r="E895" t="s">
        <v>53</v>
      </c>
      <c r="F895" t="s">
        <v>66</v>
      </c>
      <c r="G895" t="s">
        <v>19</v>
      </c>
      <c r="H895" t="s">
        <v>20</v>
      </c>
      <c r="I895">
        <v>7</v>
      </c>
      <c r="J895" s="3">
        <v>20.51</v>
      </c>
      <c r="K895" s="4">
        <v>0</v>
      </c>
      <c r="L895" s="3">
        <v>143.57</v>
      </c>
      <c r="M895" s="3">
        <v>87.26</v>
      </c>
      <c r="N895" s="3">
        <v>56.31</v>
      </c>
    </row>
    <row r="896" spans="1:14" x14ac:dyDescent="0.35">
      <c r="A896" t="s">
        <v>950</v>
      </c>
      <c r="B896" s="2">
        <v>45993</v>
      </c>
      <c r="C896" t="s">
        <v>40</v>
      </c>
      <c r="D896" t="s">
        <v>41</v>
      </c>
      <c r="E896" t="s">
        <v>27</v>
      </c>
      <c r="F896" t="s">
        <v>28</v>
      </c>
      <c r="G896" t="s">
        <v>29</v>
      </c>
      <c r="H896" t="s">
        <v>30</v>
      </c>
      <c r="I896">
        <v>12</v>
      </c>
      <c r="J896" s="3">
        <v>167.32</v>
      </c>
      <c r="K896" s="4">
        <v>0.15</v>
      </c>
      <c r="L896" s="3">
        <v>1706.66</v>
      </c>
      <c r="M896" s="3">
        <v>1426.09</v>
      </c>
      <c r="N896" s="3">
        <v>280.57</v>
      </c>
    </row>
    <row r="897" spans="1:14" x14ac:dyDescent="0.35">
      <c r="A897" t="s">
        <v>951</v>
      </c>
      <c r="B897" s="2">
        <v>45993</v>
      </c>
      <c r="C897" t="s">
        <v>32</v>
      </c>
      <c r="D897" t="s">
        <v>33</v>
      </c>
      <c r="E897" t="s">
        <v>37</v>
      </c>
      <c r="F897" t="s">
        <v>38</v>
      </c>
      <c r="G897" t="s">
        <v>29</v>
      </c>
      <c r="H897" t="s">
        <v>23</v>
      </c>
      <c r="I897">
        <v>4</v>
      </c>
      <c r="J897" s="3">
        <v>52.62</v>
      </c>
      <c r="K897" s="4">
        <v>0</v>
      </c>
      <c r="L897" s="3">
        <v>210.48</v>
      </c>
      <c r="M897" s="3">
        <v>124.37</v>
      </c>
      <c r="N897" s="3">
        <v>86.11</v>
      </c>
    </row>
    <row r="898" spans="1:14" x14ac:dyDescent="0.35">
      <c r="A898" t="s">
        <v>952</v>
      </c>
      <c r="B898" s="2">
        <v>45993</v>
      </c>
      <c r="C898" t="s">
        <v>15</v>
      </c>
      <c r="D898" t="s">
        <v>59</v>
      </c>
      <c r="E898" t="s">
        <v>27</v>
      </c>
      <c r="F898" t="s">
        <v>79</v>
      </c>
      <c r="G898" t="s">
        <v>19</v>
      </c>
      <c r="H898" t="s">
        <v>30</v>
      </c>
      <c r="I898">
        <v>2</v>
      </c>
      <c r="J898" s="3">
        <v>124.27</v>
      </c>
      <c r="K898" s="4">
        <v>0.1</v>
      </c>
      <c r="L898" s="3">
        <v>223.69</v>
      </c>
      <c r="M898" s="3">
        <v>185.62</v>
      </c>
      <c r="N898" s="3">
        <v>38.07</v>
      </c>
    </row>
    <row r="899" spans="1:14" x14ac:dyDescent="0.35">
      <c r="A899" t="s">
        <v>953</v>
      </c>
      <c r="B899" s="2">
        <v>45993</v>
      </c>
      <c r="C899" t="s">
        <v>40</v>
      </c>
      <c r="D899" t="s">
        <v>50</v>
      </c>
      <c r="E899" t="s">
        <v>53</v>
      </c>
      <c r="F899" t="s">
        <v>54</v>
      </c>
      <c r="G899" t="s">
        <v>22</v>
      </c>
      <c r="H899" t="s">
        <v>20</v>
      </c>
      <c r="I899">
        <v>8</v>
      </c>
      <c r="J899" s="3">
        <v>8.75</v>
      </c>
      <c r="K899" s="4">
        <v>0.05</v>
      </c>
      <c r="L899" s="3">
        <v>66.5</v>
      </c>
      <c r="M899" s="3">
        <v>52.44</v>
      </c>
      <c r="N899" s="3">
        <v>14.06</v>
      </c>
    </row>
    <row r="900" spans="1:14" x14ac:dyDescent="0.35">
      <c r="A900" t="s">
        <v>954</v>
      </c>
      <c r="B900" s="2">
        <v>45993</v>
      </c>
      <c r="C900" t="s">
        <v>15</v>
      </c>
      <c r="D900" t="s">
        <v>46</v>
      </c>
      <c r="E900" t="s">
        <v>27</v>
      </c>
      <c r="F900" t="s">
        <v>48</v>
      </c>
      <c r="G900" t="s">
        <v>19</v>
      </c>
      <c r="H900" t="s">
        <v>30</v>
      </c>
      <c r="I900">
        <v>10</v>
      </c>
      <c r="J900" s="3">
        <v>281.58999999999997</v>
      </c>
      <c r="K900" s="4">
        <v>0.15</v>
      </c>
      <c r="L900" s="3">
        <v>2393.5100000000002</v>
      </c>
      <c r="M900" s="3">
        <v>2062.85</v>
      </c>
      <c r="N900" s="3">
        <v>330.66</v>
      </c>
    </row>
    <row r="901" spans="1:14" x14ac:dyDescent="0.35">
      <c r="A901" t="s">
        <v>955</v>
      </c>
      <c r="B901" s="2">
        <v>45993</v>
      </c>
      <c r="C901" t="s">
        <v>15</v>
      </c>
      <c r="D901" t="s">
        <v>46</v>
      </c>
      <c r="E901" t="s">
        <v>53</v>
      </c>
      <c r="F901" t="s">
        <v>83</v>
      </c>
      <c r="G901" t="s">
        <v>19</v>
      </c>
      <c r="H901" t="s">
        <v>30</v>
      </c>
      <c r="I901">
        <v>8</v>
      </c>
      <c r="J901" s="3">
        <v>17.41</v>
      </c>
      <c r="K901" s="4">
        <v>0.1</v>
      </c>
      <c r="L901" s="3">
        <v>125.35</v>
      </c>
      <c r="M901" s="3">
        <v>81.02</v>
      </c>
      <c r="N901" s="3">
        <v>44.33</v>
      </c>
    </row>
    <row r="902" spans="1:14" x14ac:dyDescent="0.35">
      <c r="A902" t="s">
        <v>956</v>
      </c>
      <c r="B902" s="2">
        <v>45993</v>
      </c>
      <c r="C902" t="s">
        <v>15</v>
      </c>
      <c r="D902" t="s">
        <v>46</v>
      </c>
      <c r="E902" t="s">
        <v>53</v>
      </c>
      <c r="F902" t="s">
        <v>115</v>
      </c>
      <c r="G902" t="s">
        <v>19</v>
      </c>
      <c r="H902" t="s">
        <v>20</v>
      </c>
      <c r="I902">
        <v>5</v>
      </c>
      <c r="J902" s="3">
        <v>12.8</v>
      </c>
      <c r="K902" s="4">
        <v>0</v>
      </c>
      <c r="L902" s="3">
        <v>64</v>
      </c>
      <c r="M902" s="3">
        <v>36.82</v>
      </c>
      <c r="N902" s="3">
        <v>27.18</v>
      </c>
    </row>
    <row r="903" spans="1:14" x14ac:dyDescent="0.35">
      <c r="A903" t="s">
        <v>957</v>
      </c>
      <c r="B903" s="2">
        <v>45994</v>
      </c>
      <c r="C903" t="s">
        <v>40</v>
      </c>
      <c r="D903" t="s">
        <v>41</v>
      </c>
      <c r="E903" t="s">
        <v>53</v>
      </c>
      <c r="F903" t="s">
        <v>66</v>
      </c>
      <c r="G903" t="s">
        <v>29</v>
      </c>
      <c r="H903" t="s">
        <v>30</v>
      </c>
      <c r="I903">
        <v>2</v>
      </c>
      <c r="J903" s="3">
        <v>21.31</v>
      </c>
      <c r="K903" s="4">
        <v>0.05</v>
      </c>
      <c r="L903" s="3">
        <v>40.49</v>
      </c>
      <c r="M903" s="3">
        <v>29.73</v>
      </c>
      <c r="N903" s="3">
        <v>10.76</v>
      </c>
    </row>
    <row r="904" spans="1:14" x14ac:dyDescent="0.35">
      <c r="A904" t="s">
        <v>958</v>
      </c>
      <c r="B904" s="2">
        <v>45994</v>
      </c>
      <c r="C904" t="s">
        <v>32</v>
      </c>
      <c r="D904" t="s">
        <v>33</v>
      </c>
      <c r="E904" t="s">
        <v>53</v>
      </c>
      <c r="F904" t="s">
        <v>115</v>
      </c>
      <c r="G904" t="s">
        <v>29</v>
      </c>
      <c r="H904" t="s">
        <v>20</v>
      </c>
      <c r="I904">
        <v>1</v>
      </c>
      <c r="J904" s="3">
        <v>13.17</v>
      </c>
      <c r="K904" s="4">
        <v>0</v>
      </c>
      <c r="L904" s="3">
        <v>13.17</v>
      </c>
      <c r="M904" s="3">
        <v>6.97</v>
      </c>
      <c r="N904" s="3">
        <v>6.2</v>
      </c>
    </row>
    <row r="905" spans="1:14" x14ac:dyDescent="0.35">
      <c r="A905" t="s">
        <v>959</v>
      </c>
      <c r="B905" s="2">
        <v>45994</v>
      </c>
      <c r="C905" t="s">
        <v>40</v>
      </c>
      <c r="D905" t="s">
        <v>50</v>
      </c>
      <c r="E905" t="s">
        <v>53</v>
      </c>
      <c r="F905" t="s">
        <v>83</v>
      </c>
      <c r="G905" t="s">
        <v>22</v>
      </c>
      <c r="H905" t="s">
        <v>30</v>
      </c>
      <c r="I905">
        <v>3</v>
      </c>
      <c r="J905" s="3">
        <v>14.41</v>
      </c>
      <c r="K905" s="4">
        <v>0.1</v>
      </c>
      <c r="L905" s="3">
        <v>38.909999999999997</v>
      </c>
      <c r="M905" s="3">
        <v>25.66</v>
      </c>
      <c r="N905" s="3">
        <v>13.25</v>
      </c>
    </row>
    <row r="906" spans="1:14" x14ac:dyDescent="0.35">
      <c r="A906" t="s">
        <v>960</v>
      </c>
      <c r="B906" s="2">
        <v>45994</v>
      </c>
      <c r="C906" t="s">
        <v>32</v>
      </c>
      <c r="D906" t="s">
        <v>36</v>
      </c>
      <c r="E906" t="s">
        <v>37</v>
      </c>
      <c r="F906" t="s">
        <v>51</v>
      </c>
      <c r="G906" t="s">
        <v>29</v>
      </c>
      <c r="H906" t="s">
        <v>20</v>
      </c>
      <c r="I906">
        <v>5</v>
      </c>
      <c r="J906" s="3">
        <v>27.72</v>
      </c>
      <c r="K906" s="4">
        <v>0.15</v>
      </c>
      <c r="L906" s="3">
        <v>117.81</v>
      </c>
      <c r="M906" s="3">
        <v>104.14</v>
      </c>
      <c r="N906" s="3">
        <v>13.67</v>
      </c>
    </row>
    <row r="907" spans="1:14" x14ac:dyDescent="0.35">
      <c r="A907" t="s">
        <v>961</v>
      </c>
      <c r="B907" s="2">
        <v>45995</v>
      </c>
      <c r="C907" t="s">
        <v>32</v>
      </c>
      <c r="D907" t="s">
        <v>57</v>
      </c>
      <c r="E907" t="s">
        <v>37</v>
      </c>
      <c r="F907" t="s">
        <v>42</v>
      </c>
      <c r="G907" t="s">
        <v>19</v>
      </c>
      <c r="H907" t="s">
        <v>30</v>
      </c>
      <c r="I907">
        <v>7</v>
      </c>
      <c r="J907" s="3">
        <v>21.56</v>
      </c>
      <c r="K907" s="4">
        <v>0</v>
      </c>
      <c r="L907" s="3">
        <v>150.91999999999999</v>
      </c>
      <c r="M907" s="3">
        <v>79.7</v>
      </c>
      <c r="N907" s="3">
        <v>71.22</v>
      </c>
    </row>
    <row r="908" spans="1:14" x14ac:dyDescent="0.35">
      <c r="A908" t="s">
        <v>962</v>
      </c>
      <c r="B908" s="2">
        <v>45995</v>
      </c>
      <c r="C908" t="s">
        <v>15</v>
      </c>
      <c r="D908" t="s">
        <v>46</v>
      </c>
      <c r="E908" t="s">
        <v>17</v>
      </c>
      <c r="F908" t="s">
        <v>18</v>
      </c>
      <c r="G908" t="s">
        <v>19</v>
      </c>
      <c r="H908" t="s">
        <v>23</v>
      </c>
      <c r="I908">
        <v>1</v>
      </c>
      <c r="J908" s="3">
        <v>75.459999999999994</v>
      </c>
      <c r="K908" s="4">
        <v>0</v>
      </c>
      <c r="L908" s="3">
        <v>75.459999999999994</v>
      </c>
      <c r="M908" s="3">
        <v>56.84</v>
      </c>
      <c r="N908" s="3">
        <v>18.62</v>
      </c>
    </row>
    <row r="909" spans="1:14" x14ac:dyDescent="0.35">
      <c r="A909" t="s">
        <v>963</v>
      </c>
      <c r="B909" s="2">
        <v>45995</v>
      </c>
      <c r="C909" t="s">
        <v>15</v>
      </c>
      <c r="D909" t="s">
        <v>46</v>
      </c>
      <c r="E909" t="s">
        <v>27</v>
      </c>
      <c r="F909" t="s">
        <v>68</v>
      </c>
      <c r="G909" t="s">
        <v>22</v>
      </c>
      <c r="H909" t="s">
        <v>20</v>
      </c>
      <c r="I909">
        <v>8</v>
      </c>
      <c r="J909" s="3">
        <v>38.03</v>
      </c>
      <c r="K909" s="4">
        <v>0.05</v>
      </c>
      <c r="L909" s="3">
        <v>289.02999999999997</v>
      </c>
      <c r="M909" s="3">
        <v>211.36</v>
      </c>
      <c r="N909" s="3">
        <v>77.67</v>
      </c>
    </row>
    <row r="910" spans="1:14" x14ac:dyDescent="0.35">
      <c r="A910" t="s">
        <v>964</v>
      </c>
      <c r="B910" s="2">
        <v>45996</v>
      </c>
      <c r="C910" t="s">
        <v>32</v>
      </c>
      <c r="D910" t="s">
        <v>36</v>
      </c>
      <c r="E910" t="s">
        <v>27</v>
      </c>
      <c r="F910" t="s">
        <v>48</v>
      </c>
      <c r="G910" t="s">
        <v>19</v>
      </c>
      <c r="H910" t="s">
        <v>23</v>
      </c>
      <c r="I910">
        <v>7</v>
      </c>
      <c r="J910" s="3">
        <v>301.61</v>
      </c>
      <c r="K910" s="4">
        <v>0.15</v>
      </c>
      <c r="L910" s="3">
        <v>1794.58</v>
      </c>
      <c r="M910" s="3">
        <v>1566.7</v>
      </c>
      <c r="N910" s="3">
        <v>227.88</v>
      </c>
    </row>
    <row r="911" spans="1:14" x14ac:dyDescent="0.35">
      <c r="A911" t="s">
        <v>965</v>
      </c>
      <c r="B911" s="2">
        <v>45996</v>
      </c>
      <c r="C911" t="s">
        <v>32</v>
      </c>
      <c r="D911" t="s">
        <v>36</v>
      </c>
      <c r="E911" t="s">
        <v>37</v>
      </c>
      <c r="F911" t="s">
        <v>75</v>
      </c>
      <c r="G911" t="s">
        <v>29</v>
      </c>
      <c r="H911" t="s">
        <v>23</v>
      </c>
      <c r="I911">
        <v>3</v>
      </c>
      <c r="J911" s="3">
        <v>24.88</v>
      </c>
      <c r="K911" s="4">
        <v>0</v>
      </c>
      <c r="L911" s="3">
        <v>74.64</v>
      </c>
      <c r="M911" s="3">
        <v>52.55</v>
      </c>
      <c r="N911" s="3">
        <v>22.09</v>
      </c>
    </row>
    <row r="912" spans="1:14" x14ac:dyDescent="0.35">
      <c r="A912" t="s">
        <v>966</v>
      </c>
      <c r="B912" s="2">
        <v>45996</v>
      </c>
      <c r="C912" t="s">
        <v>15</v>
      </c>
      <c r="D912" t="s">
        <v>16</v>
      </c>
      <c r="E912" t="s">
        <v>27</v>
      </c>
      <c r="F912" t="s">
        <v>28</v>
      </c>
      <c r="G912" t="s">
        <v>22</v>
      </c>
      <c r="H912" t="s">
        <v>30</v>
      </c>
      <c r="I912">
        <v>9</v>
      </c>
      <c r="J912" s="3">
        <v>156.11000000000001</v>
      </c>
      <c r="K912" s="4">
        <v>0</v>
      </c>
      <c r="L912" s="3">
        <v>1404.99</v>
      </c>
      <c r="M912" s="3">
        <v>1032.49</v>
      </c>
      <c r="N912" s="3">
        <v>372.5</v>
      </c>
    </row>
    <row r="913" spans="1:14" x14ac:dyDescent="0.35">
      <c r="A913" t="s">
        <v>967</v>
      </c>
      <c r="B913" s="2">
        <v>45997</v>
      </c>
      <c r="C913" t="s">
        <v>25</v>
      </c>
      <c r="D913" t="s">
        <v>97</v>
      </c>
      <c r="E913" t="s">
        <v>53</v>
      </c>
      <c r="F913" t="s">
        <v>83</v>
      </c>
      <c r="G913" t="s">
        <v>19</v>
      </c>
      <c r="H913" t="s">
        <v>23</v>
      </c>
      <c r="I913">
        <v>1</v>
      </c>
      <c r="J913" s="3">
        <v>13.41</v>
      </c>
      <c r="K913" s="4">
        <v>0.15</v>
      </c>
      <c r="L913" s="3">
        <v>11.4</v>
      </c>
      <c r="M913" s="3">
        <v>7.77</v>
      </c>
      <c r="N913" s="3">
        <v>3.63</v>
      </c>
    </row>
    <row r="914" spans="1:14" x14ac:dyDescent="0.35">
      <c r="A914" t="s">
        <v>968</v>
      </c>
      <c r="B914" s="2">
        <v>45997</v>
      </c>
      <c r="C914" t="s">
        <v>32</v>
      </c>
      <c r="D914" t="s">
        <v>36</v>
      </c>
      <c r="E914" t="s">
        <v>27</v>
      </c>
      <c r="F914" t="s">
        <v>48</v>
      </c>
      <c r="G914" t="s">
        <v>19</v>
      </c>
      <c r="H914" t="s">
        <v>20</v>
      </c>
      <c r="I914">
        <v>9</v>
      </c>
      <c r="J914" s="3">
        <v>269.31</v>
      </c>
      <c r="K914" s="4">
        <v>0.1</v>
      </c>
      <c r="L914" s="3">
        <v>2181.41</v>
      </c>
      <c r="M914" s="3">
        <v>1888.11</v>
      </c>
      <c r="N914" s="3">
        <v>293.3</v>
      </c>
    </row>
    <row r="915" spans="1:14" x14ac:dyDescent="0.35">
      <c r="A915" t="s">
        <v>969</v>
      </c>
      <c r="B915" s="2">
        <v>45997</v>
      </c>
      <c r="C915" t="s">
        <v>40</v>
      </c>
      <c r="D915" t="s">
        <v>41</v>
      </c>
      <c r="E915" t="s">
        <v>37</v>
      </c>
      <c r="F915" t="s">
        <v>51</v>
      </c>
      <c r="G915" t="s">
        <v>19</v>
      </c>
      <c r="H915" t="s">
        <v>30</v>
      </c>
      <c r="I915">
        <v>5</v>
      </c>
      <c r="J915" s="3">
        <v>28.49</v>
      </c>
      <c r="K915" s="4">
        <v>0</v>
      </c>
      <c r="L915" s="3">
        <v>142.44999999999999</v>
      </c>
      <c r="M915" s="3">
        <v>100.1</v>
      </c>
      <c r="N915" s="3">
        <v>42.35</v>
      </c>
    </row>
    <row r="916" spans="1:14" x14ac:dyDescent="0.35">
      <c r="A916" t="s">
        <v>970</v>
      </c>
      <c r="B916" s="2">
        <v>45998</v>
      </c>
      <c r="C916" t="s">
        <v>25</v>
      </c>
      <c r="D916" t="s">
        <v>97</v>
      </c>
      <c r="E916" t="s">
        <v>17</v>
      </c>
      <c r="F916" t="s">
        <v>34</v>
      </c>
      <c r="G916" t="s">
        <v>22</v>
      </c>
      <c r="H916" t="s">
        <v>30</v>
      </c>
      <c r="I916">
        <v>10</v>
      </c>
      <c r="J916" s="3">
        <v>17.399999999999999</v>
      </c>
      <c r="K916" s="4">
        <v>0.05</v>
      </c>
      <c r="L916" s="3">
        <v>165.3</v>
      </c>
      <c r="M916" s="3">
        <v>129.09</v>
      </c>
      <c r="N916" s="3">
        <v>36.21</v>
      </c>
    </row>
    <row r="917" spans="1:14" x14ac:dyDescent="0.35">
      <c r="A917" t="s">
        <v>971</v>
      </c>
      <c r="B917" s="2">
        <v>45998</v>
      </c>
      <c r="C917" t="s">
        <v>25</v>
      </c>
      <c r="D917" t="s">
        <v>26</v>
      </c>
      <c r="E917" t="s">
        <v>53</v>
      </c>
      <c r="F917" t="s">
        <v>115</v>
      </c>
      <c r="G917" t="s">
        <v>29</v>
      </c>
      <c r="H917" t="s">
        <v>23</v>
      </c>
      <c r="I917">
        <v>7</v>
      </c>
      <c r="J917" s="3">
        <v>12.83</v>
      </c>
      <c r="K917" s="4">
        <v>0</v>
      </c>
      <c r="L917" s="3">
        <v>89.81</v>
      </c>
      <c r="M917" s="3">
        <v>54.67</v>
      </c>
      <c r="N917" s="3">
        <v>35.14</v>
      </c>
    </row>
    <row r="918" spans="1:14" x14ac:dyDescent="0.35">
      <c r="A918" t="s">
        <v>972</v>
      </c>
      <c r="B918" s="2">
        <v>45998</v>
      </c>
      <c r="C918" t="s">
        <v>15</v>
      </c>
      <c r="D918" t="s">
        <v>59</v>
      </c>
      <c r="E918" t="s">
        <v>27</v>
      </c>
      <c r="F918" t="s">
        <v>68</v>
      </c>
      <c r="G918" t="s">
        <v>19</v>
      </c>
      <c r="H918" t="s">
        <v>30</v>
      </c>
      <c r="I918">
        <v>11</v>
      </c>
      <c r="J918" s="3">
        <v>40.450000000000003</v>
      </c>
      <c r="K918" s="4">
        <v>0.15</v>
      </c>
      <c r="L918" s="3">
        <v>378.21</v>
      </c>
      <c r="M918" s="3">
        <v>344.87</v>
      </c>
      <c r="N918" s="3">
        <v>33.340000000000003</v>
      </c>
    </row>
    <row r="919" spans="1:14" x14ac:dyDescent="0.35">
      <c r="A919" t="s">
        <v>973</v>
      </c>
      <c r="B919" s="2">
        <v>45999</v>
      </c>
      <c r="C919" t="s">
        <v>40</v>
      </c>
      <c r="D919" t="s">
        <v>50</v>
      </c>
      <c r="E919" t="s">
        <v>53</v>
      </c>
      <c r="F919" t="s">
        <v>83</v>
      </c>
      <c r="G919" t="s">
        <v>19</v>
      </c>
      <c r="H919" t="s">
        <v>30</v>
      </c>
      <c r="I919">
        <v>9</v>
      </c>
      <c r="J919" s="3">
        <v>16.62</v>
      </c>
      <c r="K919" s="4">
        <v>0</v>
      </c>
      <c r="L919" s="3">
        <v>149.58000000000001</v>
      </c>
      <c r="M919" s="3">
        <v>86.51</v>
      </c>
      <c r="N919" s="3">
        <v>63.07</v>
      </c>
    </row>
    <row r="920" spans="1:14" x14ac:dyDescent="0.35">
      <c r="A920" t="s">
        <v>974</v>
      </c>
      <c r="B920" s="2">
        <v>45999</v>
      </c>
      <c r="C920" t="s">
        <v>32</v>
      </c>
      <c r="D920" t="s">
        <v>36</v>
      </c>
      <c r="E920" t="s">
        <v>17</v>
      </c>
      <c r="F920" t="s">
        <v>34</v>
      </c>
      <c r="G920" t="s">
        <v>29</v>
      </c>
      <c r="H920" t="s">
        <v>30</v>
      </c>
      <c r="I920">
        <v>10</v>
      </c>
      <c r="J920" s="3">
        <v>21.85</v>
      </c>
      <c r="K920" s="4">
        <v>0.15</v>
      </c>
      <c r="L920" s="3">
        <v>185.72</v>
      </c>
      <c r="M920" s="3">
        <v>141.99</v>
      </c>
      <c r="N920" s="3">
        <v>43.73</v>
      </c>
    </row>
    <row r="921" spans="1:14" x14ac:dyDescent="0.35">
      <c r="A921" t="s">
        <v>975</v>
      </c>
      <c r="B921" s="2">
        <v>45999</v>
      </c>
      <c r="C921" t="s">
        <v>25</v>
      </c>
      <c r="D921" t="s">
        <v>74</v>
      </c>
      <c r="E921" t="s">
        <v>27</v>
      </c>
      <c r="F921" t="s">
        <v>68</v>
      </c>
      <c r="G921" t="s">
        <v>29</v>
      </c>
      <c r="H921" t="s">
        <v>23</v>
      </c>
      <c r="I921">
        <v>10</v>
      </c>
      <c r="J921" s="3">
        <v>36.28</v>
      </c>
      <c r="K921" s="4">
        <v>0.1</v>
      </c>
      <c r="L921" s="3">
        <v>326.52</v>
      </c>
      <c r="M921" s="3">
        <v>196.1</v>
      </c>
      <c r="N921" s="3">
        <v>130.41999999999999</v>
      </c>
    </row>
    <row r="922" spans="1:14" x14ac:dyDescent="0.35">
      <c r="A922" t="s">
        <v>976</v>
      </c>
      <c r="B922" s="2">
        <v>46000</v>
      </c>
      <c r="C922" t="s">
        <v>25</v>
      </c>
      <c r="D922" t="s">
        <v>97</v>
      </c>
      <c r="E922" t="s">
        <v>37</v>
      </c>
      <c r="F922" t="s">
        <v>38</v>
      </c>
      <c r="G922" t="s">
        <v>19</v>
      </c>
      <c r="H922" t="s">
        <v>30</v>
      </c>
      <c r="I922">
        <v>10</v>
      </c>
      <c r="J922" s="3">
        <v>47.77</v>
      </c>
      <c r="K922" s="4">
        <v>0.05</v>
      </c>
      <c r="L922" s="3">
        <v>453.81</v>
      </c>
      <c r="M922" s="3">
        <v>305.97000000000003</v>
      </c>
      <c r="N922" s="3">
        <v>147.84</v>
      </c>
    </row>
    <row r="923" spans="1:14" x14ac:dyDescent="0.35">
      <c r="A923" t="s">
        <v>977</v>
      </c>
      <c r="B923" s="2">
        <v>46000</v>
      </c>
      <c r="C923" t="s">
        <v>15</v>
      </c>
      <c r="D923" t="s">
        <v>59</v>
      </c>
      <c r="E923" t="s">
        <v>37</v>
      </c>
      <c r="F923" t="s">
        <v>38</v>
      </c>
      <c r="G923" t="s">
        <v>22</v>
      </c>
      <c r="H923" t="s">
        <v>23</v>
      </c>
      <c r="I923">
        <v>8</v>
      </c>
      <c r="J923" s="3">
        <v>55.77</v>
      </c>
      <c r="K923" s="4">
        <v>0.15</v>
      </c>
      <c r="L923" s="3">
        <v>379.24</v>
      </c>
      <c r="M923" s="3">
        <v>334.64</v>
      </c>
      <c r="N923" s="3">
        <v>44.6</v>
      </c>
    </row>
    <row r="924" spans="1:14" x14ac:dyDescent="0.35">
      <c r="A924" t="s">
        <v>978</v>
      </c>
      <c r="B924" s="2">
        <v>46001</v>
      </c>
      <c r="C924" t="s">
        <v>15</v>
      </c>
      <c r="D924" t="s">
        <v>59</v>
      </c>
      <c r="E924" t="s">
        <v>37</v>
      </c>
      <c r="F924" t="s">
        <v>42</v>
      </c>
      <c r="G924" t="s">
        <v>29</v>
      </c>
      <c r="H924" t="s">
        <v>30</v>
      </c>
      <c r="I924">
        <v>5</v>
      </c>
      <c r="J924" s="3">
        <v>18.48</v>
      </c>
      <c r="K924" s="4">
        <v>0.1</v>
      </c>
      <c r="L924" s="3">
        <v>83.16</v>
      </c>
      <c r="M924" s="3">
        <v>52.74</v>
      </c>
      <c r="N924" s="3">
        <v>30.42</v>
      </c>
    </row>
    <row r="925" spans="1:14" x14ac:dyDescent="0.35">
      <c r="A925" t="s">
        <v>979</v>
      </c>
      <c r="B925" s="2">
        <v>46001</v>
      </c>
      <c r="C925" t="s">
        <v>25</v>
      </c>
      <c r="D925" t="s">
        <v>97</v>
      </c>
      <c r="E925" t="s">
        <v>37</v>
      </c>
      <c r="F925" t="s">
        <v>75</v>
      </c>
      <c r="G925" t="s">
        <v>29</v>
      </c>
      <c r="H925" t="s">
        <v>20</v>
      </c>
      <c r="I925">
        <v>12</v>
      </c>
      <c r="J925" s="3">
        <v>27.48</v>
      </c>
      <c r="K925" s="4">
        <v>0</v>
      </c>
      <c r="L925" s="3">
        <v>329.76</v>
      </c>
      <c r="M925" s="3">
        <v>169.36</v>
      </c>
      <c r="N925" s="3">
        <v>160.4</v>
      </c>
    </row>
    <row r="926" spans="1:14" x14ac:dyDescent="0.35">
      <c r="A926" t="s">
        <v>980</v>
      </c>
      <c r="B926" s="2">
        <v>46001</v>
      </c>
      <c r="C926" t="s">
        <v>40</v>
      </c>
      <c r="D926" t="s">
        <v>71</v>
      </c>
      <c r="E926" t="s">
        <v>53</v>
      </c>
      <c r="F926" t="s">
        <v>115</v>
      </c>
      <c r="G926" t="s">
        <v>29</v>
      </c>
      <c r="H926" t="s">
        <v>20</v>
      </c>
      <c r="I926">
        <v>11</v>
      </c>
      <c r="J926" s="3">
        <v>13.15</v>
      </c>
      <c r="K926" s="4">
        <v>0</v>
      </c>
      <c r="L926" s="3">
        <v>144.65</v>
      </c>
      <c r="M926" s="3">
        <v>94.46</v>
      </c>
      <c r="N926" s="3">
        <v>50.19</v>
      </c>
    </row>
    <row r="927" spans="1:14" x14ac:dyDescent="0.35">
      <c r="A927" t="s">
        <v>981</v>
      </c>
      <c r="B927" s="2">
        <v>46002</v>
      </c>
      <c r="C927" t="s">
        <v>40</v>
      </c>
      <c r="D927" t="s">
        <v>71</v>
      </c>
      <c r="E927" t="s">
        <v>53</v>
      </c>
      <c r="F927" t="s">
        <v>66</v>
      </c>
      <c r="G927" t="s">
        <v>29</v>
      </c>
      <c r="H927" t="s">
        <v>30</v>
      </c>
      <c r="I927">
        <v>2</v>
      </c>
      <c r="J927" s="3">
        <v>19.600000000000001</v>
      </c>
      <c r="K927" s="4">
        <v>0</v>
      </c>
      <c r="L927" s="3">
        <v>39.200000000000003</v>
      </c>
      <c r="M927" s="3">
        <v>20.97</v>
      </c>
      <c r="N927" s="3">
        <v>18.23</v>
      </c>
    </row>
    <row r="928" spans="1:14" x14ac:dyDescent="0.35">
      <c r="A928" t="s">
        <v>982</v>
      </c>
      <c r="B928" s="2">
        <v>46002</v>
      </c>
      <c r="C928" t="s">
        <v>40</v>
      </c>
      <c r="D928" t="s">
        <v>71</v>
      </c>
      <c r="E928" t="s">
        <v>17</v>
      </c>
      <c r="F928" t="s">
        <v>34</v>
      </c>
      <c r="G928" t="s">
        <v>22</v>
      </c>
      <c r="H928" t="s">
        <v>20</v>
      </c>
      <c r="I928">
        <v>2</v>
      </c>
      <c r="J928" s="3">
        <v>19.670000000000002</v>
      </c>
      <c r="K928" s="4">
        <v>0.05</v>
      </c>
      <c r="L928" s="3">
        <v>37.369999999999997</v>
      </c>
      <c r="M928" s="3">
        <v>24.36</v>
      </c>
      <c r="N928" s="3">
        <v>13.01</v>
      </c>
    </row>
    <row r="929" spans="1:14" x14ac:dyDescent="0.35">
      <c r="A929" t="s">
        <v>983</v>
      </c>
      <c r="B929" s="2">
        <v>46003</v>
      </c>
      <c r="C929" t="s">
        <v>32</v>
      </c>
      <c r="D929" t="s">
        <v>57</v>
      </c>
      <c r="E929" t="s">
        <v>37</v>
      </c>
      <c r="F929" t="s">
        <v>38</v>
      </c>
      <c r="G929" t="s">
        <v>22</v>
      </c>
      <c r="H929" t="s">
        <v>23</v>
      </c>
      <c r="I929">
        <v>1</v>
      </c>
      <c r="J929" s="3">
        <v>50.22</v>
      </c>
      <c r="K929" s="4">
        <v>0.05</v>
      </c>
      <c r="L929" s="3">
        <v>47.71</v>
      </c>
      <c r="M929" s="3">
        <v>37.99</v>
      </c>
      <c r="N929" s="3">
        <v>9.7200000000000006</v>
      </c>
    </row>
    <row r="930" spans="1:14" x14ac:dyDescent="0.35">
      <c r="A930" t="s">
        <v>984</v>
      </c>
      <c r="B930" s="2">
        <v>46003</v>
      </c>
      <c r="C930" t="s">
        <v>25</v>
      </c>
      <c r="D930" t="s">
        <v>26</v>
      </c>
      <c r="E930" t="s">
        <v>53</v>
      </c>
      <c r="F930" t="s">
        <v>115</v>
      </c>
      <c r="G930" t="s">
        <v>19</v>
      </c>
      <c r="H930" t="s">
        <v>30</v>
      </c>
      <c r="I930">
        <v>12</v>
      </c>
      <c r="J930" s="3">
        <v>12.73</v>
      </c>
      <c r="K930" s="4">
        <v>0</v>
      </c>
      <c r="L930" s="3">
        <v>152.76</v>
      </c>
      <c r="M930" s="3">
        <v>81.88</v>
      </c>
      <c r="N930" s="3">
        <v>70.88</v>
      </c>
    </row>
    <row r="931" spans="1:14" x14ac:dyDescent="0.35">
      <c r="A931" t="s">
        <v>985</v>
      </c>
      <c r="B931" s="2">
        <v>46003</v>
      </c>
      <c r="C931" t="s">
        <v>25</v>
      </c>
      <c r="D931" t="s">
        <v>74</v>
      </c>
      <c r="E931" t="s">
        <v>53</v>
      </c>
      <c r="F931" t="s">
        <v>54</v>
      </c>
      <c r="G931" t="s">
        <v>19</v>
      </c>
      <c r="H931" t="s">
        <v>30</v>
      </c>
      <c r="I931">
        <v>2</v>
      </c>
      <c r="J931" s="3">
        <v>7.83</v>
      </c>
      <c r="K931" s="4">
        <v>0</v>
      </c>
      <c r="L931" s="3">
        <v>15.66</v>
      </c>
      <c r="M931" s="3">
        <v>9.93</v>
      </c>
      <c r="N931" s="3">
        <v>5.73</v>
      </c>
    </row>
    <row r="932" spans="1:14" x14ac:dyDescent="0.35">
      <c r="A932" t="s">
        <v>986</v>
      </c>
      <c r="B932" s="2">
        <v>46003</v>
      </c>
      <c r="C932" t="s">
        <v>15</v>
      </c>
      <c r="D932" t="s">
        <v>46</v>
      </c>
      <c r="E932" t="s">
        <v>37</v>
      </c>
      <c r="F932" t="s">
        <v>51</v>
      </c>
      <c r="G932" t="s">
        <v>19</v>
      </c>
      <c r="H932" t="s">
        <v>23</v>
      </c>
      <c r="I932">
        <v>9</v>
      </c>
      <c r="J932" s="3">
        <v>34.5</v>
      </c>
      <c r="K932" s="4">
        <v>0</v>
      </c>
      <c r="L932" s="3">
        <v>310.5</v>
      </c>
      <c r="M932" s="3">
        <v>177.41</v>
      </c>
      <c r="N932" s="3">
        <v>133.09</v>
      </c>
    </row>
    <row r="933" spans="1:14" x14ac:dyDescent="0.35">
      <c r="A933" t="s">
        <v>987</v>
      </c>
      <c r="B933" s="2">
        <v>46004</v>
      </c>
      <c r="C933" t="s">
        <v>32</v>
      </c>
      <c r="D933" t="s">
        <v>36</v>
      </c>
      <c r="E933" t="s">
        <v>17</v>
      </c>
      <c r="F933" t="s">
        <v>34</v>
      </c>
      <c r="G933" t="s">
        <v>29</v>
      </c>
      <c r="H933" t="s">
        <v>23</v>
      </c>
      <c r="I933">
        <v>6</v>
      </c>
      <c r="J933" s="3">
        <v>23.68</v>
      </c>
      <c r="K933" s="4">
        <v>0</v>
      </c>
      <c r="L933" s="3">
        <v>142.08000000000001</v>
      </c>
      <c r="M933" s="3">
        <v>80.58</v>
      </c>
      <c r="N933" s="3">
        <v>61.5</v>
      </c>
    </row>
    <row r="934" spans="1:14" x14ac:dyDescent="0.35">
      <c r="A934" t="s">
        <v>988</v>
      </c>
      <c r="B934" s="2">
        <v>46004</v>
      </c>
      <c r="C934" t="s">
        <v>25</v>
      </c>
      <c r="D934" t="s">
        <v>74</v>
      </c>
      <c r="E934" t="s">
        <v>27</v>
      </c>
      <c r="F934" t="s">
        <v>28</v>
      </c>
      <c r="G934" t="s">
        <v>29</v>
      </c>
      <c r="H934" t="s">
        <v>20</v>
      </c>
      <c r="I934">
        <v>9</v>
      </c>
      <c r="J934" s="3">
        <v>167.64</v>
      </c>
      <c r="K934" s="4">
        <v>0</v>
      </c>
      <c r="L934" s="3">
        <v>1508.76</v>
      </c>
      <c r="M934" s="3">
        <v>779.98</v>
      </c>
      <c r="N934" s="3">
        <v>728.78</v>
      </c>
    </row>
    <row r="935" spans="1:14" x14ac:dyDescent="0.35">
      <c r="A935" t="s">
        <v>989</v>
      </c>
      <c r="B935" s="2">
        <v>46004</v>
      </c>
      <c r="C935" t="s">
        <v>25</v>
      </c>
      <c r="D935" t="s">
        <v>26</v>
      </c>
      <c r="E935" t="s">
        <v>53</v>
      </c>
      <c r="F935" t="s">
        <v>54</v>
      </c>
      <c r="G935" t="s">
        <v>22</v>
      </c>
      <c r="H935" t="s">
        <v>30</v>
      </c>
      <c r="I935">
        <v>12</v>
      </c>
      <c r="J935" s="3">
        <v>6.9</v>
      </c>
      <c r="K935" s="4">
        <v>0.1</v>
      </c>
      <c r="L935" s="3">
        <v>74.52</v>
      </c>
      <c r="M935" s="3">
        <v>57.47</v>
      </c>
      <c r="N935" s="3">
        <v>17.05</v>
      </c>
    </row>
    <row r="936" spans="1:14" x14ac:dyDescent="0.35">
      <c r="A936" t="s">
        <v>990</v>
      </c>
      <c r="B936" s="2">
        <v>46004</v>
      </c>
      <c r="C936" t="s">
        <v>40</v>
      </c>
      <c r="D936" t="s">
        <v>50</v>
      </c>
      <c r="E936" t="s">
        <v>27</v>
      </c>
      <c r="F936" t="s">
        <v>48</v>
      </c>
      <c r="G936" t="s">
        <v>29</v>
      </c>
      <c r="H936" t="s">
        <v>20</v>
      </c>
      <c r="I936">
        <v>12</v>
      </c>
      <c r="J936" s="3">
        <v>231.55</v>
      </c>
      <c r="K936" s="4">
        <v>0</v>
      </c>
      <c r="L936" s="3">
        <v>2778.6</v>
      </c>
      <c r="M936" s="3">
        <v>1341.79</v>
      </c>
      <c r="N936" s="3">
        <v>1436.81</v>
      </c>
    </row>
    <row r="937" spans="1:14" x14ac:dyDescent="0.35">
      <c r="A937" t="s">
        <v>991</v>
      </c>
      <c r="B937" s="2">
        <v>46004</v>
      </c>
      <c r="C937" t="s">
        <v>40</v>
      </c>
      <c r="D937" t="s">
        <v>50</v>
      </c>
      <c r="E937" t="s">
        <v>37</v>
      </c>
      <c r="F937" t="s">
        <v>42</v>
      </c>
      <c r="G937" t="s">
        <v>22</v>
      </c>
      <c r="H937" t="s">
        <v>30</v>
      </c>
      <c r="I937">
        <v>3</v>
      </c>
      <c r="J937" s="3">
        <v>17.79</v>
      </c>
      <c r="K937" s="4">
        <v>0.15</v>
      </c>
      <c r="L937" s="3">
        <v>45.36</v>
      </c>
      <c r="M937" s="3">
        <v>41.27</v>
      </c>
      <c r="N937" s="3">
        <v>4.09</v>
      </c>
    </row>
    <row r="938" spans="1:14" x14ac:dyDescent="0.35">
      <c r="A938" t="s">
        <v>992</v>
      </c>
      <c r="B938" s="2">
        <v>46005</v>
      </c>
      <c r="C938" t="s">
        <v>32</v>
      </c>
      <c r="D938" t="s">
        <v>57</v>
      </c>
      <c r="E938" t="s">
        <v>53</v>
      </c>
      <c r="F938" t="s">
        <v>54</v>
      </c>
      <c r="G938" t="s">
        <v>22</v>
      </c>
      <c r="H938" t="s">
        <v>30</v>
      </c>
      <c r="I938">
        <v>2</v>
      </c>
      <c r="J938" s="3">
        <v>7.91</v>
      </c>
      <c r="K938" s="4">
        <v>0.15</v>
      </c>
      <c r="L938" s="3">
        <v>13.45</v>
      </c>
      <c r="M938" s="3">
        <v>11.64</v>
      </c>
      <c r="N938" s="3">
        <v>1.81</v>
      </c>
    </row>
    <row r="939" spans="1:14" x14ac:dyDescent="0.35">
      <c r="A939" t="s">
        <v>993</v>
      </c>
      <c r="B939" s="2">
        <v>46005</v>
      </c>
      <c r="C939" t="s">
        <v>32</v>
      </c>
      <c r="D939" t="s">
        <v>33</v>
      </c>
      <c r="E939" t="s">
        <v>17</v>
      </c>
      <c r="F939" t="s">
        <v>87</v>
      </c>
      <c r="G939" t="s">
        <v>19</v>
      </c>
      <c r="H939" t="s">
        <v>30</v>
      </c>
      <c r="I939">
        <v>10</v>
      </c>
      <c r="J939" s="3">
        <v>14.27</v>
      </c>
      <c r="K939" s="4">
        <v>0.15</v>
      </c>
      <c r="L939" s="3">
        <v>121.29</v>
      </c>
      <c r="M939" s="3">
        <v>102.49</v>
      </c>
      <c r="N939" s="3">
        <v>18.8</v>
      </c>
    </row>
    <row r="940" spans="1:14" x14ac:dyDescent="0.35">
      <c r="A940" t="s">
        <v>994</v>
      </c>
      <c r="B940" s="2">
        <v>46005</v>
      </c>
      <c r="C940" t="s">
        <v>32</v>
      </c>
      <c r="D940" t="s">
        <v>36</v>
      </c>
      <c r="E940" t="s">
        <v>27</v>
      </c>
      <c r="F940" t="s">
        <v>48</v>
      </c>
      <c r="G940" t="s">
        <v>19</v>
      </c>
      <c r="H940" t="s">
        <v>23</v>
      </c>
      <c r="I940">
        <v>10</v>
      </c>
      <c r="J940" s="3">
        <v>288.11</v>
      </c>
      <c r="K940" s="4">
        <v>0.1</v>
      </c>
      <c r="L940" s="3">
        <v>2592.9899999999998</v>
      </c>
      <c r="M940" s="3">
        <v>1797.97</v>
      </c>
      <c r="N940" s="3">
        <v>795.02</v>
      </c>
    </row>
    <row r="941" spans="1:14" x14ac:dyDescent="0.35">
      <c r="A941" t="s">
        <v>995</v>
      </c>
      <c r="B941" s="2">
        <v>46005</v>
      </c>
      <c r="C941" t="s">
        <v>32</v>
      </c>
      <c r="D941" t="s">
        <v>57</v>
      </c>
      <c r="E941" t="s">
        <v>53</v>
      </c>
      <c r="F941" t="s">
        <v>83</v>
      </c>
      <c r="G941" t="s">
        <v>19</v>
      </c>
      <c r="H941" t="s">
        <v>20</v>
      </c>
      <c r="I941">
        <v>4</v>
      </c>
      <c r="J941" s="3">
        <v>15.76</v>
      </c>
      <c r="K941" s="4">
        <v>0.1</v>
      </c>
      <c r="L941" s="3">
        <v>56.74</v>
      </c>
      <c r="M941" s="3">
        <v>48.61</v>
      </c>
      <c r="N941" s="3">
        <v>8.1300000000000008</v>
      </c>
    </row>
    <row r="942" spans="1:14" x14ac:dyDescent="0.35">
      <c r="A942" t="s">
        <v>996</v>
      </c>
      <c r="B942" s="2">
        <v>46006</v>
      </c>
      <c r="C942" t="s">
        <v>40</v>
      </c>
      <c r="D942" t="s">
        <v>41</v>
      </c>
      <c r="E942" t="s">
        <v>17</v>
      </c>
      <c r="F942" t="s">
        <v>18</v>
      </c>
      <c r="G942" t="s">
        <v>29</v>
      </c>
      <c r="H942" t="s">
        <v>20</v>
      </c>
      <c r="I942">
        <v>11</v>
      </c>
      <c r="J942" s="3">
        <v>66.56</v>
      </c>
      <c r="K942" s="4">
        <v>0.15</v>
      </c>
      <c r="L942" s="3">
        <v>622.34</v>
      </c>
      <c r="M942" s="3">
        <v>413.23</v>
      </c>
      <c r="N942" s="3">
        <v>209.11</v>
      </c>
    </row>
    <row r="943" spans="1:14" x14ac:dyDescent="0.35">
      <c r="A943" t="s">
        <v>997</v>
      </c>
      <c r="B943" s="2">
        <v>46007</v>
      </c>
      <c r="C943" t="s">
        <v>40</v>
      </c>
      <c r="D943" t="s">
        <v>50</v>
      </c>
      <c r="E943" t="s">
        <v>37</v>
      </c>
      <c r="F943" t="s">
        <v>42</v>
      </c>
      <c r="G943" t="s">
        <v>19</v>
      </c>
      <c r="H943" t="s">
        <v>30</v>
      </c>
      <c r="I943">
        <v>2</v>
      </c>
      <c r="J943" s="3">
        <v>19.239999999999998</v>
      </c>
      <c r="K943" s="4">
        <v>0.1</v>
      </c>
      <c r="L943" s="3">
        <v>34.630000000000003</v>
      </c>
      <c r="M943" s="3">
        <v>18.66</v>
      </c>
      <c r="N943" s="3">
        <v>15.97</v>
      </c>
    </row>
    <row r="944" spans="1:14" x14ac:dyDescent="0.35">
      <c r="A944" t="s">
        <v>998</v>
      </c>
      <c r="B944" s="2">
        <v>46007</v>
      </c>
      <c r="C944" t="s">
        <v>32</v>
      </c>
      <c r="D944" t="s">
        <v>36</v>
      </c>
      <c r="E944" t="s">
        <v>27</v>
      </c>
      <c r="F944" t="s">
        <v>68</v>
      </c>
      <c r="G944" t="s">
        <v>22</v>
      </c>
      <c r="H944" t="s">
        <v>30</v>
      </c>
      <c r="I944">
        <v>12</v>
      </c>
      <c r="J944" s="3">
        <v>40.33</v>
      </c>
      <c r="K944" s="4">
        <v>0</v>
      </c>
      <c r="L944" s="3">
        <v>483.96</v>
      </c>
      <c r="M944" s="3">
        <v>377.26</v>
      </c>
      <c r="N944" s="3">
        <v>106.7</v>
      </c>
    </row>
    <row r="945" spans="1:14" x14ac:dyDescent="0.35">
      <c r="A945" t="s">
        <v>999</v>
      </c>
      <c r="B945" s="2">
        <v>46007</v>
      </c>
      <c r="C945" t="s">
        <v>25</v>
      </c>
      <c r="D945" t="s">
        <v>74</v>
      </c>
      <c r="E945" t="s">
        <v>37</v>
      </c>
      <c r="F945" t="s">
        <v>75</v>
      </c>
      <c r="G945" t="s">
        <v>19</v>
      </c>
      <c r="H945" t="s">
        <v>20</v>
      </c>
      <c r="I945">
        <v>12</v>
      </c>
      <c r="J945" s="3">
        <v>22.16</v>
      </c>
      <c r="K945" s="4">
        <v>0.05</v>
      </c>
      <c r="L945" s="3">
        <v>252.62</v>
      </c>
      <c r="M945" s="3">
        <v>193.96</v>
      </c>
      <c r="N945" s="3">
        <v>58.66</v>
      </c>
    </row>
    <row r="946" spans="1:14" x14ac:dyDescent="0.35">
      <c r="A946" t="s">
        <v>1000</v>
      </c>
      <c r="B946" s="2">
        <v>46007</v>
      </c>
      <c r="C946" t="s">
        <v>32</v>
      </c>
      <c r="D946" t="s">
        <v>33</v>
      </c>
      <c r="E946" t="s">
        <v>27</v>
      </c>
      <c r="F946" t="s">
        <v>79</v>
      </c>
      <c r="G946" t="s">
        <v>29</v>
      </c>
      <c r="H946" t="s">
        <v>23</v>
      </c>
      <c r="I946">
        <v>2</v>
      </c>
      <c r="J946" s="3">
        <v>104.8</v>
      </c>
      <c r="K946" s="4">
        <v>0</v>
      </c>
      <c r="L946" s="3">
        <v>209.6</v>
      </c>
      <c r="M946" s="3">
        <v>129.13999999999999</v>
      </c>
      <c r="N946" s="3">
        <v>80.459999999999994</v>
      </c>
    </row>
    <row r="947" spans="1:14" x14ac:dyDescent="0.35">
      <c r="A947" t="s">
        <v>1001</v>
      </c>
      <c r="B947" s="2">
        <v>46008</v>
      </c>
      <c r="C947" t="s">
        <v>15</v>
      </c>
      <c r="D947" t="s">
        <v>46</v>
      </c>
      <c r="E947" t="s">
        <v>27</v>
      </c>
      <c r="F947" t="s">
        <v>28</v>
      </c>
      <c r="G947" t="s">
        <v>22</v>
      </c>
      <c r="H947" t="s">
        <v>20</v>
      </c>
      <c r="I947">
        <v>1</v>
      </c>
      <c r="J947" s="3">
        <v>160.99</v>
      </c>
      <c r="K947" s="4">
        <v>0</v>
      </c>
      <c r="L947" s="3">
        <v>160.99</v>
      </c>
      <c r="M947" s="3">
        <v>107.25</v>
      </c>
      <c r="N947" s="3">
        <v>53.74</v>
      </c>
    </row>
    <row r="948" spans="1:14" x14ac:dyDescent="0.35">
      <c r="A948" t="s">
        <v>1002</v>
      </c>
      <c r="B948" s="2">
        <v>46008</v>
      </c>
      <c r="C948" t="s">
        <v>15</v>
      </c>
      <c r="D948" t="s">
        <v>46</v>
      </c>
      <c r="E948" t="s">
        <v>17</v>
      </c>
      <c r="F948" t="s">
        <v>44</v>
      </c>
      <c r="G948" t="s">
        <v>29</v>
      </c>
      <c r="H948" t="s">
        <v>23</v>
      </c>
      <c r="I948">
        <v>1</v>
      </c>
      <c r="J948" s="3">
        <v>16.23</v>
      </c>
      <c r="K948" s="4">
        <v>0.05</v>
      </c>
      <c r="L948" s="3">
        <v>15.42</v>
      </c>
      <c r="M948" s="3">
        <v>12.53</v>
      </c>
      <c r="N948" s="3">
        <v>2.89</v>
      </c>
    </row>
    <row r="949" spans="1:14" x14ac:dyDescent="0.35">
      <c r="A949" t="s">
        <v>1003</v>
      </c>
      <c r="B949" s="2">
        <v>46008</v>
      </c>
      <c r="C949" t="s">
        <v>32</v>
      </c>
      <c r="D949" t="s">
        <v>33</v>
      </c>
      <c r="E949" t="s">
        <v>27</v>
      </c>
      <c r="F949" t="s">
        <v>79</v>
      </c>
      <c r="G949" t="s">
        <v>22</v>
      </c>
      <c r="H949" t="s">
        <v>23</v>
      </c>
      <c r="I949">
        <v>8</v>
      </c>
      <c r="J949" s="3">
        <v>130.71</v>
      </c>
      <c r="K949" s="4">
        <v>0.1</v>
      </c>
      <c r="L949" s="3">
        <v>941.11</v>
      </c>
      <c r="M949" s="3">
        <v>646.49</v>
      </c>
      <c r="N949" s="3">
        <v>294.62</v>
      </c>
    </row>
    <row r="950" spans="1:14" x14ac:dyDescent="0.35">
      <c r="A950" t="s">
        <v>1004</v>
      </c>
      <c r="B950" s="2">
        <v>46008</v>
      </c>
      <c r="C950" t="s">
        <v>32</v>
      </c>
      <c r="D950" t="s">
        <v>36</v>
      </c>
      <c r="E950" t="s">
        <v>27</v>
      </c>
      <c r="F950" t="s">
        <v>28</v>
      </c>
      <c r="G950" t="s">
        <v>19</v>
      </c>
      <c r="H950" t="s">
        <v>30</v>
      </c>
      <c r="I950">
        <v>9</v>
      </c>
      <c r="J950" s="3">
        <v>152.69</v>
      </c>
      <c r="K950" s="4">
        <v>0</v>
      </c>
      <c r="L950" s="3">
        <v>1374.21</v>
      </c>
      <c r="M950" s="3">
        <v>664.94</v>
      </c>
      <c r="N950" s="3">
        <v>709.27</v>
      </c>
    </row>
    <row r="951" spans="1:14" x14ac:dyDescent="0.35">
      <c r="A951" t="s">
        <v>1005</v>
      </c>
      <c r="B951" s="2">
        <v>46008</v>
      </c>
      <c r="C951" t="s">
        <v>15</v>
      </c>
      <c r="D951" t="s">
        <v>16</v>
      </c>
      <c r="E951" t="s">
        <v>53</v>
      </c>
      <c r="F951" t="s">
        <v>66</v>
      </c>
      <c r="G951" t="s">
        <v>19</v>
      </c>
      <c r="H951" t="s">
        <v>30</v>
      </c>
      <c r="I951">
        <v>11</v>
      </c>
      <c r="J951" s="3">
        <v>18.559999999999999</v>
      </c>
      <c r="K951" s="4">
        <v>0.05</v>
      </c>
      <c r="L951" s="3">
        <v>193.95</v>
      </c>
      <c r="M951" s="3">
        <v>129.4</v>
      </c>
      <c r="N951" s="3">
        <v>64.55</v>
      </c>
    </row>
    <row r="952" spans="1:14" x14ac:dyDescent="0.35">
      <c r="A952" t="s">
        <v>1006</v>
      </c>
      <c r="B952" s="2">
        <v>46009</v>
      </c>
      <c r="C952" t="s">
        <v>32</v>
      </c>
      <c r="D952" t="s">
        <v>36</v>
      </c>
      <c r="E952" t="s">
        <v>17</v>
      </c>
      <c r="F952" t="s">
        <v>34</v>
      </c>
      <c r="G952" t="s">
        <v>22</v>
      </c>
      <c r="H952" t="s">
        <v>20</v>
      </c>
      <c r="I952">
        <v>11</v>
      </c>
      <c r="J952" s="3">
        <v>18.32</v>
      </c>
      <c r="K952" s="4">
        <v>0.05</v>
      </c>
      <c r="L952" s="3">
        <v>191.44</v>
      </c>
      <c r="M952" s="3">
        <v>97.74</v>
      </c>
      <c r="N952" s="3">
        <v>93.7</v>
      </c>
    </row>
    <row r="953" spans="1:14" x14ac:dyDescent="0.35">
      <c r="A953" t="s">
        <v>1007</v>
      </c>
      <c r="B953" s="2">
        <v>46009</v>
      </c>
      <c r="C953" t="s">
        <v>32</v>
      </c>
      <c r="D953" t="s">
        <v>33</v>
      </c>
      <c r="E953" t="s">
        <v>53</v>
      </c>
      <c r="F953" t="s">
        <v>83</v>
      </c>
      <c r="G953" t="s">
        <v>19</v>
      </c>
      <c r="H953" t="s">
        <v>30</v>
      </c>
      <c r="I953">
        <v>4</v>
      </c>
      <c r="J953" s="3">
        <v>13.35</v>
      </c>
      <c r="K953" s="4">
        <v>0</v>
      </c>
      <c r="L953" s="3">
        <v>53.4</v>
      </c>
      <c r="M953" s="3">
        <v>26.08</v>
      </c>
      <c r="N953" s="3">
        <v>27.32</v>
      </c>
    </row>
    <row r="954" spans="1:14" x14ac:dyDescent="0.35">
      <c r="A954" t="s">
        <v>1008</v>
      </c>
      <c r="B954" s="2">
        <v>46009</v>
      </c>
      <c r="C954" t="s">
        <v>32</v>
      </c>
      <c r="D954" t="s">
        <v>36</v>
      </c>
      <c r="E954" t="s">
        <v>37</v>
      </c>
      <c r="F954" t="s">
        <v>38</v>
      </c>
      <c r="G954" t="s">
        <v>22</v>
      </c>
      <c r="H954" t="s">
        <v>20</v>
      </c>
      <c r="I954">
        <v>8</v>
      </c>
      <c r="J954" s="3">
        <v>63.87</v>
      </c>
      <c r="K954" s="4">
        <v>0</v>
      </c>
      <c r="L954" s="3">
        <v>510.96</v>
      </c>
      <c r="M954" s="3">
        <v>325.06</v>
      </c>
      <c r="N954" s="3">
        <v>185.9</v>
      </c>
    </row>
    <row r="955" spans="1:14" x14ac:dyDescent="0.35">
      <c r="A955" t="s">
        <v>1009</v>
      </c>
      <c r="B955" s="2">
        <v>46009</v>
      </c>
      <c r="C955" t="s">
        <v>32</v>
      </c>
      <c r="D955" t="s">
        <v>57</v>
      </c>
      <c r="E955" t="s">
        <v>53</v>
      </c>
      <c r="F955" t="s">
        <v>54</v>
      </c>
      <c r="G955" t="s">
        <v>19</v>
      </c>
      <c r="H955" t="s">
        <v>23</v>
      </c>
      <c r="I955">
        <v>8</v>
      </c>
      <c r="J955" s="3">
        <v>7.01</v>
      </c>
      <c r="K955" s="4">
        <v>0</v>
      </c>
      <c r="L955" s="3">
        <v>56.08</v>
      </c>
      <c r="M955" s="3">
        <v>31.88</v>
      </c>
      <c r="N955" s="3">
        <v>24.2</v>
      </c>
    </row>
    <row r="956" spans="1:14" x14ac:dyDescent="0.35">
      <c r="A956" t="s">
        <v>1010</v>
      </c>
      <c r="B956" s="2">
        <v>46010</v>
      </c>
      <c r="C956" t="s">
        <v>15</v>
      </c>
      <c r="D956" t="s">
        <v>46</v>
      </c>
      <c r="E956" t="s">
        <v>53</v>
      </c>
      <c r="F956" t="s">
        <v>83</v>
      </c>
      <c r="G956" t="s">
        <v>19</v>
      </c>
      <c r="H956" t="s">
        <v>20</v>
      </c>
      <c r="I956">
        <v>12</v>
      </c>
      <c r="J956" s="3">
        <v>17.95</v>
      </c>
      <c r="K956" s="4">
        <v>0</v>
      </c>
      <c r="L956" s="3">
        <v>215.4</v>
      </c>
      <c r="M956" s="3">
        <v>153.65</v>
      </c>
      <c r="N956" s="3">
        <v>61.75</v>
      </c>
    </row>
    <row r="957" spans="1:14" x14ac:dyDescent="0.35">
      <c r="A957" t="s">
        <v>1011</v>
      </c>
      <c r="B957" s="2">
        <v>46010</v>
      </c>
      <c r="C957" t="s">
        <v>25</v>
      </c>
      <c r="D957" t="s">
        <v>74</v>
      </c>
      <c r="E957" t="s">
        <v>27</v>
      </c>
      <c r="F957" t="s">
        <v>48</v>
      </c>
      <c r="G957" t="s">
        <v>19</v>
      </c>
      <c r="H957" t="s">
        <v>20</v>
      </c>
      <c r="I957">
        <v>5</v>
      </c>
      <c r="J957" s="3">
        <v>266.54000000000002</v>
      </c>
      <c r="K957" s="4">
        <v>0.1</v>
      </c>
      <c r="L957" s="3">
        <v>1199.43</v>
      </c>
      <c r="M957" s="3">
        <v>814.72</v>
      </c>
      <c r="N957" s="3">
        <v>384.71</v>
      </c>
    </row>
    <row r="958" spans="1:14" x14ac:dyDescent="0.35">
      <c r="A958" t="s">
        <v>1012</v>
      </c>
      <c r="B958" s="2">
        <v>46010</v>
      </c>
      <c r="C958" t="s">
        <v>25</v>
      </c>
      <c r="D958" t="s">
        <v>74</v>
      </c>
      <c r="E958" t="s">
        <v>53</v>
      </c>
      <c r="F958" t="s">
        <v>115</v>
      </c>
      <c r="G958" t="s">
        <v>29</v>
      </c>
      <c r="H958" t="s">
        <v>20</v>
      </c>
      <c r="I958">
        <v>2</v>
      </c>
      <c r="J958" s="3">
        <v>13.41</v>
      </c>
      <c r="K958" s="4">
        <v>0.1</v>
      </c>
      <c r="L958" s="3">
        <v>24.14</v>
      </c>
      <c r="M958" s="3">
        <v>20.87</v>
      </c>
      <c r="N958" s="3">
        <v>3.27</v>
      </c>
    </row>
    <row r="959" spans="1:14" x14ac:dyDescent="0.35">
      <c r="A959" t="s">
        <v>1013</v>
      </c>
      <c r="B959" s="2">
        <v>46010</v>
      </c>
      <c r="C959" t="s">
        <v>15</v>
      </c>
      <c r="D959" t="s">
        <v>46</v>
      </c>
      <c r="E959" t="s">
        <v>27</v>
      </c>
      <c r="F959" t="s">
        <v>48</v>
      </c>
      <c r="G959" t="s">
        <v>19</v>
      </c>
      <c r="H959" t="s">
        <v>20</v>
      </c>
      <c r="I959">
        <v>2</v>
      </c>
      <c r="J959" s="3">
        <v>251.49</v>
      </c>
      <c r="K959" s="4">
        <v>0.15</v>
      </c>
      <c r="L959" s="3">
        <v>427.53</v>
      </c>
      <c r="M959" s="3">
        <v>379.06</v>
      </c>
      <c r="N959" s="3">
        <v>48.47</v>
      </c>
    </row>
    <row r="960" spans="1:14" x14ac:dyDescent="0.35">
      <c r="A960" t="s">
        <v>1014</v>
      </c>
      <c r="B960" s="2">
        <v>46010</v>
      </c>
      <c r="C960" t="s">
        <v>32</v>
      </c>
      <c r="D960" t="s">
        <v>57</v>
      </c>
      <c r="E960" t="s">
        <v>53</v>
      </c>
      <c r="F960" t="s">
        <v>66</v>
      </c>
      <c r="G960" t="s">
        <v>29</v>
      </c>
      <c r="H960" t="s">
        <v>23</v>
      </c>
      <c r="I960">
        <v>2</v>
      </c>
      <c r="J960" s="3">
        <v>19.68</v>
      </c>
      <c r="K960" s="4">
        <v>0.1</v>
      </c>
      <c r="L960" s="3">
        <v>35.42</v>
      </c>
      <c r="M960" s="3">
        <v>19.97</v>
      </c>
      <c r="N960" s="3">
        <v>15.45</v>
      </c>
    </row>
    <row r="961" spans="1:14" x14ac:dyDescent="0.35">
      <c r="A961" t="s">
        <v>1015</v>
      </c>
      <c r="B961" s="2">
        <v>46011</v>
      </c>
      <c r="C961" t="s">
        <v>15</v>
      </c>
      <c r="D961" t="s">
        <v>59</v>
      </c>
      <c r="E961" t="s">
        <v>53</v>
      </c>
      <c r="F961" t="s">
        <v>66</v>
      </c>
      <c r="G961" t="s">
        <v>22</v>
      </c>
      <c r="H961" t="s">
        <v>23</v>
      </c>
      <c r="I961">
        <v>7</v>
      </c>
      <c r="J961" s="3">
        <v>25.16</v>
      </c>
      <c r="K961" s="4">
        <v>0.05</v>
      </c>
      <c r="L961" s="3">
        <v>167.31</v>
      </c>
      <c r="M961" s="3">
        <v>107.69</v>
      </c>
      <c r="N961" s="3">
        <v>59.62</v>
      </c>
    </row>
    <row r="962" spans="1:14" x14ac:dyDescent="0.35">
      <c r="A962" t="s">
        <v>1016</v>
      </c>
      <c r="B962" s="2">
        <v>46011</v>
      </c>
      <c r="C962" t="s">
        <v>25</v>
      </c>
      <c r="D962" t="s">
        <v>74</v>
      </c>
      <c r="E962" t="s">
        <v>53</v>
      </c>
      <c r="F962" t="s">
        <v>115</v>
      </c>
      <c r="G962" t="s">
        <v>19</v>
      </c>
      <c r="H962" t="s">
        <v>30</v>
      </c>
      <c r="I962">
        <v>12</v>
      </c>
      <c r="J962" s="3">
        <v>12.2</v>
      </c>
      <c r="K962" s="4">
        <v>0.05</v>
      </c>
      <c r="L962" s="3">
        <v>139.08000000000001</v>
      </c>
      <c r="M962" s="3">
        <v>109.67</v>
      </c>
      <c r="N962" s="3">
        <v>29.41</v>
      </c>
    </row>
    <row r="963" spans="1:14" x14ac:dyDescent="0.35">
      <c r="A963" t="s">
        <v>1017</v>
      </c>
      <c r="B963" s="2">
        <v>46011</v>
      </c>
      <c r="C963" t="s">
        <v>25</v>
      </c>
      <c r="D963" t="s">
        <v>74</v>
      </c>
      <c r="E963" t="s">
        <v>53</v>
      </c>
      <c r="F963" t="s">
        <v>66</v>
      </c>
      <c r="G963" t="s">
        <v>29</v>
      </c>
      <c r="H963" t="s">
        <v>23</v>
      </c>
      <c r="I963">
        <v>9</v>
      </c>
      <c r="J963" s="3">
        <v>20.68</v>
      </c>
      <c r="K963" s="4">
        <v>0.05</v>
      </c>
      <c r="L963" s="3">
        <v>176.81</v>
      </c>
      <c r="M963" s="3">
        <v>139.77000000000001</v>
      </c>
      <c r="N963" s="3">
        <v>37.04</v>
      </c>
    </row>
    <row r="964" spans="1:14" x14ac:dyDescent="0.35">
      <c r="A964" t="s">
        <v>1018</v>
      </c>
      <c r="B964" s="2">
        <v>46011</v>
      </c>
      <c r="C964" t="s">
        <v>25</v>
      </c>
      <c r="D964" t="s">
        <v>74</v>
      </c>
      <c r="E964" t="s">
        <v>37</v>
      </c>
      <c r="F964" t="s">
        <v>38</v>
      </c>
      <c r="G964" t="s">
        <v>19</v>
      </c>
      <c r="H964" t="s">
        <v>30</v>
      </c>
      <c r="I964">
        <v>1</v>
      </c>
      <c r="J964" s="3">
        <v>60.82</v>
      </c>
      <c r="K964" s="4">
        <v>0.15</v>
      </c>
      <c r="L964" s="3">
        <v>51.7</v>
      </c>
      <c r="M964" s="3">
        <v>36.159999999999997</v>
      </c>
      <c r="N964" s="3">
        <v>15.54</v>
      </c>
    </row>
    <row r="965" spans="1:14" x14ac:dyDescent="0.35">
      <c r="A965" t="s">
        <v>1019</v>
      </c>
      <c r="B965" s="2">
        <v>46011</v>
      </c>
      <c r="C965" t="s">
        <v>15</v>
      </c>
      <c r="D965" t="s">
        <v>16</v>
      </c>
      <c r="E965" t="s">
        <v>17</v>
      </c>
      <c r="F965" t="s">
        <v>34</v>
      </c>
      <c r="G965" t="s">
        <v>29</v>
      </c>
      <c r="H965" t="s">
        <v>23</v>
      </c>
      <c r="I965">
        <v>8</v>
      </c>
      <c r="J965" s="3">
        <v>22.55</v>
      </c>
      <c r="K965" s="4">
        <v>0</v>
      </c>
      <c r="L965" s="3">
        <v>180.4</v>
      </c>
      <c r="M965" s="3">
        <v>102.52</v>
      </c>
      <c r="N965" s="3">
        <v>77.88</v>
      </c>
    </row>
    <row r="966" spans="1:14" x14ac:dyDescent="0.35">
      <c r="A966" t="s">
        <v>1020</v>
      </c>
      <c r="B966" s="2">
        <v>46012</v>
      </c>
      <c r="C966" t="s">
        <v>32</v>
      </c>
      <c r="D966" t="s">
        <v>36</v>
      </c>
      <c r="E966" t="s">
        <v>27</v>
      </c>
      <c r="F966" t="s">
        <v>48</v>
      </c>
      <c r="G966" t="s">
        <v>19</v>
      </c>
      <c r="H966" t="s">
        <v>30</v>
      </c>
      <c r="I966">
        <v>1</v>
      </c>
      <c r="J966" s="3">
        <v>306.35000000000002</v>
      </c>
      <c r="K966" s="4">
        <v>0</v>
      </c>
      <c r="L966" s="3">
        <v>306.35000000000002</v>
      </c>
      <c r="M966" s="3">
        <v>225.52</v>
      </c>
      <c r="N966" s="3">
        <v>80.83</v>
      </c>
    </row>
    <row r="967" spans="1:14" x14ac:dyDescent="0.35">
      <c r="A967" t="s">
        <v>1021</v>
      </c>
      <c r="B967" s="2">
        <v>46012</v>
      </c>
      <c r="C967" t="s">
        <v>40</v>
      </c>
      <c r="D967" t="s">
        <v>41</v>
      </c>
      <c r="E967" t="s">
        <v>17</v>
      </c>
      <c r="F967" t="s">
        <v>44</v>
      </c>
      <c r="G967" t="s">
        <v>19</v>
      </c>
      <c r="H967" t="s">
        <v>20</v>
      </c>
      <c r="I967">
        <v>9</v>
      </c>
      <c r="J967" s="3">
        <v>17.989999999999998</v>
      </c>
      <c r="K967" s="4">
        <v>0.15</v>
      </c>
      <c r="L967" s="3">
        <v>137.62</v>
      </c>
      <c r="M967" s="3">
        <v>87.36</v>
      </c>
      <c r="N967" s="3">
        <v>50.26</v>
      </c>
    </row>
    <row r="968" spans="1:14" x14ac:dyDescent="0.35">
      <c r="A968" t="s">
        <v>1022</v>
      </c>
      <c r="B968" s="2">
        <v>46013</v>
      </c>
      <c r="C968" t="s">
        <v>15</v>
      </c>
      <c r="D968" t="s">
        <v>46</v>
      </c>
      <c r="E968" t="s">
        <v>37</v>
      </c>
      <c r="F968" t="s">
        <v>51</v>
      </c>
      <c r="G968" t="s">
        <v>22</v>
      </c>
      <c r="H968" t="s">
        <v>23</v>
      </c>
      <c r="I968">
        <v>1</v>
      </c>
      <c r="J968" s="3">
        <v>37.49</v>
      </c>
      <c r="K968" s="4">
        <v>0.1</v>
      </c>
      <c r="L968" s="3">
        <v>33.74</v>
      </c>
      <c r="M968" s="3">
        <v>18.61</v>
      </c>
      <c r="N968" s="3">
        <v>15.13</v>
      </c>
    </row>
    <row r="969" spans="1:14" x14ac:dyDescent="0.35">
      <c r="A969" t="s">
        <v>1023</v>
      </c>
      <c r="B969" s="2">
        <v>46013</v>
      </c>
      <c r="C969" t="s">
        <v>40</v>
      </c>
      <c r="D969" t="s">
        <v>50</v>
      </c>
      <c r="E969" t="s">
        <v>17</v>
      </c>
      <c r="F969" t="s">
        <v>34</v>
      </c>
      <c r="G969" t="s">
        <v>29</v>
      </c>
      <c r="H969" t="s">
        <v>20</v>
      </c>
      <c r="I969">
        <v>10</v>
      </c>
      <c r="J969" s="3">
        <v>22.51</v>
      </c>
      <c r="K969" s="4">
        <v>0.15</v>
      </c>
      <c r="L969" s="3">
        <v>191.34</v>
      </c>
      <c r="M969" s="3">
        <v>154.91999999999999</v>
      </c>
      <c r="N969" s="3">
        <v>36.42</v>
      </c>
    </row>
    <row r="970" spans="1:14" x14ac:dyDescent="0.35">
      <c r="A970" t="s">
        <v>1024</v>
      </c>
      <c r="B970" s="2">
        <v>46013</v>
      </c>
      <c r="C970" t="s">
        <v>40</v>
      </c>
      <c r="D970" t="s">
        <v>50</v>
      </c>
      <c r="E970" t="s">
        <v>17</v>
      </c>
      <c r="F970" t="s">
        <v>87</v>
      </c>
      <c r="G970" t="s">
        <v>29</v>
      </c>
      <c r="H970" t="s">
        <v>20</v>
      </c>
      <c r="I970">
        <v>6</v>
      </c>
      <c r="J970" s="3">
        <v>13.74</v>
      </c>
      <c r="K970" s="4">
        <v>0.1</v>
      </c>
      <c r="L970" s="3">
        <v>74.2</v>
      </c>
      <c r="M970" s="3">
        <v>48.6</v>
      </c>
      <c r="N970" s="3">
        <v>25.6</v>
      </c>
    </row>
    <row r="971" spans="1:14" x14ac:dyDescent="0.35">
      <c r="A971" t="s">
        <v>1025</v>
      </c>
      <c r="B971" s="2">
        <v>46014</v>
      </c>
      <c r="C971" t="s">
        <v>32</v>
      </c>
      <c r="D971" t="s">
        <v>33</v>
      </c>
      <c r="E971" t="s">
        <v>37</v>
      </c>
      <c r="F971" t="s">
        <v>75</v>
      </c>
      <c r="G971" t="s">
        <v>29</v>
      </c>
      <c r="H971" t="s">
        <v>20</v>
      </c>
      <c r="I971">
        <v>7</v>
      </c>
      <c r="J971" s="3">
        <v>26.58</v>
      </c>
      <c r="K971" s="4">
        <v>0</v>
      </c>
      <c r="L971" s="3">
        <v>186.06</v>
      </c>
      <c r="M971" s="3">
        <v>115.97</v>
      </c>
      <c r="N971" s="3">
        <v>70.09</v>
      </c>
    </row>
    <row r="972" spans="1:14" x14ac:dyDescent="0.35">
      <c r="A972" t="s">
        <v>1026</v>
      </c>
      <c r="B972" s="2">
        <v>46014</v>
      </c>
      <c r="C972" t="s">
        <v>25</v>
      </c>
      <c r="D972" t="s">
        <v>26</v>
      </c>
      <c r="E972" t="s">
        <v>53</v>
      </c>
      <c r="F972" t="s">
        <v>83</v>
      </c>
      <c r="G972" t="s">
        <v>19</v>
      </c>
      <c r="H972" t="s">
        <v>30</v>
      </c>
      <c r="I972">
        <v>4</v>
      </c>
      <c r="J972" s="3">
        <v>14.58</v>
      </c>
      <c r="K972" s="4">
        <v>0</v>
      </c>
      <c r="L972" s="3">
        <v>58.32</v>
      </c>
      <c r="M972" s="3">
        <v>45</v>
      </c>
      <c r="N972" s="3">
        <v>13.32</v>
      </c>
    </row>
    <row r="973" spans="1:14" x14ac:dyDescent="0.35">
      <c r="A973" t="s">
        <v>1027</v>
      </c>
      <c r="B973" s="2">
        <v>46014</v>
      </c>
      <c r="C973" t="s">
        <v>15</v>
      </c>
      <c r="D973" t="s">
        <v>46</v>
      </c>
      <c r="E973" t="s">
        <v>17</v>
      </c>
      <c r="F973" t="s">
        <v>87</v>
      </c>
      <c r="G973" t="s">
        <v>19</v>
      </c>
      <c r="H973" t="s">
        <v>20</v>
      </c>
      <c r="I973">
        <v>10</v>
      </c>
      <c r="J973" s="3">
        <v>12.81</v>
      </c>
      <c r="K973" s="4">
        <v>0.05</v>
      </c>
      <c r="L973" s="3">
        <v>121.69</v>
      </c>
      <c r="M973" s="3">
        <v>73.930000000000007</v>
      </c>
      <c r="N973" s="3">
        <v>47.76</v>
      </c>
    </row>
    <row r="974" spans="1:14" x14ac:dyDescent="0.35">
      <c r="A974" t="s">
        <v>1028</v>
      </c>
      <c r="B974" s="2">
        <v>46014</v>
      </c>
      <c r="C974" t="s">
        <v>32</v>
      </c>
      <c r="D974" t="s">
        <v>33</v>
      </c>
      <c r="E974" t="s">
        <v>17</v>
      </c>
      <c r="F974" t="s">
        <v>18</v>
      </c>
      <c r="G974" t="s">
        <v>29</v>
      </c>
      <c r="H974" t="s">
        <v>23</v>
      </c>
      <c r="I974">
        <v>2</v>
      </c>
      <c r="J974" s="3">
        <v>68.77</v>
      </c>
      <c r="K974" s="4">
        <v>0</v>
      </c>
      <c r="L974" s="3">
        <v>137.54</v>
      </c>
      <c r="M974" s="3">
        <v>66.95</v>
      </c>
      <c r="N974" s="3">
        <v>70.59</v>
      </c>
    </row>
    <row r="975" spans="1:14" x14ac:dyDescent="0.35">
      <c r="A975" t="s">
        <v>1029</v>
      </c>
      <c r="B975" s="2">
        <v>46014</v>
      </c>
      <c r="C975" t="s">
        <v>25</v>
      </c>
      <c r="D975" t="s">
        <v>97</v>
      </c>
      <c r="E975" t="s">
        <v>37</v>
      </c>
      <c r="F975" t="s">
        <v>75</v>
      </c>
      <c r="G975" t="s">
        <v>19</v>
      </c>
      <c r="H975" t="s">
        <v>20</v>
      </c>
      <c r="I975">
        <v>3</v>
      </c>
      <c r="J975" s="3">
        <v>22.54</v>
      </c>
      <c r="K975" s="4">
        <v>0</v>
      </c>
      <c r="L975" s="3">
        <v>67.62</v>
      </c>
      <c r="M975" s="3">
        <v>50.92</v>
      </c>
      <c r="N975" s="3">
        <v>16.7</v>
      </c>
    </row>
    <row r="976" spans="1:14" x14ac:dyDescent="0.35">
      <c r="A976" t="s">
        <v>1030</v>
      </c>
      <c r="B976" s="2">
        <v>46015</v>
      </c>
      <c r="C976" t="s">
        <v>40</v>
      </c>
      <c r="D976" t="s">
        <v>71</v>
      </c>
      <c r="E976" t="s">
        <v>53</v>
      </c>
      <c r="F976" t="s">
        <v>54</v>
      </c>
      <c r="G976" t="s">
        <v>22</v>
      </c>
      <c r="H976" t="s">
        <v>30</v>
      </c>
      <c r="I976">
        <v>11</v>
      </c>
      <c r="J976" s="3">
        <v>6.9</v>
      </c>
      <c r="K976" s="4">
        <v>0</v>
      </c>
      <c r="L976" s="3">
        <v>75.900000000000006</v>
      </c>
      <c r="M976" s="3">
        <v>51.35</v>
      </c>
      <c r="N976" s="3">
        <v>24.55</v>
      </c>
    </row>
    <row r="977" spans="1:14" x14ac:dyDescent="0.35">
      <c r="A977" t="s">
        <v>1031</v>
      </c>
      <c r="B977" s="2">
        <v>46015</v>
      </c>
      <c r="C977" t="s">
        <v>15</v>
      </c>
      <c r="D977" t="s">
        <v>16</v>
      </c>
      <c r="E977" t="s">
        <v>53</v>
      </c>
      <c r="F977" t="s">
        <v>83</v>
      </c>
      <c r="G977" t="s">
        <v>29</v>
      </c>
      <c r="H977" t="s">
        <v>30</v>
      </c>
      <c r="I977">
        <v>4</v>
      </c>
      <c r="J977" s="3">
        <v>17.239999999999998</v>
      </c>
      <c r="K977" s="4">
        <v>0.1</v>
      </c>
      <c r="L977" s="3">
        <v>62.06</v>
      </c>
      <c r="M977" s="3">
        <v>34</v>
      </c>
      <c r="N977" s="3">
        <v>28.06</v>
      </c>
    </row>
    <row r="978" spans="1:14" x14ac:dyDescent="0.35">
      <c r="A978" t="s">
        <v>1032</v>
      </c>
      <c r="B978" s="2">
        <v>46016</v>
      </c>
      <c r="C978" t="s">
        <v>32</v>
      </c>
      <c r="D978" t="s">
        <v>36</v>
      </c>
      <c r="E978" t="s">
        <v>53</v>
      </c>
      <c r="F978" t="s">
        <v>83</v>
      </c>
      <c r="G978" t="s">
        <v>19</v>
      </c>
      <c r="H978" t="s">
        <v>30</v>
      </c>
      <c r="I978">
        <v>12</v>
      </c>
      <c r="J978" s="3">
        <v>15.79</v>
      </c>
      <c r="K978" s="4">
        <v>0</v>
      </c>
      <c r="L978" s="3">
        <v>189.48</v>
      </c>
      <c r="M978" s="3">
        <v>96.24</v>
      </c>
      <c r="N978" s="3">
        <v>93.24</v>
      </c>
    </row>
    <row r="979" spans="1:14" x14ac:dyDescent="0.35">
      <c r="A979" t="s">
        <v>1033</v>
      </c>
      <c r="B979" s="2">
        <v>46016</v>
      </c>
      <c r="C979" t="s">
        <v>40</v>
      </c>
      <c r="D979" t="s">
        <v>41</v>
      </c>
      <c r="E979" t="s">
        <v>27</v>
      </c>
      <c r="F979" t="s">
        <v>79</v>
      </c>
      <c r="G979" t="s">
        <v>22</v>
      </c>
      <c r="H979" t="s">
        <v>20</v>
      </c>
      <c r="I979">
        <v>12</v>
      </c>
      <c r="J979" s="3">
        <v>121.87</v>
      </c>
      <c r="K979" s="4">
        <v>0.15</v>
      </c>
      <c r="L979" s="3">
        <v>1243.07</v>
      </c>
      <c r="M979" s="3">
        <v>979.51</v>
      </c>
      <c r="N979" s="3">
        <v>263.56</v>
      </c>
    </row>
    <row r="980" spans="1:14" x14ac:dyDescent="0.35">
      <c r="A980" t="s">
        <v>1034</v>
      </c>
      <c r="B980" s="2">
        <v>46016</v>
      </c>
      <c r="C980" t="s">
        <v>32</v>
      </c>
      <c r="D980" t="s">
        <v>36</v>
      </c>
      <c r="E980" t="s">
        <v>37</v>
      </c>
      <c r="F980" t="s">
        <v>38</v>
      </c>
      <c r="G980" t="s">
        <v>19</v>
      </c>
      <c r="H980" t="s">
        <v>30</v>
      </c>
      <c r="I980">
        <v>9</v>
      </c>
      <c r="J980" s="3">
        <v>48.79</v>
      </c>
      <c r="K980" s="4">
        <v>0.05</v>
      </c>
      <c r="L980" s="3">
        <v>417.15</v>
      </c>
      <c r="M980" s="3">
        <v>290.68</v>
      </c>
      <c r="N980" s="3">
        <v>126.47</v>
      </c>
    </row>
    <row r="981" spans="1:14" x14ac:dyDescent="0.35">
      <c r="A981" t="s">
        <v>1035</v>
      </c>
      <c r="B981" s="2">
        <v>46016</v>
      </c>
      <c r="C981" t="s">
        <v>25</v>
      </c>
      <c r="D981" t="s">
        <v>26</v>
      </c>
      <c r="E981" t="s">
        <v>37</v>
      </c>
      <c r="F981" t="s">
        <v>75</v>
      </c>
      <c r="G981" t="s">
        <v>22</v>
      </c>
      <c r="H981" t="s">
        <v>30</v>
      </c>
      <c r="I981">
        <v>5</v>
      </c>
      <c r="J981" s="3">
        <v>25.5</v>
      </c>
      <c r="K981" s="4">
        <v>0</v>
      </c>
      <c r="L981" s="3">
        <v>127.5</v>
      </c>
      <c r="M981" s="3">
        <v>94.47</v>
      </c>
      <c r="N981" s="3">
        <v>33.03</v>
      </c>
    </row>
    <row r="982" spans="1:14" x14ac:dyDescent="0.35">
      <c r="A982" t="s">
        <v>1036</v>
      </c>
      <c r="B982" s="2">
        <v>46016</v>
      </c>
      <c r="C982" t="s">
        <v>25</v>
      </c>
      <c r="D982" t="s">
        <v>97</v>
      </c>
      <c r="E982" t="s">
        <v>53</v>
      </c>
      <c r="F982" t="s">
        <v>115</v>
      </c>
      <c r="G982" t="s">
        <v>22</v>
      </c>
      <c r="H982" t="s">
        <v>30</v>
      </c>
      <c r="I982">
        <v>4</v>
      </c>
      <c r="J982" s="3">
        <v>12.34</v>
      </c>
      <c r="K982" s="4">
        <v>0.05</v>
      </c>
      <c r="L982" s="3">
        <v>46.89</v>
      </c>
      <c r="M982" s="3">
        <v>35.549999999999997</v>
      </c>
      <c r="N982" s="3">
        <v>11.34</v>
      </c>
    </row>
    <row r="983" spans="1:14" x14ac:dyDescent="0.35">
      <c r="A983" t="s">
        <v>1037</v>
      </c>
      <c r="B983" s="2">
        <v>46016</v>
      </c>
      <c r="C983" t="s">
        <v>25</v>
      </c>
      <c r="D983" t="s">
        <v>74</v>
      </c>
      <c r="E983" t="s">
        <v>17</v>
      </c>
      <c r="F983" t="s">
        <v>44</v>
      </c>
      <c r="G983" t="s">
        <v>29</v>
      </c>
      <c r="H983" t="s">
        <v>30</v>
      </c>
      <c r="I983">
        <v>3</v>
      </c>
      <c r="J983" s="3">
        <v>15.41</v>
      </c>
      <c r="K983" s="4">
        <v>0.15</v>
      </c>
      <c r="L983" s="3">
        <v>39.299999999999997</v>
      </c>
      <c r="M983" s="3">
        <v>34.200000000000003</v>
      </c>
      <c r="N983" s="3">
        <v>5.0999999999999996</v>
      </c>
    </row>
    <row r="984" spans="1:14" x14ac:dyDescent="0.35">
      <c r="A984" t="s">
        <v>1038</v>
      </c>
      <c r="B984" s="2">
        <v>46017</v>
      </c>
      <c r="C984" t="s">
        <v>32</v>
      </c>
      <c r="D984" t="s">
        <v>57</v>
      </c>
      <c r="E984" t="s">
        <v>17</v>
      </c>
      <c r="F984" t="s">
        <v>44</v>
      </c>
      <c r="G984" t="s">
        <v>22</v>
      </c>
      <c r="H984" t="s">
        <v>23</v>
      </c>
      <c r="I984">
        <v>12</v>
      </c>
      <c r="J984" s="3">
        <v>17.440000000000001</v>
      </c>
      <c r="K984" s="4">
        <v>0</v>
      </c>
      <c r="L984" s="3">
        <v>209.28</v>
      </c>
      <c r="M984" s="3">
        <v>129.29</v>
      </c>
      <c r="N984" s="3">
        <v>79.989999999999995</v>
      </c>
    </row>
    <row r="985" spans="1:14" x14ac:dyDescent="0.35">
      <c r="A985" t="s">
        <v>1039</v>
      </c>
      <c r="B985" s="2">
        <v>46017</v>
      </c>
      <c r="C985" t="s">
        <v>40</v>
      </c>
      <c r="D985" t="s">
        <v>71</v>
      </c>
      <c r="E985" t="s">
        <v>17</v>
      </c>
      <c r="F985" t="s">
        <v>34</v>
      </c>
      <c r="G985" t="s">
        <v>19</v>
      </c>
      <c r="H985" t="s">
        <v>20</v>
      </c>
      <c r="I985">
        <v>8</v>
      </c>
      <c r="J985" s="3">
        <v>17.14</v>
      </c>
      <c r="K985" s="4">
        <v>0.1</v>
      </c>
      <c r="L985" s="3">
        <v>123.41</v>
      </c>
      <c r="M985" s="3">
        <v>89.89</v>
      </c>
      <c r="N985" s="3">
        <v>33.520000000000003</v>
      </c>
    </row>
    <row r="986" spans="1:14" x14ac:dyDescent="0.35">
      <c r="A986" t="s">
        <v>1040</v>
      </c>
      <c r="B986" s="2">
        <v>46017</v>
      </c>
      <c r="C986" t="s">
        <v>40</v>
      </c>
      <c r="D986" t="s">
        <v>71</v>
      </c>
      <c r="E986" t="s">
        <v>37</v>
      </c>
      <c r="F986" t="s">
        <v>42</v>
      </c>
      <c r="G986" t="s">
        <v>22</v>
      </c>
      <c r="H986" t="s">
        <v>23</v>
      </c>
      <c r="I986">
        <v>3</v>
      </c>
      <c r="J986" s="3">
        <v>18.399999999999999</v>
      </c>
      <c r="K986" s="4">
        <v>0.1</v>
      </c>
      <c r="L986" s="3">
        <v>49.68</v>
      </c>
      <c r="M986" s="3">
        <v>28.27</v>
      </c>
      <c r="N986" s="3">
        <v>21.41</v>
      </c>
    </row>
    <row r="987" spans="1:14" x14ac:dyDescent="0.35">
      <c r="A987" t="s">
        <v>1041</v>
      </c>
      <c r="B987" s="2">
        <v>46018</v>
      </c>
      <c r="C987" t="s">
        <v>40</v>
      </c>
      <c r="D987" t="s">
        <v>50</v>
      </c>
      <c r="E987" t="s">
        <v>53</v>
      </c>
      <c r="F987" t="s">
        <v>54</v>
      </c>
      <c r="G987" t="s">
        <v>22</v>
      </c>
      <c r="H987" t="s">
        <v>23</v>
      </c>
      <c r="I987">
        <v>8</v>
      </c>
      <c r="J987" s="3">
        <v>7.31</v>
      </c>
      <c r="K987" s="4">
        <v>0</v>
      </c>
      <c r="L987" s="3">
        <v>58.48</v>
      </c>
      <c r="M987" s="3">
        <v>35.979999999999997</v>
      </c>
      <c r="N987" s="3">
        <v>22.5</v>
      </c>
    </row>
    <row r="988" spans="1:14" x14ac:dyDescent="0.35">
      <c r="A988" t="s">
        <v>1042</v>
      </c>
      <c r="B988" s="2">
        <v>46018</v>
      </c>
      <c r="C988" t="s">
        <v>40</v>
      </c>
      <c r="D988" t="s">
        <v>71</v>
      </c>
      <c r="E988" t="s">
        <v>27</v>
      </c>
      <c r="F988" t="s">
        <v>28</v>
      </c>
      <c r="G988" t="s">
        <v>22</v>
      </c>
      <c r="H988" t="s">
        <v>23</v>
      </c>
      <c r="I988">
        <v>11</v>
      </c>
      <c r="J988" s="3">
        <v>169.74</v>
      </c>
      <c r="K988" s="4">
        <v>0.05</v>
      </c>
      <c r="L988" s="3">
        <v>1773.78</v>
      </c>
      <c r="M988" s="3">
        <v>1102.0999999999999</v>
      </c>
      <c r="N988" s="3">
        <v>671.68</v>
      </c>
    </row>
    <row r="989" spans="1:14" x14ac:dyDescent="0.35">
      <c r="A989" t="s">
        <v>1043</v>
      </c>
      <c r="B989" s="2">
        <v>46018</v>
      </c>
      <c r="C989" t="s">
        <v>32</v>
      </c>
      <c r="D989" t="s">
        <v>33</v>
      </c>
      <c r="E989" t="s">
        <v>53</v>
      </c>
      <c r="F989" t="s">
        <v>83</v>
      </c>
      <c r="G989" t="s">
        <v>19</v>
      </c>
      <c r="H989" t="s">
        <v>23</v>
      </c>
      <c r="I989">
        <v>6</v>
      </c>
      <c r="J989" s="3">
        <v>15.27</v>
      </c>
      <c r="K989" s="4">
        <v>0.15</v>
      </c>
      <c r="L989" s="3">
        <v>77.88</v>
      </c>
      <c r="M989" s="3">
        <v>69.64</v>
      </c>
      <c r="N989" s="3">
        <v>8.24</v>
      </c>
    </row>
    <row r="990" spans="1:14" x14ac:dyDescent="0.35">
      <c r="A990" t="s">
        <v>1044</v>
      </c>
      <c r="B990" s="2">
        <v>46019</v>
      </c>
      <c r="C990" t="s">
        <v>32</v>
      </c>
      <c r="D990" t="s">
        <v>33</v>
      </c>
      <c r="E990" t="s">
        <v>53</v>
      </c>
      <c r="F990" t="s">
        <v>54</v>
      </c>
      <c r="G990" t="s">
        <v>22</v>
      </c>
      <c r="H990" t="s">
        <v>30</v>
      </c>
      <c r="I990">
        <v>9</v>
      </c>
      <c r="J990" s="3">
        <v>7.71</v>
      </c>
      <c r="K990" s="4">
        <v>0.1</v>
      </c>
      <c r="L990" s="3">
        <v>62.45</v>
      </c>
      <c r="M990" s="3">
        <v>44.25</v>
      </c>
      <c r="N990" s="3">
        <v>18.2</v>
      </c>
    </row>
    <row r="991" spans="1:14" x14ac:dyDescent="0.35">
      <c r="A991" t="s">
        <v>1045</v>
      </c>
      <c r="B991" s="2">
        <v>46019</v>
      </c>
      <c r="C991" t="s">
        <v>32</v>
      </c>
      <c r="D991" t="s">
        <v>36</v>
      </c>
      <c r="E991" t="s">
        <v>17</v>
      </c>
      <c r="F991" t="s">
        <v>34</v>
      </c>
      <c r="G991" t="s">
        <v>29</v>
      </c>
      <c r="H991" t="s">
        <v>20</v>
      </c>
      <c r="I991">
        <v>2</v>
      </c>
      <c r="J991" s="3">
        <v>23.97</v>
      </c>
      <c r="K991" s="4">
        <v>0.1</v>
      </c>
      <c r="L991" s="3">
        <v>43.15</v>
      </c>
      <c r="M991" s="3">
        <v>23.6</v>
      </c>
      <c r="N991" s="3">
        <v>19.55</v>
      </c>
    </row>
    <row r="992" spans="1:14" x14ac:dyDescent="0.35">
      <c r="A992" t="s">
        <v>1046</v>
      </c>
      <c r="B992" s="2">
        <v>46020</v>
      </c>
      <c r="C992" t="s">
        <v>40</v>
      </c>
      <c r="D992" t="s">
        <v>50</v>
      </c>
      <c r="E992" t="s">
        <v>37</v>
      </c>
      <c r="F992" t="s">
        <v>42</v>
      </c>
      <c r="G992" t="s">
        <v>22</v>
      </c>
      <c r="H992" t="s">
        <v>20</v>
      </c>
      <c r="I992">
        <v>10</v>
      </c>
      <c r="J992" s="3">
        <v>16.12</v>
      </c>
      <c r="K992" s="4">
        <v>0.15</v>
      </c>
      <c r="L992" s="3">
        <v>137.02000000000001</v>
      </c>
      <c r="M992" s="3">
        <v>116.22</v>
      </c>
      <c r="N992" s="3">
        <v>20.8</v>
      </c>
    </row>
    <row r="993" spans="1:14" x14ac:dyDescent="0.35">
      <c r="A993" t="s">
        <v>1047</v>
      </c>
      <c r="B993" s="2">
        <v>46020</v>
      </c>
      <c r="C993" t="s">
        <v>32</v>
      </c>
      <c r="D993" t="s">
        <v>57</v>
      </c>
      <c r="E993" t="s">
        <v>17</v>
      </c>
      <c r="F993" t="s">
        <v>34</v>
      </c>
      <c r="G993" t="s">
        <v>22</v>
      </c>
      <c r="H993" t="s">
        <v>23</v>
      </c>
      <c r="I993">
        <v>12</v>
      </c>
      <c r="J993" s="3">
        <v>23.09</v>
      </c>
      <c r="K993" s="4">
        <v>0</v>
      </c>
      <c r="L993" s="3">
        <v>277.08</v>
      </c>
      <c r="M993" s="3">
        <v>186.79</v>
      </c>
      <c r="N993" s="3">
        <v>90.29</v>
      </c>
    </row>
    <row r="994" spans="1:14" x14ac:dyDescent="0.35">
      <c r="A994" t="s">
        <v>1048</v>
      </c>
      <c r="B994" s="2">
        <v>46021</v>
      </c>
      <c r="C994" t="s">
        <v>15</v>
      </c>
      <c r="D994" t="s">
        <v>16</v>
      </c>
      <c r="E994" t="s">
        <v>17</v>
      </c>
      <c r="F994" t="s">
        <v>87</v>
      </c>
      <c r="G994" t="s">
        <v>19</v>
      </c>
      <c r="H994" t="s">
        <v>20</v>
      </c>
      <c r="I994">
        <v>5</v>
      </c>
      <c r="J994" s="3">
        <v>12.47</v>
      </c>
      <c r="K994" s="4">
        <v>0</v>
      </c>
      <c r="L994" s="3">
        <v>62.35</v>
      </c>
      <c r="M994" s="3">
        <v>48.23</v>
      </c>
      <c r="N994" s="3">
        <v>14.12</v>
      </c>
    </row>
    <row r="995" spans="1:14" x14ac:dyDescent="0.35">
      <c r="A995" t="s">
        <v>1049</v>
      </c>
      <c r="B995" s="2">
        <v>46021</v>
      </c>
      <c r="C995" t="s">
        <v>40</v>
      </c>
      <c r="D995" t="s">
        <v>71</v>
      </c>
      <c r="E995" t="s">
        <v>53</v>
      </c>
      <c r="F995" t="s">
        <v>83</v>
      </c>
      <c r="G995" t="s">
        <v>29</v>
      </c>
      <c r="H995" t="s">
        <v>23</v>
      </c>
      <c r="I995">
        <v>3</v>
      </c>
      <c r="J995" s="3">
        <v>14.18</v>
      </c>
      <c r="K995" s="4">
        <v>0</v>
      </c>
      <c r="L995" s="3">
        <v>42.54</v>
      </c>
      <c r="M995" s="3">
        <v>27.07</v>
      </c>
      <c r="N995" s="3">
        <v>15.47</v>
      </c>
    </row>
    <row r="996" spans="1:14" x14ac:dyDescent="0.35">
      <c r="A996" t="s">
        <v>1050</v>
      </c>
      <c r="B996" s="2">
        <v>46021</v>
      </c>
      <c r="C996" t="s">
        <v>25</v>
      </c>
      <c r="D996" t="s">
        <v>97</v>
      </c>
      <c r="E996" t="s">
        <v>27</v>
      </c>
      <c r="F996" t="s">
        <v>68</v>
      </c>
      <c r="G996" t="s">
        <v>22</v>
      </c>
      <c r="H996" t="s">
        <v>23</v>
      </c>
      <c r="I996">
        <v>12</v>
      </c>
      <c r="J996" s="3">
        <v>45.13</v>
      </c>
      <c r="K996" s="4">
        <v>0.05</v>
      </c>
      <c r="L996" s="3">
        <v>514.48</v>
      </c>
      <c r="M996" s="3">
        <v>332.87</v>
      </c>
      <c r="N996" s="3">
        <v>181.61</v>
      </c>
    </row>
    <row r="997" spans="1:14" x14ac:dyDescent="0.35">
      <c r="A997" t="s">
        <v>1051</v>
      </c>
      <c r="B997" s="2">
        <v>46021</v>
      </c>
      <c r="C997" t="s">
        <v>40</v>
      </c>
      <c r="D997" t="s">
        <v>71</v>
      </c>
      <c r="E997" t="s">
        <v>53</v>
      </c>
      <c r="F997" t="s">
        <v>66</v>
      </c>
      <c r="G997" t="s">
        <v>19</v>
      </c>
      <c r="H997" t="s">
        <v>23</v>
      </c>
      <c r="I997">
        <v>9</v>
      </c>
      <c r="J997" s="3">
        <v>19.5</v>
      </c>
      <c r="K997" s="4">
        <v>0</v>
      </c>
      <c r="L997" s="3">
        <v>175.5</v>
      </c>
      <c r="M997" s="3">
        <v>125.94</v>
      </c>
      <c r="N997" s="3">
        <v>49.56</v>
      </c>
    </row>
    <row r="998" spans="1:14" x14ac:dyDescent="0.35">
      <c r="A998" t="s">
        <v>1052</v>
      </c>
      <c r="B998" s="2">
        <v>46022</v>
      </c>
      <c r="C998" t="s">
        <v>15</v>
      </c>
      <c r="D998" t="s">
        <v>16</v>
      </c>
      <c r="E998" t="s">
        <v>17</v>
      </c>
      <c r="F998" t="s">
        <v>44</v>
      </c>
      <c r="G998" t="s">
        <v>22</v>
      </c>
      <c r="H998" t="s">
        <v>30</v>
      </c>
      <c r="I998">
        <v>10</v>
      </c>
      <c r="J998" s="3">
        <v>16.940000000000001</v>
      </c>
      <c r="K998" s="4">
        <v>0.05</v>
      </c>
      <c r="L998" s="3">
        <v>160.93</v>
      </c>
      <c r="M998" s="3">
        <v>109.52</v>
      </c>
      <c r="N998" s="3">
        <v>51.41</v>
      </c>
    </row>
    <row r="999" spans="1:14" x14ac:dyDescent="0.35">
      <c r="A999" t="s">
        <v>1053</v>
      </c>
      <c r="B999" s="2">
        <v>46022</v>
      </c>
      <c r="C999" t="s">
        <v>40</v>
      </c>
      <c r="D999" t="s">
        <v>71</v>
      </c>
      <c r="E999" t="s">
        <v>17</v>
      </c>
      <c r="F999" t="s">
        <v>34</v>
      </c>
      <c r="G999" t="s">
        <v>19</v>
      </c>
      <c r="H999" t="s">
        <v>23</v>
      </c>
      <c r="I999">
        <v>12</v>
      </c>
      <c r="J999" s="3">
        <v>19.82</v>
      </c>
      <c r="K999" s="4">
        <v>0.15</v>
      </c>
      <c r="L999" s="3">
        <v>202.16</v>
      </c>
      <c r="M999" s="3">
        <v>152.53</v>
      </c>
      <c r="N999" s="3">
        <v>49.63</v>
      </c>
    </row>
    <row r="1000" spans="1:14" x14ac:dyDescent="0.35">
      <c r="A1000" t="s">
        <v>1054</v>
      </c>
      <c r="B1000" s="2">
        <v>46022</v>
      </c>
      <c r="C1000" t="s">
        <v>25</v>
      </c>
      <c r="D1000" t="s">
        <v>74</v>
      </c>
      <c r="E1000" t="s">
        <v>17</v>
      </c>
      <c r="F1000" t="s">
        <v>34</v>
      </c>
      <c r="G1000" t="s">
        <v>22</v>
      </c>
      <c r="H1000" t="s">
        <v>30</v>
      </c>
      <c r="I1000">
        <v>9</v>
      </c>
      <c r="J1000" s="3">
        <v>18.5</v>
      </c>
      <c r="K1000" s="4">
        <v>0.05</v>
      </c>
      <c r="L1000" s="3">
        <v>158.16999999999999</v>
      </c>
      <c r="M1000" s="3">
        <v>89.11</v>
      </c>
      <c r="N1000" s="3">
        <v>69.06</v>
      </c>
    </row>
    <row r="1001" spans="1:14" x14ac:dyDescent="0.35">
      <c r="A1001" t="s">
        <v>1055</v>
      </c>
      <c r="B1001" s="2">
        <v>46022</v>
      </c>
      <c r="C1001" t="s">
        <v>40</v>
      </c>
      <c r="D1001" t="s">
        <v>50</v>
      </c>
      <c r="E1001" t="s">
        <v>37</v>
      </c>
      <c r="F1001" t="s">
        <v>75</v>
      </c>
      <c r="G1001" t="s">
        <v>22</v>
      </c>
      <c r="H1001" t="s">
        <v>23</v>
      </c>
      <c r="I1001">
        <v>5</v>
      </c>
      <c r="J1001" s="3">
        <v>23</v>
      </c>
      <c r="K1001" s="4">
        <v>0.1</v>
      </c>
      <c r="L1001" s="3">
        <v>103.5</v>
      </c>
      <c r="M1001" s="3">
        <v>65.16</v>
      </c>
      <c r="N1001" s="3">
        <v>38.340000000000003</v>
      </c>
    </row>
  </sheetData>
  <autoFilter ref="A1:N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7" width="18" customWidth="1"/>
  </cols>
  <sheetData>
    <row r="1" spans="1:1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1056</v>
      </c>
      <c r="P1" s="1" t="s">
        <v>1057</v>
      </c>
      <c r="Q1" s="1" t="s">
        <v>1058</v>
      </c>
    </row>
    <row r="2" spans="1:17" x14ac:dyDescent="0.35">
      <c r="A2" t="str">
        <f>Raw_Data!A2</f>
        <v>ORD-0782</v>
      </c>
      <c r="B2" s="2">
        <f>Raw_Data!B2</f>
        <v>45658</v>
      </c>
      <c r="C2" t="str">
        <f>Raw_Data!C2</f>
        <v>West</v>
      </c>
      <c r="D2" t="str">
        <f>Raw_Data!D2</f>
        <v>Pune</v>
      </c>
      <c r="E2" t="str">
        <f>Raw_Data!E2</f>
        <v>Home &amp; Kitchen</v>
      </c>
      <c r="F2" t="str">
        <f>Raw_Data!F2</f>
        <v>Coffee Maker</v>
      </c>
      <c r="G2" t="str">
        <f>Raw_Data!G2</f>
        <v>Small Business</v>
      </c>
      <c r="H2" t="str">
        <f>Raw_Data!H2</f>
        <v>Marketplace</v>
      </c>
      <c r="I2">
        <f>Raw_Data!I2</f>
        <v>11</v>
      </c>
      <c r="J2" s="3">
        <f>Raw_Data!J2</f>
        <v>85.7</v>
      </c>
      <c r="K2" s="4">
        <f>Raw_Data!K2</f>
        <v>0</v>
      </c>
      <c r="L2" s="3">
        <f>Raw_Data!L2</f>
        <v>942.7</v>
      </c>
      <c r="M2" s="3">
        <f>Raw_Data!M2</f>
        <v>469.51</v>
      </c>
      <c r="N2" s="3">
        <f>Raw_Data!N2</f>
        <v>473.19</v>
      </c>
      <c r="O2" t="str">
        <f t="shared" ref="O2:O65" si="0">TEXT(B2,"yyyy-mm")</f>
        <v>2025-01</v>
      </c>
      <c r="P2" s="5">
        <f t="shared" ref="P2:P65" si="1">IFERROR(N2/L2,0)</f>
        <v>0.50195184045825814</v>
      </c>
      <c r="Q2" s="3">
        <f t="shared" ref="Q2:Q65" si="2">IFERROR(L2,0)</f>
        <v>942.7</v>
      </c>
    </row>
    <row r="3" spans="1:17" x14ac:dyDescent="0.35">
      <c r="A3" t="str">
        <f>Raw_Data!A3</f>
        <v>ORD-0024</v>
      </c>
      <c r="B3" s="2">
        <f>Raw_Data!B3</f>
        <v>45659</v>
      </c>
      <c r="C3" t="str">
        <f>Raw_Data!C3</f>
        <v>West</v>
      </c>
      <c r="D3" t="str">
        <f>Raw_Data!D3</f>
        <v>Pune</v>
      </c>
      <c r="E3" t="str">
        <f>Raw_Data!E3</f>
        <v>Home &amp; Kitchen</v>
      </c>
      <c r="F3" t="str">
        <f>Raw_Data!F3</f>
        <v>Coffee Maker</v>
      </c>
      <c r="G3" t="str">
        <f>Raw_Data!G3</f>
        <v>Consumer</v>
      </c>
      <c r="H3" t="str">
        <f>Raw_Data!H3</f>
        <v>Online</v>
      </c>
      <c r="I3">
        <f>Raw_Data!I3</f>
        <v>8</v>
      </c>
      <c r="J3" s="3">
        <f>Raw_Data!J3</f>
        <v>68.39</v>
      </c>
      <c r="K3" s="4">
        <f>Raw_Data!K3</f>
        <v>0.15</v>
      </c>
      <c r="L3" s="3">
        <f>Raw_Data!L3</f>
        <v>465.05</v>
      </c>
      <c r="M3" s="3">
        <f>Raw_Data!M3</f>
        <v>371.25</v>
      </c>
      <c r="N3" s="3">
        <f>Raw_Data!N3</f>
        <v>93.8</v>
      </c>
      <c r="O3" t="str">
        <f t="shared" si="0"/>
        <v>2025-01</v>
      </c>
      <c r="P3" s="5">
        <f t="shared" si="1"/>
        <v>0.20169874207074506</v>
      </c>
      <c r="Q3" s="3">
        <f t="shared" si="2"/>
        <v>465.05</v>
      </c>
    </row>
    <row r="4" spans="1:17" x14ac:dyDescent="0.35">
      <c r="A4" t="str">
        <f>Raw_Data!A4</f>
        <v>ORD-0537</v>
      </c>
      <c r="B4" s="2">
        <f>Raw_Data!B4</f>
        <v>45659</v>
      </c>
      <c r="C4" t="str">
        <f>Raw_Data!C4</f>
        <v>North</v>
      </c>
      <c r="D4" t="str">
        <f>Raw_Data!D4</f>
        <v>Delhi</v>
      </c>
      <c r="E4" t="str">
        <f>Raw_Data!E4</f>
        <v>Furniture</v>
      </c>
      <c r="F4" t="str">
        <f>Raw_Data!F4</f>
        <v>Office Chair</v>
      </c>
      <c r="G4" t="str">
        <f>Raw_Data!G4</f>
        <v>Corporate</v>
      </c>
      <c r="H4" t="str">
        <f>Raw_Data!H4</f>
        <v>In-Store</v>
      </c>
      <c r="I4">
        <f>Raw_Data!I4</f>
        <v>8</v>
      </c>
      <c r="J4" s="3">
        <f>Raw_Data!J4</f>
        <v>148.5</v>
      </c>
      <c r="K4" s="4">
        <f>Raw_Data!K4</f>
        <v>0.1</v>
      </c>
      <c r="L4" s="3">
        <f>Raw_Data!L4</f>
        <v>1069.2</v>
      </c>
      <c r="M4" s="3">
        <f>Raw_Data!M4</f>
        <v>763.94</v>
      </c>
      <c r="N4" s="3">
        <f>Raw_Data!N4</f>
        <v>305.26</v>
      </c>
      <c r="O4" t="str">
        <f t="shared" si="0"/>
        <v>2025-01</v>
      </c>
      <c r="P4" s="5">
        <f t="shared" si="1"/>
        <v>0.28550317994762436</v>
      </c>
      <c r="Q4" s="3">
        <f t="shared" si="2"/>
        <v>1069.2</v>
      </c>
    </row>
    <row r="5" spans="1:17" x14ac:dyDescent="0.35">
      <c r="A5" t="str">
        <f>Raw_Data!A5</f>
        <v>ORD-0075</v>
      </c>
      <c r="B5" s="2">
        <f>Raw_Data!B5</f>
        <v>45659</v>
      </c>
      <c r="C5" t="str">
        <f>Raw_Data!C5</f>
        <v>East</v>
      </c>
      <c r="D5" t="str">
        <f>Raw_Data!D5</f>
        <v>Guwahati</v>
      </c>
      <c r="E5" t="str">
        <f>Raw_Data!E5</f>
        <v>Home &amp; Kitchen</v>
      </c>
      <c r="F5" t="str">
        <f>Raw_Data!F5</f>
        <v>Lunch Box</v>
      </c>
      <c r="G5" t="str">
        <f>Raw_Data!G5</f>
        <v>Corporate</v>
      </c>
      <c r="H5" t="str">
        <f>Raw_Data!H5</f>
        <v>In-Store</v>
      </c>
      <c r="I5">
        <f>Raw_Data!I5</f>
        <v>12</v>
      </c>
      <c r="J5" s="3">
        <f>Raw_Data!J5</f>
        <v>21.16</v>
      </c>
      <c r="K5" s="4">
        <f>Raw_Data!K5</f>
        <v>0.05</v>
      </c>
      <c r="L5" s="3">
        <f>Raw_Data!L5</f>
        <v>241.22</v>
      </c>
      <c r="M5" s="3">
        <f>Raw_Data!M5</f>
        <v>124.37</v>
      </c>
      <c r="N5" s="3">
        <f>Raw_Data!N5</f>
        <v>116.85</v>
      </c>
      <c r="O5" t="str">
        <f t="shared" si="0"/>
        <v>2025-01</v>
      </c>
      <c r="P5" s="5">
        <f t="shared" si="1"/>
        <v>0.48441256943868666</v>
      </c>
      <c r="Q5" s="3">
        <f t="shared" si="2"/>
        <v>241.22</v>
      </c>
    </row>
    <row r="6" spans="1:17" x14ac:dyDescent="0.35">
      <c r="A6" t="str">
        <f>Raw_Data!A6</f>
        <v>ORD-0769</v>
      </c>
      <c r="B6" s="2">
        <f>Raw_Data!B6</f>
        <v>45659</v>
      </c>
      <c r="C6" t="str">
        <f>Raw_Data!C6</f>
        <v>East</v>
      </c>
      <c r="D6" t="str">
        <f>Raw_Data!D6</f>
        <v>Bhubaneswar</v>
      </c>
      <c r="E6" t="str">
        <f>Raw_Data!E6</f>
        <v>Technology</v>
      </c>
      <c r="F6" t="str">
        <f>Raw_Data!F6</f>
        <v>Headphones</v>
      </c>
      <c r="G6" t="str">
        <f>Raw_Data!G6</f>
        <v>Corporate</v>
      </c>
      <c r="H6" t="str">
        <f>Raw_Data!H6</f>
        <v>In-Store</v>
      </c>
      <c r="I6">
        <f>Raw_Data!I6</f>
        <v>2</v>
      </c>
      <c r="J6" s="3">
        <f>Raw_Data!J6</f>
        <v>63.51</v>
      </c>
      <c r="K6" s="4">
        <f>Raw_Data!K6</f>
        <v>0.1</v>
      </c>
      <c r="L6" s="3">
        <f>Raw_Data!L6</f>
        <v>114.32</v>
      </c>
      <c r="M6" s="3">
        <f>Raw_Data!M6</f>
        <v>79.31</v>
      </c>
      <c r="N6" s="3">
        <f>Raw_Data!N6</f>
        <v>35.01</v>
      </c>
      <c r="O6" t="str">
        <f t="shared" si="0"/>
        <v>2025-01</v>
      </c>
      <c r="P6" s="5">
        <f t="shared" si="1"/>
        <v>0.30624562631210639</v>
      </c>
      <c r="Q6" s="3">
        <f t="shared" si="2"/>
        <v>114.32</v>
      </c>
    </row>
    <row r="7" spans="1:17" x14ac:dyDescent="0.35">
      <c r="A7" t="str">
        <f>Raw_Data!A7</f>
        <v>ORD-0295</v>
      </c>
      <c r="B7" s="2">
        <f>Raw_Data!B7</f>
        <v>45659</v>
      </c>
      <c r="C7" t="str">
        <f>Raw_Data!C7</f>
        <v>South</v>
      </c>
      <c r="D7" t="str">
        <f>Raw_Data!D7</f>
        <v>Hyderabad</v>
      </c>
      <c r="E7" t="str">
        <f>Raw_Data!E7</f>
        <v>Technology</v>
      </c>
      <c r="F7" t="str">
        <f>Raw_Data!F7</f>
        <v>Wireless Mouse</v>
      </c>
      <c r="G7" t="str">
        <f>Raw_Data!G7</f>
        <v>Consumer</v>
      </c>
      <c r="H7" t="str">
        <f>Raw_Data!H7</f>
        <v>Online</v>
      </c>
      <c r="I7">
        <f>Raw_Data!I7</f>
        <v>4</v>
      </c>
      <c r="J7" s="3">
        <f>Raw_Data!J7</f>
        <v>15.59</v>
      </c>
      <c r="K7" s="4">
        <f>Raw_Data!K7</f>
        <v>0.05</v>
      </c>
      <c r="L7" s="3">
        <f>Raw_Data!L7</f>
        <v>59.24</v>
      </c>
      <c r="M7" s="3">
        <f>Raw_Data!M7</f>
        <v>37.1</v>
      </c>
      <c r="N7" s="3">
        <f>Raw_Data!N7</f>
        <v>22.14</v>
      </c>
      <c r="O7" t="str">
        <f t="shared" si="0"/>
        <v>2025-01</v>
      </c>
      <c r="P7" s="5">
        <f t="shared" si="1"/>
        <v>0.37373396353814992</v>
      </c>
      <c r="Q7" s="3">
        <f t="shared" si="2"/>
        <v>59.24</v>
      </c>
    </row>
    <row r="8" spans="1:17" x14ac:dyDescent="0.35">
      <c r="A8" t="str">
        <f>Raw_Data!A8</f>
        <v>ORD-0331</v>
      </c>
      <c r="B8" s="2">
        <f>Raw_Data!B8</f>
        <v>45659</v>
      </c>
      <c r="C8" t="str">
        <f>Raw_Data!C8</f>
        <v>North</v>
      </c>
      <c r="D8" t="str">
        <f>Raw_Data!D8</f>
        <v>Delhi</v>
      </c>
      <c r="E8" t="str">
        <f>Raw_Data!E8</f>
        <v>Home &amp; Kitchen</v>
      </c>
      <c r="F8" t="str">
        <f>Raw_Data!F8</f>
        <v>Water Bottle</v>
      </c>
      <c r="G8" t="str">
        <f>Raw_Data!G8</f>
        <v>Consumer</v>
      </c>
      <c r="H8" t="str">
        <f>Raw_Data!H8</f>
        <v>Online</v>
      </c>
      <c r="I8">
        <f>Raw_Data!I8</f>
        <v>5</v>
      </c>
      <c r="J8" s="3">
        <f>Raw_Data!J8</f>
        <v>18.21</v>
      </c>
      <c r="K8" s="4">
        <f>Raw_Data!K8</f>
        <v>0.15</v>
      </c>
      <c r="L8" s="3">
        <f>Raw_Data!L8</f>
        <v>77.39</v>
      </c>
      <c r="M8" s="3">
        <f>Raw_Data!M8</f>
        <v>56.82</v>
      </c>
      <c r="N8" s="3">
        <f>Raw_Data!N8</f>
        <v>20.57</v>
      </c>
      <c r="O8" t="str">
        <f t="shared" si="0"/>
        <v>2025-01</v>
      </c>
      <c r="P8" s="5">
        <f t="shared" si="1"/>
        <v>0.2657966145496834</v>
      </c>
      <c r="Q8" s="3">
        <f t="shared" si="2"/>
        <v>77.39</v>
      </c>
    </row>
    <row r="9" spans="1:17" x14ac:dyDescent="0.35">
      <c r="A9" t="str">
        <f>Raw_Data!A9</f>
        <v>ORD-0735</v>
      </c>
      <c r="B9" s="2">
        <f>Raw_Data!B9</f>
        <v>45660</v>
      </c>
      <c r="C9" t="str">
        <f>Raw_Data!C9</f>
        <v>West</v>
      </c>
      <c r="D9" t="str">
        <f>Raw_Data!D9</f>
        <v>Ahmedabad</v>
      </c>
      <c r="E9" t="str">
        <f>Raw_Data!E9</f>
        <v>Home &amp; Kitchen</v>
      </c>
      <c r="F9" t="str">
        <f>Raw_Data!F9</f>
        <v>Water Bottle</v>
      </c>
      <c r="G9" t="str">
        <f>Raw_Data!G9</f>
        <v>Corporate</v>
      </c>
      <c r="H9" t="str">
        <f>Raw_Data!H9</f>
        <v>Marketplace</v>
      </c>
      <c r="I9">
        <f>Raw_Data!I9</f>
        <v>1</v>
      </c>
      <c r="J9" s="3">
        <f>Raw_Data!J9</f>
        <v>14.56</v>
      </c>
      <c r="K9" s="4">
        <f>Raw_Data!K9</f>
        <v>0.1</v>
      </c>
      <c r="L9" s="3">
        <f>Raw_Data!L9</f>
        <v>13.1</v>
      </c>
      <c r="M9" s="3">
        <f>Raw_Data!M9</f>
        <v>9</v>
      </c>
      <c r="N9" s="3">
        <f>Raw_Data!N9</f>
        <v>4.0999999999999996</v>
      </c>
      <c r="O9" t="str">
        <f t="shared" si="0"/>
        <v>2025-01</v>
      </c>
      <c r="P9" s="5">
        <f t="shared" si="1"/>
        <v>0.31297709923664119</v>
      </c>
      <c r="Q9" s="3">
        <f t="shared" si="2"/>
        <v>13.1</v>
      </c>
    </row>
    <row r="10" spans="1:17" x14ac:dyDescent="0.35">
      <c r="A10" t="str">
        <f>Raw_Data!A10</f>
        <v>ORD-0241</v>
      </c>
      <c r="B10" s="2">
        <f>Raw_Data!B10</f>
        <v>45660</v>
      </c>
      <c r="C10" t="str">
        <f>Raw_Data!C10</f>
        <v>South</v>
      </c>
      <c r="D10" t="str">
        <f>Raw_Data!D10</f>
        <v>Hyderabad</v>
      </c>
      <c r="E10" t="str">
        <f>Raw_Data!E10</f>
        <v>Furniture</v>
      </c>
      <c r="F10" t="str">
        <f>Raw_Data!F10</f>
        <v>Standing Desk</v>
      </c>
      <c r="G10" t="str">
        <f>Raw_Data!G10</f>
        <v>Small Business</v>
      </c>
      <c r="H10" t="str">
        <f>Raw_Data!H10</f>
        <v>In-Store</v>
      </c>
      <c r="I10">
        <f>Raw_Data!I10</f>
        <v>6</v>
      </c>
      <c r="J10" s="3">
        <f>Raw_Data!J10</f>
        <v>290.27999999999997</v>
      </c>
      <c r="K10" s="4">
        <f>Raw_Data!K10</f>
        <v>0</v>
      </c>
      <c r="L10" s="3">
        <f>Raw_Data!L10</f>
        <v>1741.68</v>
      </c>
      <c r="M10" s="3">
        <f>Raw_Data!M10</f>
        <v>905.24</v>
      </c>
      <c r="N10" s="3">
        <f>Raw_Data!N10</f>
        <v>836.44</v>
      </c>
      <c r="O10" t="str">
        <f t="shared" si="0"/>
        <v>2025-01</v>
      </c>
      <c r="P10" s="5">
        <f t="shared" si="1"/>
        <v>0.48024895503192322</v>
      </c>
      <c r="Q10" s="3">
        <f t="shared" si="2"/>
        <v>1741.68</v>
      </c>
    </row>
    <row r="11" spans="1:17" x14ac:dyDescent="0.35">
      <c r="A11" t="str">
        <f>Raw_Data!A11</f>
        <v>ORD-0666</v>
      </c>
      <c r="B11" s="2">
        <f>Raw_Data!B11</f>
        <v>45660</v>
      </c>
      <c r="C11" t="str">
        <f>Raw_Data!C11</f>
        <v>South</v>
      </c>
      <c r="D11" t="str">
        <f>Raw_Data!D11</f>
        <v>Bengaluru</v>
      </c>
      <c r="E11" t="str">
        <f>Raw_Data!E11</f>
        <v>Technology</v>
      </c>
      <c r="F11" t="str">
        <f>Raw_Data!F11</f>
        <v>Keyboard</v>
      </c>
      <c r="G11" t="str">
        <f>Raw_Data!G11</f>
        <v>Small Business</v>
      </c>
      <c r="H11" t="str">
        <f>Raw_Data!H11</f>
        <v>Marketplace</v>
      </c>
      <c r="I11">
        <f>Raw_Data!I11</f>
        <v>9</v>
      </c>
      <c r="J11" s="3">
        <f>Raw_Data!J11</f>
        <v>36.729999999999997</v>
      </c>
      <c r="K11" s="4">
        <f>Raw_Data!K11</f>
        <v>0.1</v>
      </c>
      <c r="L11" s="3">
        <f>Raw_Data!L11</f>
        <v>297.51</v>
      </c>
      <c r="M11" s="3">
        <f>Raw_Data!M11</f>
        <v>195.02</v>
      </c>
      <c r="N11" s="3">
        <f>Raw_Data!N11</f>
        <v>102.49</v>
      </c>
      <c r="O11" t="str">
        <f t="shared" si="0"/>
        <v>2025-01</v>
      </c>
      <c r="P11" s="5">
        <f t="shared" si="1"/>
        <v>0.34449262209673626</v>
      </c>
      <c r="Q11" s="3">
        <f t="shared" si="2"/>
        <v>297.51</v>
      </c>
    </row>
    <row r="12" spans="1:17" x14ac:dyDescent="0.35">
      <c r="A12" t="str">
        <f>Raw_Data!A12</f>
        <v>ORD-0259</v>
      </c>
      <c r="B12" s="2">
        <f>Raw_Data!B12</f>
        <v>45660</v>
      </c>
      <c r="C12" t="str">
        <f>Raw_Data!C12</f>
        <v>South</v>
      </c>
      <c r="D12" t="str">
        <f>Raw_Data!D12</f>
        <v>Bengaluru</v>
      </c>
      <c r="E12" t="str">
        <f>Raw_Data!E12</f>
        <v>Office Supplies</v>
      </c>
      <c r="F12" t="str">
        <f>Raw_Data!F12</f>
        <v>Pen Set</v>
      </c>
      <c r="G12" t="str">
        <f>Raw_Data!G12</f>
        <v>Small Business</v>
      </c>
      <c r="H12" t="str">
        <f>Raw_Data!H12</f>
        <v>In-Store</v>
      </c>
      <c r="I12">
        <f>Raw_Data!I12</f>
        <v>5</v>
      </c>
      <c r="J12" s="3">
        <f>Raw_Data!J12</f>
        <v>8.91</v>
      </c>
      <c r="K12" s="4">
        <f>Raw_Data!K12</f>
        <v>0</v>
      </c>
      <c r="L12" s="3">
        <f>Raw_Data!L12</f>
        <v>44.55</v>
      </c>
      <c r="M12" s="3">
        <f>Raw_Data!M12</f>
        <v>29.1</v>
      </c>
      <c r="N12" s="3">
        <f>Raw_Data!N12</f>
        <v>15.45</v>
      </c>
      <c r="O12" t="str">
        <f t="shared" si="0"/>
        <v>2025-01</v>
      </c>
      <c r="P12" s="5">
        <f t="shared" si="1"/>
        <v>0.34680134680134683</v>
      </c>
      <c r="Q12" s="3">
        <f t="shared" si="2"/>
        <v>44.55</v>
      </c>
    </row>
    <row r="13" spans="1:17" x14ac:dyDescent="0.35">
      <c r="A13" t="str">
        <f>Raw_Data!A13</f>
        <v>ORD-0361</v>
      </c>
      <c r="B13" s="2">
        <f>Raw_Data!B13</f>
        <v>45660</v>
      </c>
      <c r="C13" t="str">
        <f>Raw_Data!C13</f>
        <v>South</v>
      </c>
      <c r="D13" t="str">
        <f>Raw_Data!D13</f>
        <v>Bengaluru</v>
      </c>
      <c r="E13" t="str">
        <f>Raw_Data!E13</f>
        <v>Home &amp; Kitchen</v>
      </c>
      <c r="F13" t="str">
        <f>Raw_Data!F13</f>
        <v>Coffee Maker</v>
      </c>
      <c r="G13" t="str">
        <f>Raw_Data!G13</f>
        <v>Small Business</v>
      </c>
      <c r="H13" t="str">
        <f>Raw_Data!H13</f>
        <v>Online</v>
      </c>
      <c r="I13">
        <f>Raw_Data!I13</f>
        <v>4</v>
      </c>
      <c r="J13" s="3">
        <f>Raw_Data!J13</f>
        <v>80.38</v>
      </c>
      <c r="K13" s="4">
        <f>Raw_Data!K13</f>
        <v>0</v>
      </c>
      <c r="L13" s="3">
        <f>Raw_Data!L13</f>
        <v>321.52</v>
      </c>
      <c r="M13" s="3">
        <f>Raw_Data!M13</f>
        <v>209.92</v>
      </c>
      <c r="N13" s="3">
        <f>Raw_Data!N13</f>
        <v>111.6</v>
      </c>
      <c r="O13" t="str">
        <f t="shared" si="0"/>
        <v>2025-01</v>
      </c>
      <c r="P13" s="5">
        <f t="shared" si="1"/>
        <v>0.34710126897238119</v>
      </c>
      <c r="Q13" s="3">
        <f t="shared" si="2"/>
        <v>321.52</v>
      </c>
    </row>
    <row r="14" spans="1:17" x14ac:dyDescent="0.35">
      <c r="A14" t="str">
        <f>Raw_Data!A14</f>
        <v>ORD-0443</v>
      </c>
      <c r="B14" s="2">
        <f>Raw_Data!B14</f>
        <v>45660</v>
      </c>
      <c r="C14" t="str">
        <f>Raw_Data!C14</f>
        <v>East</v>
      </c>
      <c r="D14" t="str">
        <f>Raw_Data!D14</f>
        <v>Kolkata</v>
      </c>
      <c r="E14" t="str">
        <f>Raw_Data!E14</f>
        <v>Technology</v>
      </c>
      <c r="F14" t="str">
        <f>Raw_Data!F14</f>
        <v>Keyboard</v>
      </c>
      <c r="G14" t="str">
        <f>Raw_Data!G14</f>
        <v>Consumer</v>
      </c>
      <c r="H14" t="str">
        <f>Raw_Data!H14</f>
        <v>In-Store</v>
      </c>
      <c r="I14">
        <f>Raw_Data!I14</f>
        <v>8</v>
      </c>
      <c r="J14" s="3">
        <f>Raw_Data!J14</f>
        <v>37.57</v>
      </c>
      <c r="K14" s="4">
        <f>Raw_Data!K14</f>
        <v>0.1</v>
      </c>
      <c r="L14" s="3">
        <f>Raw_Data!L14</f>
        <v>270.5</v>
      </c>
      <c r="M14" s="3">
        <f>Raw_Data!M14</f>
        <v>152.22</v>
      </c>
      <c r="N14" s="3">
        <f>Raw_Data!N14</f>
        <v>118.28</v>
      </c>
      <c r="O14" t="str">
        <f t="shared" si="0"/>
        <v>2025-01</v>
      </c>
      <c r="P14" s="5">
        <f t="shared" si="1"/>
        <v>0.43726432532347503</v>
      </c>
      <c r="Q14" s="3">
        <f t="shared" si="2"/>
        <v>270.5</v>
      </c>
    </row>
    <row r="15" spans="1:17" x14ac:dyDescent="0.35">
      <c r="A15" t="str">
        <f>Raw_Data!A15</f>
        <v>ORD-0624</v>
      </c>
      <c r="B15" s="2">
        <f>Raw_Data!B15</f>
        <v>45660</v>
      </c>
      <c r="C15" t="str">
        <f>Raw_Data!C15</f>
        <v>West</v>
      </c>
      <c r="D15" t="str">
        <f>Raw_Data!D15</f>
        <v>Mumbai</v>
      </c>
      <c r="E15" t="str">
        <f>Raw_Data!E15</f>
        <v>Home &amp; Kitchen</v>
      </c>
      <c r="F15" t="str">
        <f>Raw_Data!F15</f>
        <v>Water Bottle</v>
      </c>
      <c r="G15" t="str">
        <f>Raw_Data!G15</f>
        <v>Small Business</v>
      </c>
      <c r="H15" t="str">
        <f>Raw_Data!H15</f>
        <v>Marketplace</v>
      </c>
      <c r="I15">
        <f>Raw_Data!I15</f>
        <v>1</v>
      </c>
      <c r="J15" s="3">
        <f>Raw_Data!J15</f>
        <v>19.149999999999999</v>
      </c>
      <c r="K15" s="4">
        <f>Raw_Data!K15</f>
        <v>0.15</v>
      </c>
      <c r="L15" s="3">
        <f>Raw_Data!L15</f>
        <v>16.28</v>
      </c>
      <c r="M15" s="3">
        <f>Raw_Data!M15</f>
        <v>9.39</v>
      </c>
      <c r="N15" s="3">
        <f>Raw_Data!N15</f>
        <v>6.89</v>
      </c>
      <c r="O15" t="str">
        <f t="shared" si="0"/>
        <v>2025-01</v>
      </c>
      <c r="P15" s="5">
        <f t="shared" si="1"/>
        <v>0.42321867321867318</v>
      </c>
      <c r="Q15" s="3">
        <f t="shared" si="2"/>
        <v>16.28</v>
      </c>
    </row>
    <row r="16" spans="1:17" x14ac:dyDescent="0.35">
      <c r="A16" t="str">
        <f>Raw_Data!A16</f>
        <v>ORD-0611</v>
      </c>
      <c r="B16" s="2">
        <f>Raw_Data!B16</f>
        <v>45661</v>
      </c>
      <c r="C16" t="str">
        <f>Raw_Data!C16</f>
        <v>West</v>
      </c>
      <c r="D16" t="str">
        <f>Raw_Data!D16</f>
        <v>Ahmedabad</v>
      </c>
      <c r="E16" t="str">
        <f>Raw_Data!E16</f>
        <v>Technology</v>
      </c>
      <c r="F16" t="str">
        <f>Raw_Data!F16</f>
        <v>Keyboard</v>
      </c>
      <c r="G16" t="str">
        <f>Raw_Data!G16</f>
        <v>Corporate</v>
      </c>
      <c r="H16" t="str">
        <f>Raw_Data!H16</f>
        <v>In-Store</v>
      </c>
      <c r="I16">
        <f>Raw_Data!I16</f>
        <v>2</v>
      </c>
      <c r="J16" s="3">
        <f>Raw_Data!J16</f>
        <v>35.119999999999997</v>
      </c>
      <c r="K16" s="4">
        <f>Raw_Data!K16</f>
        <v>0.15</v>
      </c>
      <c r="L16" s="3">
        <f>Raw_Data!L16</f>
        <v>59.7</v>
      </c>
      <c r="M16" s="3">
        <f>Raw_Data!M16</f>
        <v>52.4</v>
      </c>
      <c r="N16" s="3">
        <f>Raw_Data!N16</f>
        <v>7.3</v>
      </c>
      <c r="O16" t="str">
        <f t="shared" si="0"/>
        <v>2025-01</v>
      </c>
      <c r="P16" s="5">
        <f t="shared" si="1"/>
        <v>0.12227805695142378</v>
      </c>
      <c r="Q16" s="3">
        <f t="shared" si="2"/>
        <v>59.7</v>
      </c>
    </row>
    <row r="17" spans="1:17" x14ac:dyDescent="0.35">
      <c r="A17" t="str">
        <f>Raw_Data!A17</f>
        <v>ORD-0407</v>
      </c>
      <c r="B17" s="2">
        <f>Raw_Data!B17</f>
        <v>45661</v>
      </c>
      <c r="C17" t="str">
        <f>Raw_Data!C17</f>
        <v>West</v>
      </c>
      <c r="D17" t="str">
        <f>Raw_Data!D17</f>
        <v>Ahmedabad</v>
      </c>
      <c r="E17" t="str">
        <f>Raw_Data!E17</f>
        <v>Technology</v>
      </c>
      <c r="F17" t="str">
        <f>Raw_Data!F17</f>
        <v>Keyboard</v>
      </c>
      <c r="G17" t="str">
        <f>Raw_Data!G17</f>
        <v>Consumer</v>
      </c>
      <c r="H17" t="str">
        <f>Raw_Data!H17</f>
        <v>Online</v>
      </c>
      <c r="I17">
        <f>Raw_Data!I17</f>
        <v>11</v>
      </c>
      <c r="J17" s="3">
        <f>Raw_Data!J17</f>
        <v>34.25</v>
      </c>
      <c r="K17" s="4">
        <f>Raw_Data!K17</f>
        <v>0</v>
      </c>
      <c r="L17" s="3">
        <f>Raw_Data!L17</f>
        <v>376.75</v>
      </c>
      <c r="M17" s="3">
        <f>Raw_Data!M17</f>
        <v>278.60000000000002</v>
      </c>
      <c r="N17" s="3">
        <f>Raw_Data!N17</f>
        <v>98.15</v>
      </c>
      <c r="O17" t="str">
        <f t="shared" si="0"/>
        <v>2025-01</v>
      </c>
      <c r="P17" s="5">
        <f t="shared" si="1"/>
        <v>0.26051758460517588</v>
      </c>
      <c r="Q17" s="3">
        <f t="shared" si="2"/>
        <v>376.75</v>
      </c>
    </row>
    <row r="18" spans="1:17" x14ac:dyDescent="0.35">
      <c r="A18" t="str">
        <f>Raw_Data!A18</f>
        <v>ORD-0203</v>
      </c>
      <c r="B18" s="2">
        <f>Raw_Data!B18</f>
        <v>45661</v>
      </c>
      <c r="C18" t="str">
        <f>Raw_Data!C18</f>
        <v>East</v>
      </c>
      <c r="D18" t="str">
        <f>Raw_Data!D18</f>
        <v>Guwahati</v>
      </c>
      <c r="E18" t="str">
        <f>Raw_Data!E18</f>
        <v>Furniture</v>
      </c>
      <c r="F18" t="str">
        <f>Raw_Data!F18</f>
        <v>Standing Desk</v>
      </c>
      <c r="G18" t="str">
        <f>Raw_Data!G18</f>
        <v>Corporate</v>
      </c>
      <c r="H18" t="str">
        <f>Raw_Data!H18</f>
        <v>Marketplace</v>
      </c>
      <c r="I18">
        <f>Raw_Data!I18</f>
        <v>4</v>
      </c>
      <c r="J18" s="3">
        <f>Raw_Data!J18</f>
        <v>261.64999999999998</v>
      </c>
      <c r="K18" s="4">
        <f>Raw_Data!K18</f>
        <v>0.05</v>
      </c>
      <c r="L18" s="3">
        <f>Raw_Data!L18</f>
        <v>994.27</v>
      </c>
      <c r="M18" s="3">
        <f>Raw_Data!M18</f>
        <v>801.92</v>
      </c>
      <c r="N18" s="3">
        <f>Raw_Data!N18</f>
        <v>192.35</v>
      </c>
      <c r="O18" t="str">
        <f t="shared" si="0"/>
        <v>2025-01</v>
      </c>
      <c r="P18" s="5">
        <f t="shared" si="1"/>
        <v>0.19345851730415278</v>
      </c>
      <c r="Q18" s="3">
        <f t="shared" si="2"/>
        <v>994.27</v>
      </c>
    </row>
    <row r="19" spans="1:17" x14ac:dyDescent="0.35">
      <c r="A19" t="str">
        <f>Raw_Data!A19</f>
        <v>ORD-0920</v>
      </c>
      <c r="B19" s="2">
        <f>Raw_Data!B19</f>
        <v>45661</v>
      </c>
      <c r="C19" t="str">
        <f>Raw_Data!C19</f>
        <v>North</v>
      </c>
      <c r="D19" t="str">
        <f>Raw_Data!D19</f>
        <v>Delhi</v>
      </c>
      <c r="E19" t="str">
        <f>Raw_Data!E19</f>
        <v>Home &amp; Kitchen</v>
      </c>
      <c r="F19" t="str">
        <f>Raw_Data!F19</f>
        <v>Coffee Maker</v>
      </c>
      <c r="G19" t="str">
        <f>Raw_Data!G19</f>
        <v>Corporate</v>
      </c>
      <c r="H19" t="str">
        <f>Raw_Data!H19</f>
        <v>In-Store</v>
      </c>
      <c r="I19">
        <f>Raw_Data!I19</f>
        <v>4</v>
      </c>
      <c r="J19" s="3">
        <f>Raw_Data!J19</f>
        <v>86.25</v>
      </c>
      <c r="K19" s="4">
        <f>Raw_Data!K19</f>
        <v>0.15</v>
      </c>
      <c r="L19" s="3">
        <f>Raw_Data!L19</f>
        <v>293.25</v>
      </c>
      <c r="M19" s="3">
        <f>Raw_Data!M19</f>
        <v>236.4</v>
      </c>
      <c r="N19" s="3">
        <f>Raw_Data!N19</f>
        <v>56.85</v>
      </c>
      <c r="O19" t="str">
        <f t="shared" si="0"/>
        <v>2025-01</v>
      </c>
      <c r="P19" s="5">
        <f t="shared" si="1"/>
        <v>0.1938618925831202</v>
      </c>
      <c r="Q19" s="3">
        <f t="shared" si="2"/>
        <v>293.25</v>
      </c>
    </row>
    <row r="20" spans="1:17" x14ac:dyDescent="0.35">
      <c r="A20" t="str">
        <f>Raw_Data!A20</f>
        <v>ORD-0128</v>
      </c>
      <c r="B20" s="2">
        <f>Raw_Data!B20</f>
        <v>45661</v>
      </c>
      <c r="C20" t="str">
        <f>Raw_Data!C20</f>
        <v>East</v>
      </c>
      <c r="D20" t="str">
        <f>Raw_Data!D20</f>
        <v>Guwahati</v>
      </c>
      <c r="E20" t="str">
        <f>Raw_Data!E20</f>
        <v>Home &amp; Kitchen</v>
      </c>
      <c r="F20" t="str">
        <f>Raw_Data!F20</f>
        <v>Lunch Box</v>
      </c>
      <c r="G20" t="str">
        <f>Raw_Data!G20</f>
        <v>Consumer</v>
      </c>
      <c r="H20" t="str">
        <f>Raw_Data!H20</f>
        <v>In-Store</v>
      </c>
      <c r="I20">
        <f>Raw_Data!I20</f>
        <v>3</v>
      </c>
      <c r="J20" s="3">
        <f>Raw_Data!J20</f>
        <v>17.899999999999999</v>
      </c>
      <c r="K20" s="4">
        <f>Raw_Data!K20</f>
        <v>0.15</v>
      </c>
      <c r="L20" s="3">
        <f>Raw_Data!L20</f>
        <v>45.64</v>
      </c>
      <c r="M20" s="3">
        <f>Raw_Data!M20</f>
        <v>37.11</v>
      </c>
      <c r="N20" s="3">
        <f>Raw_Data!N20</f>
        <v>8.5299999999999994</v>
      </c>
      <c r="O20" t="str">
        <f t="shared" si="0"/>
        <v>2025-01</v>
      </c>
      <c r="P20" s="5">
        <f t="shared" si="1"/>
        <v>0.186897458369851</v>
      </c>
      <c r="Q20" s="3">
        <f t="shared" si="2"/>
        <v>45.64</v>
      </c>
    </row>
    <row r="21" spans="1:17" x14ac:dyDescent="0.35">
      <c r="A21" t="str">
        <f>Raw_Data!A21</f>
        <v>ORD-0926</v>
      </c>
      <c r="B21" s="2">
        <f>Raw_Data!B21</f>
        <v>45661</v>
      </c>
      <c r="C21" t="str">
        <f>Raw_Data!C21</f>
        <v>West</v>
      </c>
      <c r="D21" t="str">
        <f>Raw_Data!D21</f>
        <v>Pune</v>
      </c>
      <c r="E21" t="str">
        <f>Raw_Data!E21</f>
        <v>Office Supplies</v>
      </c>
      <c r="F21" t="str">
        <f>Raw_Data!F21</f>
        <v>Desk Organizer</v>
      </c>
      <c r="G21" t="str">
        <f>Raw_Data!G21</f>
        <v>Consumer</v>
      </c>
      <c r="H21" t="str">
        <f>Raw_Data!H21</f>
        <v>Marketplace</v>
      </c>
      <c r="I21">
        <f>Raw_Data!I21</f>
        <v>4</v>
      </c>
      <c r="J21" s="3">
        <f>Raw_Data!J21</f>
        <v>21.31</v>
      </c>
      <c r="K21" s="4">
        <f>Raw_Data!K21</f>
        <v>0.05</v>
      </c>
      <c r="L21" s="3">
        <f>Raw_Data!L21</f>
        <v>80.98</v>
      </c>
      <c r="M21" s="3">
        <f>Raw_Data!M21</f>
        <v>48.57</v>
      </c>
      <c r="N21" s="3">
        <f>Raw_Data!N21</f>
        <v>32.409999999999997</v>
      </c>
      <c r="O21" t="str">
        <f t="shared" si="0"/>
        <v>2025-01</v>
      </c>
      <c r="P21" s="5">
        <f t="shared" si="1"/>
        <v>0.4002222771054581</v>
      </c>
      <c r="Q21" s="3">
        <f t="shared" si="2"/>
        <v>80.98</v>
      </c>
    </row>
    <row r="22" spans="1:17" x14ac:dyDescent="0.35">
      <c r="A22" t="str">
        <f>Raw_Data!A22</f>
        <v>ORD-0475</v>
      </c>
      <c r="B22" s="2">
        <f>Raw_Data!B22</f>
        <v>45661</v>
      </c>
      <c r="C22" t="str">
        <f>Raw_Data!C22</f>
        <v>South</v>
      </c>
      <c r="D22" t="str">
        <f>Raw_Data!D22</f>
        <v>Hyderabad</v>
      </c>
      <c r="E22" t="str">
        <f>Raw_Data!E22</f>
        <v>Furniture</v>
      </c>
      <c r="F22" t="str">
        <f>Raw_Data!F22</f>
        <v>Desk Lamp</v>
      </c>
      <c r="G22" t="str">
        <f>Raw_Data!G22</f>
        <v>Corporate</v>
      </c>
      <c r="H22" t="str">
        <f>Raw_Data!H22</f>
        <v>Marketplace</v>
      </c>
      <c r="I22">
        <f>Raw_Data!I22</f>
        <v>7</v>
      </c>
      <c r="J22" s="3">
        <f>Raw_Data!J22</f>
        <v>44.03</v>
      </c>
      <c r="K22" s="4">
        <f>Raw_Data!K22</f>
        <v>0.1</v>
      </c>
      <c r="L22" s="3">
        <f>Raw_Data!L22</f>
        <v>277.39</v>
      </c>
      <c r="M22" s="3">
        <f>Raw_Data!M22</f>
        <v>184.44</v>
      </c>
      <c r="N22" s="3">
        <f>Raw_Data!N22</f>
        <v>92.95</v>
      </c>
      <c r="O22" t="str">
        <f t="shared" si="0"/>
        <v>2025-01</v>
      </c>
      <c r="P22" s="5">
        <f t="shared" si="1"/>
        <v>0.33508778254443206</v>
      </c>
      <c r="Q22" s="3">
        <f t="shared" si="2"/>
        <v>277.39</v>
      </c>
    </row>
    <row r="23" spans="1:17" x14ac:dyDescent="0.35">
      <c r="A23" t="str">
        <f>Raw_Data!A23</f>
        <v>ORD-0810</v>
      </c>
      <c r="B23" s="2">
        <f>Raw_Data!B23</f>
        <v>45661</v>
      </c>
      <c r="C23" t="str">
        <f>Raw_Data!C23</f>
        <v>East</v>
      </c>
      <c r="D23" t="str">
        <f>Raw_Data!D23</f>
        <v>Guwahati</v>
      </c>
      <c r="E23" t="str">
        <f>Raw_Data!E23</f>
        <v>Furniture</v>
      </c>
      <c r="F23" t="str">
        <f>Raw_Data!F23</f>
        <v>Office Chair</v>
      </c>
      <c r="G23" t="str">
        <f>Raw_Data!G23</f>
        <v>Small Business</v>
      </c>
      <c r="H23" t="str">
        <f>Raw_Data!H23</f>
        <v>Online</v>
      </c>
      <c r="I23">
        <f>Raw_Data!I23</f>
        <v>2</v>
      </c>
      <c r="J23" s="3">
        <f>Raw_Data!J23</f>
        <v>141.41</v>
      </c>
      <c r="K23" s="4">
        <f>Raw_Data!K23</f>
        <v>0.15</v>
      </c>
      <c r="L23" s="3">
        <f>Raw_Data!L23</f>
        <v>240.4</v>
      </c>
      <c r="M23" s="3">
        <f>Raw_Data!M23</f>
        <v>145.53</v>
      </c>
      <c r="N23" s="3">
        <f>Raw_Data!N23</f>
        <v>94.87</v>
      </c>
      <c r="O23" t="str">
        <f t="shared" si="0"/>
        <v>2025-01</v>
      </c>
      <c r="P23" s="5">
        <f t="shared" si="1"/>
        <v>0.39463394342762065</v>
      </c>
      <c r="Q23" s="3">
        <f t="shared" si="2"/>
        <v>240.4</v>
      </c>
    </row>
    <row r="24" spans="1:17" x14ac:dyDescent="0.35">
      <c r="A24" t="str">
        <f>Raw_Data!A24</f>
        <v>ORD-0650</v>
      </c>
      <c r="B24" s="2">
        <f>Raw_Data!B24</f>
        <v>45661</v>
      </c>
      <c r="C24" t="str">
        <f>Raw_Data!C24</f>
        <v>South</v>
      </c>
      <c r="D24" t="str">
        <f>Raw_Data!D24</f>
        <v>Chennai</v>
      </c>
      <c r="E24" t="str">
        <f>Raw_Data!E24</f>
        <v>Home &amp; Kitchen</v>
      </c>
      <c r="F24" t="str">
        <f>Raw_Data!F24</f>
        <v>Coffee Maker</v>
      </c>
      <c r="G24" t="str">
        <f>Raw_Data!G24</f>
        <v>Consumer</v>
      </c>
      <c r="H24" t="str">
        <f>Raw_Data!H24</f>
        <v>Online</v>
      </c>
      <c r="I24">
        <f>Raw_Data!I24</f>
        <v>7</v>
      </c>
      <c r="J24" s="3">
        <f>Raw_Data!J24</f>
        <v>65.61</v>
      </c>
      <c r="K24" s="4">
        <f>Raw_Data!K24</f>
        <v>0.1</v>
      </c>
      <c r="L24" s="3">
        <f>Raw_Data!L24</f>
        <v>413.34</v>
      </c>
      <c r="M24" s="3">
        <f>Raw_Data!M24</f>
        <v>318.31</v>
      </c>
      <c r="N24" s="3">
        <f>Raw_Data!N24</f>
        <v>95.03</v>
      </c>
      <c r="O24" t="str">
        <f t="shared" si="0"/>
        <v>2025-01</v>
      </c>
      <c r="P24" s="5">
        <f t="shared" si="1"/>
        <v>0.22990758213577203</v>
      </c>
      <c r="Q24" s="3">
        <f t="shared" si="2"/>
        <v>413.34</v>
      </c>
    </row>
    <row r="25" spans="1:17" x14ac:dyDescent="0.35">
      <c r="A25" t="str">
        <f>Raw_Data!A25</f>
        <v>ORD-0828</v>
      </c>
      <c r="B25" s="2">
        <f>Raw_Data!B25</f>
        <v>45662</v>
      </c>
      <c r="C25" t="str">
        <f>Raw_Data!C25</f>
        <v>West</v>
      </c>
      <c r="D25" t="str">
        <f>Raw_Data!D25</f>
        <v>Pune</v>
      </c>
      <c r="E25" t="str">
        <f>Raw_Data!E25</f>
        <v>Home &amp; Kitchen</v>
      </c>
      <c r="F25" t="str">
        <f>Raw_Data!F25</f>
        <v>Coffee Maker</v>
      </c>
      <c r="G25" t="str">
        <f>Raw_Data!G25</f>
        <v>Corporate</v>
      </c>
      <c r="H25" t="str">
        <f>Raw_Data!H25</f>
        <v>Marketplace</v>
      </c>
      <c r="I25">
        <f>Raw_Data!I25</f>
        <v>6</v>
      </c>
      <c r="J25" s="3">
        <f>Raw_Data!J25</f>
        <v>66.88</v>
      </c>
      <c r="K25" s="4">
        <f>Raw_Data!K25</f>
        <v>0.1</v>
      </c>
      <c r="L25" s="3">
        <f>Raw_Data!L25</f>
        <v>361.15</v>
      </c>
      <c r="M25" s="3">
        <f>Raw_Data!M25</f>
        <v>275.17</v>
      </c>
      <c r="N25" s="3">
        <f>Raw_Data!N25</f>
        <v>85.98</v>
      </c>
      <c r="O25" t="str">
        <f t="shared" si="0"/>
        <v>2025-01</v>
      </c>
      <c r="P25" s="5">
        <f t="shared" si="1"/>
        <v>0.23807282292676177</v>
      </c>
      <c r="Q25" s="3">
        <f t="shared" si="2"/>
        <v>361.15</v>
      </c>
    </row>
    <row r="26" spans="1:17" x14ac:dyDescent="0.35">
      <c r="A26" t="str">
        <f>Raw_Data!A26</f>
        <v>ORD-0517</v>
      </c>
      <c r="B26" s="2">
        <f>Raw_Data!B26</f>
        <v>45662</v>
      </c>
      <c r="C26" t="str">
        <f>Raw_Data!C26</f>
        <v>North</v>
      </c>
      <c r="D26" t="str">
        <f>Raw_Data!D26</f>
        <v>Chandigarh</v>
      </c>
      <c r="E26" t="str">
        <f>Raw_Data!E26</f>
        <v>Technology</v>
      </c>
      <c r="F26" t="str">
        <f>Raw_Data!F26</f>
        <v>USB Hub</v>
      </c>
      <c r="G26" t="str">
        <f>Raw_Data!G26</f>
        <v>Small Business</v>
      </c>
      <c r="H26" t="str">
        <f>Raw_Data!H26</f>
        <v>Marketplace</v>
      </c>
      <c r="I26">
        <f>Raw_Data!I26</f>
        <v>11</v>
      </c>
      <c r="J26" s="3">
        <f>Raw_Data!J26</f>
        <v>22.68</v>
      </c>
      <c r="K26" s="4">
        <f>Raw_Data!K26</f>
        <v>0.05</v>
      </c>
      <c r="L26" s="3">
        <f>Raw_Data!L26</f>
        <v>237.01</v>
      </c>
      <c r="M26" s="3">
        <f>Raw_Data!M26</f>
        <v>184.44</v>
      </c>
      <c r="N26" s="3">
        <f>Raw_Data!N26</f>
        <v>52.57</v>
      </c>
      <c r="O26" t="str">
        <f t="shared" si="0"/>
        <v>2025-01</v>
      </c>
      <c r="P26" s="5">
        <f t="shared" si="1"/>
        <v>0.22180498713134467</v>
      </c>
      <c r="Q26" s="3">
        <f t="shared" si="2"/>
        <v>237.01</v>
      </c>
    </row>
    <row r="27" spans="1:17" x14ac:dyDescent="0.35">
      <c r="A27" t="str">
        <f>Raw_Data!A27</f>
        <v>ORD-0547</v>
      </c>
      <c r="B27" s="2">
        <f>Raw_Data!B27</f>
        <v>45663</v>
      </c>
      <c r="C27" t="str">
        <f>Raw_Data!C27</f>
        <v>East</v>
      </c>
      <c r="D27" t="str">
        <f>Raw_Data!D27</f>
        <v>Guwahati</v>
      </c>
      <c r="E27" t="str">
        <f>Raw_Data!E27</f>
        <v>Office Supplies</v>
      </c>
      <c r="F27" t="str">
        <f>Raw_Data!F27</f>
        <v>Desk Organizer</v>
      </c>
      <c r="G27" t="str">
        <f>Raw_Data!G27</f>
        <v>Consumer</v>
      </c>
      <c r="H27" t="str">
        <f>Raw_Data!H27</f>
        <v>Online</v>
      </c>
      <c r="I27">
        <f>Raw_Data!I27</f>
        <v>5</v>
      </c>
      <c r="J27" s="3">
        <f>Raw_Data!J27</f>
        <v>23.66</v>
      </c>
      <c r="K27" s="4">
        <f>Raw_Data!K27</f>
        <v>0.05</v>
      </c>
      <c r="L27" s="3">
        <f>Raw_Data!L27</f>
        <v>112.38</v>
      </c>
      <c r="M27" s="3">
        <f>Raw_Data!M27</f>
        <v>67.44</v>
      </c>
      <c r="N27" s="3">
        <f>Raw_Data!N27</f>
        <v>44.94</v>
      </c>
      <c r="O27" t="str">
        <f t="shared" si="0"/>
        <v>2025-01</v>
      </c>
      <c r="P27" s="5">
        <f t="shared" si="1"/>
        <v>0.39989321943406297</v>
      </c>
      <c r="Q27" s="3">
        <f t="shared" si="2"/>
        <v>112.38</v>
      </c>
    </row>
    <row r="28" spans="1:17" x14ac:dyDescent="0.35">
      <c r="A28" t="str">
        <f>Raw_Data!A28</f>
        <v>ORD-0801</v>
      </c>
      <c r="B28" s="2">
        <f>Raw_Data!B28</f>
        <v>45663</v>
      </c>
      <c r="C28" t="str">
        <f>Raw_Data!C28</f>
        <v>East</v>
      </c>
      <c r="D28" t="str">
        <f>Raw_Data!D28</f>
        <v>Kolkata</v>
      </c>
      <c r="E28" t="str">
        <f>Raw_Data!E28</f>
        <v>Home &amp; Kitchen</v>
      </c>
      <c r="F28" t="str">
        <f>Raw_Data!F28</f>
        <v>Lunch Box</v>
      </c>
      <c r="G28" t="str">
        <f>Raw_Data!G28</f>
        <v>Corporate</v>
      </c>
      <c r="H28" t="str">
        <f>Raw_Data!H28</f>
        <v>Marketplace</v>
      </c>
      <c r="I28">
        <f>Raw_Data!I28</f>
        <v>8</v>
      </c>
      <c r="J28" s="3">
        <f>Raw_Data!J28</f>
        <v>22.57</v>
      </c>
      <c r="K28" s="4">
        <f>Raw_Data!K28</f>
        <v>0.15</v>
      </c>
      <c r="L28" s="3">
        <f>Raw_Data!L28</f>
        <v>153.47999999999999</v>
      </c>
      <c r="M28" s="3">
        <f>Raw_Data!M28</f>
        <v>120.21</v>
      </c>
      <c r="N28" s="3">
        <f>Raw_Data!N28</f>
        <v>33.270000000000003</v>
      </c>
      <c r="O28" t="str">
        <f t="shared" si="0"/>
        <v>2025-01</v>
      </c>
      <c r="P28" s="5">
        <f t="shared" si="1"/>
        <v>0.2167709147771697</v>
      </c>
      <c r="Q28" s="3">
        <f t="shared" si="2"/>
        <v>153.47999999999999</v>
      </c>
    </row>
    <row r="29" spans="1:17" x14ac:dyDescent="0.35">
      <c r="A29" t="str">
        <f>Raw_Data!A29</f>
        <v>ORD-0204</v>
      </c>
      <c r="B29" s="2">
        <f>Raw_Data!B29</f>
        <v>45663</v>
      </c>
      <c r="C29" t="str">
        <f>Raw_Data!C29</f>
        <v>South</v>
      </c>
      <c r="D29" t="str">
        <f>Raw_Data!D29</f>
        <v>Hyderabad</v>
      </c>
      <c r="E29" t="str">
        <f>Raw_Data!E29</f>
        <v>Furniture</v>
      </c>
      <c r="F29" t="str">
        <f>Raw_Data!F29</f>
        <v>Bookshelf</v>
      </c>
      <c r="G29" t="str">
        <f>Raw_Data!G29</f>
        <v>Small Business</v>
      </c>
      <c r="H29" t="str">
        <f>Raw_Data!H29</f>
        <v>Marketplace</v>
      </c>
      <c r="I29">
        <f>Raw_Data!I29</f>
        <v>12</v>
      </c>
      <c r="J29" s="3">
        <f>Raw_Data!J29</f>
        <v>102.6</v>
      </c>
      <c r="K29" s="4">
        <f>Raw_Data!K29</f>
        <v>0</v>
      </c>
      <c r="L29" s="3">
        <f>Raw_Data!L29</f>
        <v>1231.2</v>
      </c>
      <c r="M29" s="3">
        <f>Raw_Data!M29</f>
        <v>762.87</v>
      </c>
      <c r="N29" s="3">
        <f>Raw_Data!N29</f>
        <v>468.33</v>
      </c>
      <c r="O29" t="str">
        <f t="shared" si="0"/>
        <v>2025-01</v>
      </c>
      <c r="P29" s="5">
        <f t="shared" si="1"/>
        <v>0.38038499025341127</v>
      </c>
      <c r="Q29" s="3">
        <f t="shared" si="2"/>
        <v>1231.2</v>
      </c>
    </row>
    <row r="30" spans="1:17" x14ac:dyDescent="0.35">
      <c r="A30" t="str">
        <f>Raw_Data!A30</f>
        <v>ORD-0253</v>
      </c>
      <c r="B30" s="2">
        <f>Raw_Data!B30</f>
        <v>45663</v>
      </c>
      <c r="C30" t="str">
        <f>Raw_Data!C30</f>
        <v>South</v>
      </c>
      <c r="D30" t="str">
        <f>Raw_Data!D30</f>
        <v>Chennai</v>
      </c>
      <c r="E30" t="str">
        <f>Raw_Data!E30</f>
        <v>Technology</v>
      </c>
      <c r="F30" t="str">
        <f>Raw_Data!F30</f>
        <v>Headphones</v>
      </c>
      <c r="G30" t="str">
        <f>Raw_Data!G30</f>
        <v>Small Business</v>
      </c>
      <c r="H30" t="str">
        <f>Raw_Data!H30</f>
        <v>In-Store</v>
      </c>
      <c r="I30">
        <f>Raw_Data!I30</f>
        <v>4</v>
      </c>
      <c r="J30" s="3">
        <f>Raw_Data!J30</f>
        <v>56.58</v>
      </c>
      <c r="K30" s="4">
        <f>Raw_Data!K30</f>
        <v>0.15</v>
      </c>
      <c r="L30" s="3">
        <f>Raw_Data!L30</f>
        <v>192.37</v>
      </c>
      <c r="M30" s="3">
        <f>Raw_Data!M30</f>
        <v>146.52000000000001</v>
      </c>
      <c r="N30" s="3">
        <f>Raw_Data!N30</f>
        <v>45.85</v>
      </c>
      <c r="O30" t="str">
        <f t="shared" si="0"/>
        <v>2025-01</v>
      </c>
      <c r="P30" s="5">
        <f t="shared" si="1"/>
        <v>0.23834277694027137</v>
      </c>
      <c r="Q30" s="3">
        <f t="shared" si="2"/>
        <v>192.37</v>
      </c>
    </row>
    <row r="31" spans="1:17" x14ac:dyDescent="0.35">
      <c r="A31" t="str">
        <f>Raw_Data!A31</f>
        <v>ORD-0844</v>
      </c>
      <c r="B31" s="2">
        <f>Raw_Data!B31</f>
        <v>45663</v>
      </c>
      <c r="C31" t="str">
        <f>Raw_Data!C31</f>
        <v>South</v>
      </c>
      <c r="D31" t="str">
        <f>Raw_Data!D31</f>
        <v>Bengaluru</v>
      </c>
      <c r="E31" t="str">
        <f>Raw_Data!E31</f>
        <v>Furniture</v>
      </c>
      <c r="F31" t="str">
        <f>Raw_Data!F31</f>
        <v>Desk Lamp</v>
      </c>
      <c r="G31" t="str">
        <f>Raw_Data!G31</f>
        <v>Small Business</v>
      </c>
      <c r="H31" t="str">
        <f>Raw_Data!H31</f>
        <v>Marketplace</v>
      </c>
      <c r="I31">
        <f>Raw_Data!I31</f>
        <v>8</v>
      </c>
      <c r="J31" s="3">
        <f>Raw_Data!J31</f>
        <v>37.06</v>
      </c>
      <c r="K31" s="4">
        <f>Raw_Data!K31</f>
        <v>0</v>
      </c>
      <c r="L31" s="3">
        <f>Raw_Data!L31</f>
        <v>296.48</v>
      </c>
      <c r="M31" s="3">
        <f>Raw_Data!M31</f>
        <v>205.85</v>
      </c>
      <c r="N31" s="3">
        <f>Raw_Data!N31</f>
        <v>90.63</v>
      </c>
      <c r="O31" t="str">
        <f t="shared" si="0"/>
        <v>2025-01</v>
      </c>
      <c r="P31" s="5">
        <f t="shared" si="1"/>
        <v>0.30568672423097676</v>
      </c>
      <c r="Q31" s="3">
        <f t="shared" si="2"/>
        <v>296.48</v>
      </c>
    </row>
    <row r="32" spans="1:17" x14ac:dyDescent="0.35">
      <c r="A32" t="str">
        <f>Raw_Data!A32</f>
        <v>ORD-0458</v>
      </c>
      <c r="B32" s="2">
        <f>Raw_Data!B32</f>
        <v>45664</v>
      </c>
      <c r="C32" t="str">
        <f>Raw_Data!C32</f>
        <v>East</v>
      </c>
      <c r="D32" t="str">
        <f>Raw_Data!D32</f>
        <v>Bhubaneswar</v>
      </c>
      <c r="E32" t="str">
        <f>Raw_Data!E32</f>
        <v>Office Supplies</v>
      </c>
      <c r="F32" t="str">
        <f>Raw_Data!F32</f>
        <v>Printer Paper</v>
      </c>
      <c r="G32" t="str">
        <f>Raw_Data!G32</f>
        <v>Consumer</v>
      </c>
      <c r="H32" t="str">
        <f>Raw_Data!H32</f>
        <v>Marketplace</v>
      </c>
      <c r="I32">
        <f>Raw_Data!I32</f>
        <v>10</v>
      </c>
      <c r="J32" s="3">
        <f>Raw_Data!J32</f>
        <v>13.28</v>
      </c>
      <c r="K32" s="4">
        <f>Raw_Data!K32</f>
        <v>0.05</v>
      </c>
      <c r="L32" s="3">
        <f>Raw_Data!L32</f>
        <v>126.16</v>
      </c>
      <c r="M32" s="3">
        <f>Raw_Data!M32</f>
        <v>88.16</v>
      </c>
      <c r="N32" s="3">
        <f>Raw_Data!N32</f>
        <v>38</v>
      </c>
      <c r="O32" t="str">
        <f t="shared" si="0"/>
        <v>2025-01</v>
      </c>
      <c r="P32" s="5">
        <f t="shared" si="1"/>
        <v>0.30120481927710846</v>
      </c>
      <c r="Q32" s="3">
        <f t="shared" si="2"/>
        <v>126.16</v>
      </c>
    </row>
    <row r="33" spans="1:17" x14ac:dyDescent="0.35">
      <c r="A33" t="str">
        <f>Raw_Data!A33</f>
        <v>ORD-0071</v>
      </c>
      <c r="B33" s="2">
        <f>Raw_Data!B33</f>
        <v>45664</v>
      </c>
      <c r="C33" t="str">
        <f>Raw_Data!C33</f>
        <v>East</v>
      </c>
      <c r="D33" t="str">
        <f>Raw_Data!D33</f>
        <v>Kolkata</v>
      </c>
      <c r="E33" t="str">
        <f>Raw_Data!E33</f>
        <v>Furniture</v>
      </c>
      <c r="F33" t="str">
        <f>Raw_Data!F33</f>
        <v>Standing Desk</v>
      </c>
      <c r="G33" t="str">
        <f>Raw_Data!G33</f>
        <v>Small Business</v>
      </c>
      <c r="H33" t="str">
        <f>Raw_Data!H33</f>
        <v>Online</v>
      </c>
      <c r="I33">
        <f>Raw_Data!I33</f>
        <v>8</v>
      </c>
      <c r="J33" s="3">
        <f>Raw_Data!J33</f>
        <v>261.08</v>
      </c>
      <c r="K33" s="4">
        <f>Raw_Data!K33</f>
        <v>0</v>
      </c>
      <c r="L33" s="3">
        <f>Raw_Data!L33</f>
        <v>2088.64</v>
      </c>
      <c r="M33" s="3">
        <f>Raw_Data!M33</f>
        <v>1607.52</v>
      </c>
      <c r="N33" s="3">
        <f>Raw_Data!N33</f>
        <v>481.12</v>
      </c>
      <c r="O33" t="str">
        <f t="shared" si="0"/>
        <v>2025-01</v>
      </c>
      <c r="P33" s="5">
        <f t="shared" si="1"/>
        <v>0.23035085031407998</v>
      </c>
      <c r="Q33" s="3">
        <f t="shared" si="2"/>
        <v>2088.64</v>
      </c>
    </row>
    <row r="34" spans="1:17" x14ac:dyDescent="0.35">
      <c r="A34" t="str">
        <f>Raw_Data!A34</f>
        <v>ORD-0372</v>
      </c>
      <c r="B34" s="2">
        <f>Raw_Data!B34</f>
        <v>45664</v>
      </c>
      <c r="C34" t="str">
        <f>Raw_Data!C34</f>
        <v>North</v>
      </c>
      <c r="D34" t="str">
        <f>Raw_Data!D34</f>
        <v>Delhi</v>
      </c>
      <c r="E34" t="str">
        <f>Raw_Data!E34</f>
        <v>Technology</v>
      </c>
      <c r="F34" t="str">
        <f>Raw_Data!F34</f>
        <v>Wireless Mouse</v>
      </c>
      <c r="G34" t="str">
        <f>Raw_Data!G34</f>
        <v>Corporate</v>
      </c>
      <c r="H34" t="str">
        <f>Raw_Data!H34</f>
        <v>Marketplace</v>
      </c>
      <c r="I34">
        <f>Raw_Data!I34</f>
        <v>10</v>
      </c>
      <c r="J34" s="3">
        <f>Raw_Data!J34</f>
        <v>19.510000000000002</v>
      </c>
      <c r="K34" s="4">
        <f>Raw_Data!K34</f>
        <v>0</v>
      </c>
      <c r="L34" s="3">
        <f>Raw_Data!L34</f>
        <v>195.1</v>
      </c>
      <c r="M34" s="3">
        <f>Raw_Data!M34</f>
        <v>149.22</v>
      </c>
      <c r="N34" s="3">
        <f>Raw_Data!N34</f>
        <v>45.88</v>
      </c>
      <c r="O34" t="str">
        <f t="shared" si="0"/>
        <v>2025-01</v>
      </c>
      <c r="P34" s="5">
        <f t="shared" si="1"/>
        <v>0.2351614556637622</v>
      </c>
      <c r="Q34" s="3">
        <f t="shared" si="2"/>
        <v>195.1</v>
      </c>
    </row>
    <row r="35" spans="1:17" x14ac:dyDescent="0.35">
      <c r="A35" t="str">
        <f>Raw_Data!A35</f>
        <v>ORD-0971</v>
      </c>
      <c r="B35" s="2">
        <f>Raw_Data!B35</f>
        <v>45664</v>
      </c>
      <c r="C35" t="str">
        <f>Raw_Data!C35</f>
        <v>East</v>
      </c>
      <c r="D35" t="str">
        <f>Raw_Data!D35</f>
        <v>Guwahati</v>
      </c>
      <c r="E35" t="str">
        <f>Raw_Data!E35</f>
        <v>Home &amp; Kitchen</v>
      </c>
      <c r="F35" t="str">
        <f>Raw_Data!F35</f>
        <v>Storage Box</v>
      </c>
      <c r="G35" t="str">
        <f>Raw_Data!G35</f>
        <v>Small Business</v>
      </c>
      <c r="H35" t="str">
        <f>Raw_Data!H35</f>
        <v>In-Store</v>
      </c>
      <c r="I35">
        <f>Raw_Data!I35</f>
        <v>3</v>
      </c>
      <c r="J35" s="3">
        <f>Raw_Data!J35</f>
        <v>14.2</v>
      </c>
      <c r="K35" s="4">
        <f>Raw_Data!K35</f>
        <v>0</v>
      </c>
      <c r="L35" s="3">
        <f>Raw_Data!L35</f>
        <v>42.6</v>
      </c>
      <c r="M35" s="3">
        <f>Raw_Data!M35</f>
        <v>30.01</v>
      </c>
      <c r="N35" s="3">
        <f>Raw_Data!N35</f>
        <v>12.59</v>
      </c>
      <c r="O35" t="str">
        <f t="shared" si="0"/>
        <v>2025-01</v>
      </c>
      <c r="P35" s="5">
        <f t="shared" si="1"/>
        <v>0.2955399061032864</v>
      </c>
      <c r="Q35" s="3">
        <f t="shared" si="2"/>
        <v>42.6</v>
      </c>
    </row>
    <row r="36" spans="1:17" x14ac:dyDescent="0.35">
      <c r="A36" t="str">
        <f>Raw_Data!A36</f>
        <v>ORD-0485</v>
      </c>
      <c r="B36" s="2">
        <f>Raw_Data!B36</f>
        <v>45665</v>
      </c>
      <c r="C36" t="str">
        <f>Raw_Data!C36</f>
        <v>North</v>
      </c>
      <c r="D36" t="str">
        <f>Raw_Data!D36</f>
        <v>Chandigarh</v>
      </c>
      <c r="E36" t="str">
        <f>Raw_Data!E36</f>
        <v>Office Supplies</v>
      </c>
      <c r="F36" t="str">
        <f>Raw_Data!F36</f>
        <v>Desk Organizer</v>
      </c>
      <c r="G36" t="str">
        <f>Raw_Data!G36</f>
        <v>Corporate</v>
      </c>
      <c r="H36" t="str">
        <f>Raw_Data!H36</f>
        <v>Marketplace</v>
      </c>
      <c r="I36">
        <f>Raw_Data!I36</f>
        <v>10</v>
      </c>
      <c r="J36" s="3">
        <f>Raw_Data!J36</f>
        <v>18.73</v>
      </c>
      <c r="K36" s="4">
        <f>Raw_Data!K36</f>
        <v>0</v>
      </c>
      <c r="L36" s="3">
        <f>Raw_Data!L36</f>
        <v>187.3</v>
      </c>
      <c r="M36" s="3">
        <f>Raw_Data!M36</f>
        <v>90.41</v>
      </c>
      <c r="N36" s="3">
        <f>Raw_Data!N36</f>
        <v>96.89</v>
      </c>
      <c r="O36" t="str">
        <f t="shared" si="0"/>
        <v>2025-01</v>
      </c>
      <c r="P36" s="5">
        <f t="shared" si="1"/>
        <v>0.51729845168179389</v>
      </c>
      <c r="Q36" s="3">
        <f t="shared" si="2"/>
        <v>187.3</v>
      </c>
    </row>
    <row r="37" spans="1:17" x14ac:dyDescent="0.35">
      <c r="A37" t="str">
        <f>Raw_Data!A37</f>
        <v>ORD-0153</v>
      </c>
      <c r="B37" s="2">
        <f>Raw_Data!B37</f>
        <v>45666</v>
      </c>
      <c r="C37" t="str">
        <f>Raw_Data!C37</f>
        <v>West</v>
      </c>
      <c r="D37" t="str">
        <f>Raw_Data!D37</f>
        <v>Ahmedabad</v>
      </c>
      <c r="E37" t="str">
        <f>Raw_Data!E37</f>
        <v>Office Supplies</v>
      </c>
      <c r="F37" t="str">
        <f>Raw_Data!F37</f>
        <v>Pen Set</v>
      </c>
      <c r="G37" t="str">
        <f>Raw_Data!G37</f>
        <v>Consumer</v>
      </c>
      <c r="H37" t="str">
        <f>Raw_Data!H37</f>
        <v>Marketplace</v>
      </c>
      <c r="I37">
        <f>Raw_Data!I37</f>
        <v>5</v>
      </c>
      <c r="J37" s="3">
        <f>Raw_Data!J37</f>
        <v>8</v>
      </c>
      <c r="K37" s="4">
        <f>Raw_Data!K37</f>
        <v>0.15</v>
      </c>
      <c r="L37" s="3">
        <f>Raw_Data!L37</f>
        <v>34</v>
      </c>
      <c r="M37" s="3">
        <f>Raw_Data!M37</f>
        <v>23.43</v>
      </c>
      <c r="N37" s="3">
        <f>Raw_Data!N37</f>
        <v>10.57</v>
      </c>
      <c r="O37" t="str">
        <f t="shared" si="0"/>
        <v>2025-01</v>
      </c>
      <c r="P37" s="5">
        <f t="shared" si="1"/>
        <v>0.3108823529411765</v>
      </c>
      <c r="Q37" s="3">
        <f t="shared" si="2"/>
        <v>34</v>
      </c>
    </row>
    <row r="38" spans="1:17" x14ac:dyDescent="0.35">
      <c r="A38" t="str">
        <f>Raw_Data!A38</f>
        <v>ORD-0432</v>
      </c>
      <c r="B38" s="2">
        <f>Raw_Data!B38</f>
        <v>45667</v>
      </c>
      <c r="C38" t="str">
        <f>Raw_Data!C38</f>
        <v>South</v>
      </c>
      <c r="D38" t="str">
        <f>Raw_Data!D38</f>
        <v>Hyderabad</v>
      </c>
      <c r="E38" t="str">
        <f>Raw_Data!E38</f>
        <v>Furniture</v>
      </c>
      <c r="F38" t="str">
        <f>Raw_Data!F38</f>
        <v>Office Chair</v>
      </c>
      <c r="G38" t="str">
        <f>Raw_Data!G38</f>
        <v>Consumer</v>
      </c>
      <c r="H38" t="str">
        <f>Raw_Data!H38</f>
        <v>In-Store</v>
      </c>
      <c r="I38">
        <f>Raw_Data!I38</f>
        <v>4</v>
      </c>
      <c r="J38" s="3">
        <f>Raw_Data!J38</f>
        <v>146.05000000000001</v>
      </c>
      <c r="K38" s="4">
        <f>Raw_Data!K38</f>
        <v>0.1</v>
      </c>
      <c r="L38" s="3">
        <f>Raw_Data!L38</f>
        <v>525.78</v>
      </c>
      <c r="M38" s="3">
        <f>Raw_Data!M38</f>
        <v>432.42</v>
      </c>
      <c r="N38" s="3">
        <f>Raw_Data!N38</f>
        <v>93.36</v>
      </c>
      <c r="O38" t="str">
        <f t="shared" si="0"/>
        <v>2025-01</v>
      </c>
      <c r="P38" s="5">
        <f t="shared" si="1"/>
        <v>0.17756476092662332</v>
      </c>
      <c r="Q38" s="3">
        <f t="shared" si="2"/>
        <v>525.78</v>
      </c>
    </row>
    <row r="39" spans="1:17" x14ac:dyDescent="0.35">
      <c r="A39" t="str">
        <f>Raw_Data!A39</f>
        <v>ORD-0015</v>
      </c>
      <c r="B39" s="2">
        <f>Raw_Data!B39</f>
        <v>45667</v>
      </c>
      <c r="C39" t="str">
        <f>Raw_Data!C39</f>
        <v>North</v>
      </c>
      <c r="D39" t="str">
        <f>Raw_Data!D39</f>
        <v>Chandigarh</v>
      </c>
      <c r="E39" t="str">
        <f>Raw_Data!E39</f>
        <v>Technology</v>
      </c>
      <c r="F39" t="str">
        <f>Raw_Data!F39</f>
        <v>Headphones</v>
      </c>
      <c r="G39" t="str">
        <f>Raw_Data!G39</f>
        <v>Consumer</v>
      </c>
      <c r="H39" t="str">
        <f>Raw_Data!H39</f>
        <v>Marketplace</v>
      </c>
      <c r="I39">
        <f>Raw_Data!I39</f>
        <v>5</v>
      </c>
      <c r="J39" s="3">
        <f>Raw_Data!J39</f>
        <v>51.36</v>
      </c>
      <c r="K39" s="4">
        <f>Raw_Data!K39</f>
        <v>0</v>
      </c>
      <c r="L39" s="3">
        <f>Raw_Data!L39</f>
        <v>256.8</v>
      </c>
      <c r="M39" s="3">
        <f>Raw_Data!M39</f>
        <v>190.91</v>
      </c>
      <c r="N39" s="3">
        <f>Raw_Data!N39</f>
        <v>65.89</v>
      </c>
      <c r="O39" t="str">
        <f t="shared" si="0"/>
        <v>2025-01</v>
      </c>
      <c r="P39" s="5">
        <f t="shared" si="1"/>
        <v>0.25658099688473518</v>
      </c>
      <c r="Q39" s="3">
        <f t="shared" si="2"/>
        <v>256.8</v>
      </c>
    </row>
    <row r="40" spans="1:17" x14ac:dyDescent="0.35">
      <c r="A40" t="str">
        <f>Raw_Data!A40</f>
        <v>ORD-0516</v>
      </c>
      <c r="B40" s="2">
        <f>Raw_Data!B40</f>
        <v>45667</v>
      </c>
      <c r="C40" t="str">
        <f>Raw_Data!C40</f>
        <v>East</v>
      </c>
      <c r="D40" t="str">
        <f>Raw_Data!D40</f>
        <v>Guwahati</v>
      </c>
      <c r="E40" t="str">
        <f>Raw_Data!E40</f>
        <v>Home &amp; Kitchen</v>
      </c>
      <c r="F40" t="str">
        <f>Raw_Data!F40</f>
        <v>Water Bottle</v>
      </c>
      <c r="G40" t="str">
        <f>Raw_Data!G40</f>
        <v>Consumer</v>
      </c>
      <c r="H40" t="str">
        <f>Raw_Data!H40</f>
        <v>In-Store</v>
      </c>
      <c r="I40">
        <f>Raw_Data!I40</f>
        <v>5</v>
      </c>
      <c r="J40" s="3">
        <f>Raw_Data!J40</f>
        <v>14.55</v>
      </c>
      <c r="K40" s="4">
        <f>Raw_Data!K40</f>
        <v>0.05</v>
      </c>
      <c r="L40" s="3">
        <f>Raw_Data!L40</f>
        <v>69.11</v>
      </c>
      <c r="M40" s="3">
        <f>Raw_Data!M40</f>
        <v>39.299999999999997</v>
      </c>
      <c r="N40" s="3">
        <f>Raw_Data!N40</f>
        <v>29.81</v>
      </c>
      <c r="O40" t="str">
        <f t="shared" si="0"/>
        <v>2025-01</v>
      </c>
      <c r="P40" s="5">
        <f t="shared" si="1"/>
        <v>0.43134133989292434</v>
      </c>
      <c r="Q40" s="3">
        <f t="shared" si="2"/>
        <v>69.11</v>
      </c>
    </row>
    <row r="41" spans="1:17" x14ac:dyDescent="0.35">
      <c r="A41" t="str">
        <f>Raw_Data!A41</f>
        <v>ORD-0488</v>
      </c>
      <c r="B41" s="2">
        <f>Raw_Data!B41</f>
        <v>45668</v>
      </c>
      <c r="C41" t="str">
        <f>Raw_Data!C41</f>
        <v>West</v>
      </c>
      <c r="D41" t="str">
        <f>Raw_Data!D41</f>
        <v>Ahmedabad</v>
      </c>
      <c r="E41" t="str">
        <f>Raw_Data!E41</f>
        <v>Home &amp; Kitchen</v>
      </c>
      <c r="F41" t="str">
        <f>Raw_Data!F41</f>
        <v>Coffee Maker</v>
      </c>
      <c r="G41" t="str">
        <f>Raw_Data!G41</f>
        <v>Corporate</v>
      </c>
      <c r="H41" t="str">
        <f>Raw_Data!H41</f>
        <v>In-Store</v>
      </c>
      <c r="I41">
        <f>Raw_Data!I41</f>
        <v>12</v>
      </c>
      <c r="J41" s="3">
        <f>Raw_Data!J41</f>
        <v>64.599999999999994</v>
      </c>
      <c r="K41" s="4">
        <f>Raw_Data!K41</f>
        <v>0</v>
      </c>
      <c r="L41" s="3">
        <f>Raw_Data!L41</f>
        <v>775.2</v>
      </c>
      <c r="M41" s="3">
        <f>Raw_Data!M41</f>
        <v>484.96</v>
      </c>
      <c r="N41" s="3">
        <f>Raw_Data!N41</f>
        <v>290.24</v>
      </c>
      <c r="O41" t="str">
        <f t="shared" si="0"/>
        <v>2025-01</v>
      </c>
      <c r="P41" s="5">
        <f t="shared" si="1"/>
        <v>0.37440660474716203</v>
      </c>
      <c r="Q41" s="3">
        <f t="shared" si="2"/>
        <v>775.2</v>
      </c>
    </row>
    <row r="42" spans="1:17" x14ac:dyDescent="0.35">
      <c r="A42" t="str">
        <f>Raw_Data!A42</f>
        <v>ORD-0468</v>
      </c>
      <c r="B42" s="2">
        <f>Raw_Data!B42</f>
        <v>45669</v>
      </c>
      <c r="C42" t="str">
        <f>Raw_Data!C42</f>
        <v>West</v>
      </c>
      <c r="D42" t="str">
        <f>Raw_Data!D42</f>
        <v>Mumbai</v>
      </c>
      <c r="E42" t="str">
        <f>Raw_Data!E42</f>
        <v>Office Supplies</v>
      </c>
      <c r="F42" t="str">
        <f>Raw_Data!F42</f>
        <v>Pen Set</v>
      </c>
      <c r="G42" t="str">
        <f>Raw_Data!G42</f>
        <v>Consumer</v>
      </c>
      <c r="H42" t="str">
        <f>Raw_Data!H42</f>
        <v>Online</v>
      </c>
      <c r="I42">
        <f>Raw_Data!I42</f>
        <v>11</v>
      </c>
      <c r="J42" s="3">
        <f>Raw_Data!J42</f>
        <v>7.5</v>
      </c>
      <c r="K42" s="4">
        <f>Raw_Data!K42</f>
        <v>0</v>
      </c>
      <c r="L42" s="3">
        <f>Raw_Data!L42</f>
        <v>82.5</v>
      </c>
      <c r="M42" s="3">
        <f>Raw_Data!M42</f>
        <v>44.81</v>
      </c>
      <c r="N42" s="3">
        <f>Raw_Data!N42</f>
        <v>37.69</v>
      </c>
      <c r="O42" t="str">
        <f t="shared" si="0"/>
        <v>2025-01</v>
      </c>
      <c r="P42" s="5">
        <f t="shared" si="1"/>
        <v>0.45684848484848484</v>
      </c>
      <c r="Q42" s="3">
        <f t="shared" si="2"/>
        <v>82.5</v>
      </c>
    </row>
    <row r="43" spans="1:17" x14ac:dyDescent="0.35">
      <c r="A43" t="str">
        <f>Raw_Data!A43</f>
        <v>ORD-0994</v>
      </c>
      <c r="B43" s="2">
        <f>Raw_Data!B43</f>
        <v>45669</v>
      </c>
      <c r="C43" t="str">
        <f>Raw_Data!C43</f>
        <v>East</v>
      </c>
      <c r="D43" t="str">
        <f>Raw_Data!D43</f>
        <v>Bhubaneswar</v>
      </c>
      <c r="E43" t="str">
        <f>Raw_Data!E43</f>
        <v>Home &amp; Kitchen</v>
      </c>
      <c r="F43" t="str">
        <f>Raw_Data!F43</f>
        <v>Coffee Maker</v>
      </c>
      <c r="G43" t="str">
        <f>Raw_Data!G43</f>
        <v>Small Business</v>
      </c>
      <c r="H43" t="str">
        <f>Raw_Data!H43</f>
        <v>Online</v>
      </c>
      <c r="I43">
        <f>Raw_Data!I43</f>
        <v>5</v>
      </c>
      <c r="J43" s="3">
        <f>Raw_Data!J43</f>
        <v>77.22</v>
      </c>
      <c r="K43" s="4">
        <f>Raw_Data!K43</f>
        <v>0</v>
      </c>
      <c r="L43" s="3">
        <f>Raw_Data!L43</f>
        <v>386.1</v>
      </c>
      <c r="M43" s="3">
        <f>Raw_Data!M43</f>
        <v>201.75</v>
      </c>
      <c r="N43" s="3">
        <f>Raw_Data!N43</f>
        <v>184.35</v>
      </c>
      <c r="O43" t="str">
        <f t="shared" si="0"/>
        <v>2025-01</v>
      </c>
      <c r="P43" s="5">
        <f t="shared" si="1"/>
        <v>0.47746697746697742</v>
      </c>
      <c r="Q43" s="3">
        <f t="shared" si="2"/>
        <v>386.1</v>
      </c>
    </row>
    <row r="44" spans="1:17" x14ac:dyDescent="0.35">
      <c r="A44" t="str">
        <f>Raw_Data!A44</f>
        <v>ORD-0300</v>
      </c>
      <c r="B44" s="2">
        <f>Raw_Data!B44</f>
        <v>45670</v>
      </c>
      <c r="C44" t="str">
        <f>Raw_Data!C44</f>
        <v>North</v>
      </c>
      <c r="D44" t="str">
        <f>Raw_Data!D44</f>
        <v>Jaipur</v>
      </c>
      <c r="E44" t="str">
        <f>Raw_Data!E44</f>
        <v>Office Supplies</v>
      </c>
      <c r="F44" t="str">
        <f>Raw_Data!F44</f>
        <v>Desk Organizer</v>
      </c>
      <c r="G44" t="str">
        <f>Raw_Data!G44</f>
        <v>Corporate</v>
      </c>
      <c r="H44" t="str">
        <f>Raw_Data!H44</f>
        <v>In-Store</v>
      </c>
      <c r="I44">
        <f>Raw_Data!I44</f>
        <v>11</v>
      </c>
      <c r="J44" s="3">
        <f>Raw_Data!J44</f>
        <v>24.02</v>
      </c>
      <c r="K44" s="4">
        <f>Raw_Data!K44</f>
        <v>0</v>
      </c>
      <c r="L44" s="3">
        <f>Raw_Data!L44</f>
        <v>264.22000000000003</v>
      </c>
      <c r="M44" s="3">
        <f>Raw_Data!M44</f>
        <v>202.21</v>
      </c>
      <c r="N44" s="3">
        <f>Raw_Data!N44</f>
        <v>62.01</v>
      </c>
      <c r="O44" t="str">
        <f t="shared" si="0"/>
        <v>2025-01</v>
      </c>
      <c r="P44" s="5">
        <f t="shared" si="1"/>
        <v>0.23469078797971385</v>
      </c>
      <c r="Q44" s="3">
        <f t="shared" si="2"/>
        <v>264.22000000000003</v>
      </c>
    </row>
    <row r="45" spans="1:17" x14ac:dyDescent="0.35">
      <c r="A45" t="str">
        <f>Raw_Data!A45</f>
        <v>ORD-0959</v>
      </c>
      <c r="B45" s="2">
        <f>Raw_Data!B45</f>
        <v>45670</v>
      </c>
      <c r="C45" t="str">
        <f>Raw_Data!C45</f>
        <v>West</v>
      </c>
      <c r="D45" t="str">
        <f>Raw_Data!D45</f>
        <v>Mumbai</v>
      </c>
      <c r="E45" t="str">
        <f>Raw_Data!E45</f>
        <v>Office Supplies</v>
      </c>
      <c r="F45" t="str">
        <f>Raw_Data!F45</f>
        <v>Printer Paper</v>
      </c>
      <c r="G45" t="str">
        <f>Raw_Data!G45</f>
        <v>Corporate</v>
      </c>
      <c r="H45" t="str">
        <f>Raw_Data!H45</f>
        <v>Marketplace</v>
      </c>
      <c r="I45">
        <f>Raw_Data!I45</f>
        <v>7</v>
      </c>
      <c r="J45" s="3">
        <f>Raw_Data!J45</f>
        <v>13.52</v>
      </c>
      <c r="K45" s="4">
        <f>Raw_Data!K45</f>
        <v>0.05</v>
      </c>
      <c r="L45" s="3">
        <f>Raw_Data!L45</f>
        <v>89.91</v>
      </c>
      <c r="M45" s="3">
        <f>Raw_Data!M45</f>
        <v>51.84</v>
      </c>
      <c r="N45" s="3">
        <f>Raw_Data!N45</f>
        <v>38.07</v>
      </c>
      <c r="O45" t="str">
        <f t="shared" si="0"/>
        <v>2025-01</v>
      </c>
      <c r="P45" s="5">
        <f t="shared" si="1"/>
        <v>0.42342342342342343</v>
      </c>
      <c r="Q45" s="3">
        <f t="shared" si="2"/>
        <v>89.91</v>
      </c>
    </row>
    <row r="46" spans="1:17" x14ac:dyDescent="0.35">
      <c r="A46" t="str">
        <f>Raw_Data!A46</f>
        <v>ORD-0797</v>
      </c>
      <c r="B46" s="2">
        <f>Raw_Data!B46</f>
        <v>45670</v>
      </c>
      <c r="C46" t="str">
        <f>Raw_Data!C46</f>
        <v>North</v>
      </c>
      <c r="D46" t="str">
        <f>Raw_Data!D46</f>
        <v>Delhi</v>
      </c>
      <c r="E46" t="str">
        <f>Raw_Data!E46</f>
        <v>Furniture</v>
      </c>
      <c r="F46" t="str">
        <f>Raw_Data!F46</f>
        <v>Bookshelf</v>
      </c>
      <c r="G46" t="str">
        <f>Raw_Data!G46</f>
        <v>Small Business</v>
      </c>
      <c r="H46" t="str">
        <f>Raw_Data!H46</f>
        <v>Marketplace</v>
      </c>
      <c r="I46">
        <f>Raw_Data!I46</f>
        <v>4</v>
      </c>
      <c r="J46" s="3">
        <f>Raw_Data!J46</f>
        <v>97.65</v>
      </c>
      <c r="K46" s="4">
        <f>Raw_Data!K46</f>
        <v>0</v>
      </c>
      <c r="L46" s="3">
        <f>Raw_Data!L46</f>
        <v>390.6</v>
      </c>
      <c r="M46" s="3">
        <f>Raw_Data!M46</f>
        <v>299.83999999999997</v>
      </c>
      <c r="N46" s="3">
        <f>Raw_Data!N46</f>
        <v>90.76</v>
      </c>
      <c r="O46" t="str">
        <f t="shared" si="0"/>
        <v>2025-01</v>
      </c>
      <c r="P46" s="5">
        <f t="shared" si="1"/>
        <v>0.23236047107014848</v>
      </c>
      <c r="Q46" s="3">
        <f t="shared" si="2"/>
        <v>390.6</v>
      </c>
    </row>
    <row r="47" spans="1:17" x14ac:dyDescent="0.35">
      <c r="A47" t="str">
        <f>Raw_Data!A47</f>
        <v>ORD-0395</v>
      </c>
      <c r="B47" s="2">
        <f>Raw_Data!B47</f>
        <v>45670</v>
      </c>
      <c r="C47" t="str">
        <f>Raw_Data!C47</f>
        <v>South</v>
      </c>
      <c r="D47" t="str">
        <f>Raw_Data!D47</f>
        <v>Chennai</v>
      </c>
      <c r="E47" t="str">
        <f>Raw_Data!E47</f>
        <v>Home &amp; Kitchen</v>
      </c>
      <c r="F47" t="str">
        <f>Raw_Data!F47</f>
        <v>Storage Box</v>
      </c>
      <c r="G47" t="str">
        <f>Raw_Data!G47</f>
        <v>Small Business</v>
      </c>
      <c r="H47" t="str">
        <f>Raw_Data!H47</f>
        <v>Marketplace</v>
      </c>
      <c r="I47">
        <f>Raw_Data!I47</f>
        <v>1</v>
      </c>
      <c r="J47" s="3">
        <f>Raw_Data!J47</f>
        <v>15.18</v>
      </c>
      <c r="K47" s="4">
        <f>Raw_Data!K47</f>
        <v>0</v>
      </c>
      <c r="L47" s="3">
        <f>Raw_Data!L47</f>
        <v>15.18</v>
      </c>
      <c r="M47" s="3">
        <f>Raw_Data!M47</f>
        <v>8.5</v>
      </c>
      <c r="N47" s="3">
        <f>Raw_Data!N47</f>
        <v>6.68</v>
      </c>
      <c r="O47" t="str">
        <f t="shared" si="0"/>
        <v>2025-01</v>
      </c>
      <c r="P47" s="5">
        <f t="shared" si="1"/>
        <v>0.44005270092226612</v>
      </c>
      <c r="Q47" s="3">
        <f t="shared" si="2"/>
        <v>15.18</v>
      </c>
    </row>
    <row r="48" spans="1:17" x14ac:dyDescent="0.35">
      <c r="A48" t="str">
        <f>Raw_Data!A48</f>
        <v>ORD-0627</v>
      </c>
      <c r="B48" s="2">
        <f>Raw_Data!B48</f>
        <v>45670</v>
      </c>
      <c r="C48" t="str">
        <f>Raw_Data!C48</f>
        <v>East</v>
      </c>
      <c r="D48" t="str">
        <f>Raw_Data!D48</f>
        <v>Guwahati</v>
      </c>
      <c r="E48" t="str">
        <f>Raw_Data!E48</f>
        <v>Home &amp; Kitchen</v>
      </c>
      <c r="F48" t="str">
        <f>Raw_Data!F48</f>
        <v>Lunch Box</v>
      </c>
      <c r="G48" t="str">
        <f>Raw_Data!G48</f>
        <v>Corporate</v>
      </c>
      <c r="H48" t="str">
        <f>Raw_Data!H48</f>
        <v>In-Store</v>
      </c>
      <c r="I48">
        <f>Raw_Data!I48</f>
        <v>3</v>
      </c>
      <c r="J48" s="3">
        <f>Raw_Data!J48</f>
        <v>23.12</v>
      </c>
      <c r="K48" s="4">
        <f>Raw_Data!K48</f>
        <v>0.1</v>
      </c>
      <c r="L48" s="3">
        <f>Raw_Data!L48</f>
        <v>62.42</v>
      </c>
      <c r="M48" s="3">
        <f>Raw_Data!M48</f>
        <v>37.14</v>
      </c>
      <c r="N48" s="3">
        <f>Raw_Data!N48</f>
        <v>25.28</v>
      </c>
      <c r="O48" t="str">
        <f t="shared" si="0"/>
        <v>2025-01</v>
      </c>
      <c r="P48" s="5">
        <f t="shared" si="1"/>
        <v>0.4049983979493752</v>
      </c>
      <c r="Q48" s="3">
        <f t="shared" si="2"/>
        <v>62.42</v>
      </c>
    </row>
    <row r="49" spans="1:17" x14ac:dyDescent="0.35">
      <c r="A49" t="str">
        <f>Raw_Data!A49</f>
        <v>ORD-0526</v>
      </c>
      <c r="B49" s="2">
        <f>Raw_Data!B49</f>
        <v>45671</v>
      </c>
      <c r="C49" t="str">
        <f>Raw_Data!C49</f>
        <v>West</v>
      </c>
      <c r="D49" t="str">
        <f>Raw_Data!D49</f>
        <v>Ahmedabad</v>
      </c>
      <c r="E49" t="str">
        <f>Raw_Data!E49</f>
        <v>Furniture</v>
      </c>
      <c r="F49" t="str">
        <f>Raw_Data!F49</f>
        <v>Desk Lamp</v>
      </c>
      <c r="G49" t="str">
        <f>Raw_Data!G49</f>
        <v>Consumer</v>
      </c>
      <c r="H49" t="str">
        <f>Raw_Data!H49</f>
        <v>Marketplace</v>
      </c>
      <c r="I49">
        <f>Raw_Data!I49</f>
        <v>10</v>
      </c>
      <c r="J49" s="3">
        <f>Raw_Data!J49</f>
        <v>35.39</v>
      </c>
      <c r="K49" s="4">
        <f>Raw_Data!K49</f>
        <v>0</v>
      </c>
      <c r="L49" s="3">
        <f>Raw_Data!L49</f>
        <v>353.9</v>
      </c>
      <c r="M49" s="3">
        <f>Raw_Data!M49</f>
        <v>208.01</v>
      </c>
      <c r="N49" s="3">
        <f>Raw_Data!N49</f>
        <v>145.88999999999999</v>
      </c>
      <c r="O49" t="str">
        <f t="shared" si="0"/>
        <v>2025-01</v>
      </c>
      <c r="P49" s="5">
        <f t="shared" si="1"/>
        <v>0.41223509465950831</v>
      </c>
      <c r="Q49" s="3">
        <f t="shared" si="2"/>
        <v>353.9</v>
      </c>
    </row>
    <row r="50" spans="1:17" x14ac:dyDescent="0.35">
      <c r="A50" t="str">
        <f>Raw_Data!A50</f>
        <v>ORD-0681</v>
      </c>
      <c r="B50" s="2">
        <f>Raw_Data!B50</f>
        <v>45671</v>
      </c>
      <c r="C50" t="str">
        <f>Raw_Data!C50</f>
        <v>North</v>
      </c>
      <c r="D50" t="str">
        <f>Raw_Data!D50</f>
        <v>Delhi</v>
      </c>
      <c r="E50" t="str">
        <f>Raw_Data!E50</f>
        <v>Furniture</v>
      </c>
      <c r="F50" t="str">
        <f>Raw_Data!F50</f>
        <v>Standing Desk</v>
      </c>
      <c r="G50" t="str">
        <f>Raw_Data!G50</f>
        <v>Corporate</v>
      </c>
      <c r="H50" t="str">
        <f>Raw_Data!H50</f>
        <v>Online</v>
      </c>
      <c r="I50">
        <f>Raw_Data!I50</f>
        <v>2</v>
      </c>
      <c r="J50" s="3">
        <f>Raw_Data!J50</f>
        <v>259.95999999999998</v>
      </c>
      <c r="K50" s="4">
        <f>Raw_Data!K50</f>
        <v>0.05</v>
      </c>
      <c r="L50" s="3">
        <f>Raw_Data!L50</f>
        <v>493.92</v>
      </c>
      <c r="M50" s="3">
        <f>Raw_Data!M50</f>
        <v>313.81</v>
      </c>
      <c r="N50" s="3">
        <f>Raw_Data!N50</f>
        <v>180.11</v>
      </c>
      <c r="O50" t="str">
        <f t="shared" si="0"/>
        <v>2025-01</v>
      </c>
      <c r="P50" s="5">
        <f t="shared" si="1"/>
        <v>0.36465419501133789</v>
      </c>
      <c r="Q50" s="3">
        <f t="shared" si="2"/>
        <v>493.92</v>
      </c>
    </row>
    <row r="51" spans="1:17" x14ac:dyDescent="0.35">
      <c r="A51" t="str">
        <f>Raw_Data!A51</f>
        <v>ORD-0675</v>
      </c>
      <c r="B51" s="2">
        <f>Raw_Data!B51</f>
        <v>45671</v>
      </c>
      <c r="C51" t="str">
        <f>Raw_Data!C51</f>
        <v>North</v>
      </c>
      <c r="D51" t="str">
        <f>Raw_Data!D51</f>
        <v>Jaipur</v>
      </c>
      <c r="E51" t="str">
        <f>Raw_Data!E51</f>
        <v>Office Supplies</v>
      </c>
      <c r="F51" t="str">
        <f>Raw_Data!F51</f>
        <v>Printer Paper</v>
      </c>
      <c r="G51" t="str">
        <f>Raw_Data!G51</f>
        <v>Consumer</v>
      </c>
      <c r="H51" t="str">
        <f>Raw_Data!H51</f>
        <v>Marketplace</v>
      </c>
      <c r="I51">
        <f>Raw_Data!I51</f>
        <v>10</v>
      </c>
      <c r="J51" s="3">
        <f>Raw_Data!J51</f>
        <v>16.32</v>
      </c>
      <c r="K51" s="4">
        <f>Raw_Data!K51</f>
        <v>0</v>
      </c>
      <c r="L51" s="3">
        <f>Raw_Data!L51</f>
        <v>163.19999999999999</v>
      </c>
      <c r="M51" s="3">
        <f>Raw_Data!M51</f>
        <v>93.16</v>
      </c>
      <c r="N51" s="3">
        <f>Raw_Data!N51</f>
        <v>70.040000000000006</v>
      </c>
      <c r="O51" t="str">
        <f t="shared" si="0"/>
        <v>2025-01</v>
      </c>
      <c r="P51" s="5">
        <f t="shared" si="1"/>
        <v>0.42916666666666675</v>
      </c>
      <c r="Q51" s="3">
        <f t="shared" si="2"/>
        <v>163.19999999999999</v>
      </c>
    </row>
    <row r="52" spans="1:17" x14ac:dyDescent="0.35">
      <c r="A52" t="str">
        <f>Raw_Data!A52</f>
        <v>ORD-0777</v>
      </c>
      <c r="B52" s="2">
        <f>Raw_Data!B52</f>
        <v>45671</v>
      </c>
      <c r="C52" t="str">
        <f>Raw_Data!C52</f>
        <v>East</v>
      </c>
      <c r="D52" t="str">
        <f>Raw_Data!D52</f>
        <v>Kolkata</v>
      </c>
      <c r="E52" t="str">
        <f>Raw_Data!E52</f>
        <v>Technology</v>
      </c>
      <c r="F52" t="str">
        <f>Raw_Data!F52</f>
        <v>Headphones</v>
      </c>
      <c r="G52" t="str">
        <f>Raw_Data!G52</f>
        <v>Small Business</v>
      </c>
      <c r="H52" t="str">
        <f>Raw_Data!H52</f>
        <v>In-Store</v>
      </c>
      <c r="I52">
        <f>Raw_Data!I52</f>
        <v>7</v>
      </c>
      <c r="J52" s="3">
        <f>Raw_Data!J52</f>
        <v>48.65</v>
      </c>
      <c r="K52" s="4">
        <f>Raw_Data!K52</f>
        <v>0</v>
      </c>
      <c r="L52" s="3">
        <f>Raw_Data!L52</f>
        <v>340.55</v>
      </c>
      <c r="M52" s="3">
        <f>Raw_Data!M52</f>
        <v>205.64</v>
      </c>
      <c r="N52" s="3">
        <f>Raw_Data!N52</f>
        <v>134.91</v>
      </c>
      <c r="O52" t="str">
        <f t="shared" si="0"/>
        <v>2025-01</v>
      </c>
      <c r="P52" s="5">
        <f t="shared" si="1"/>
        <v>0.39615328145646744</v>
      </c>
      <c r="Q52" s="3">
        <f t="shared" si="2"/>
        <v>340.55</v>
      </c>
    </row>
    <row r="53" spans="1:17" x14ac:dyDescent="0.35">
      <c r="A53" t="str">
        <f>Raw_Data!A53</f>
        <v>ORD-0451</v>
      </c>
      <c r="B53" s="2">
        <f>Raw_Data!B53</f>
        <v>45672</v>
      </c>
      <c r="C53" t="str">
        <f>Raw_Data!C53</f>
        <v>South</v>
      </c>
      <c r="D53" t="str">
        <f>Raw_Data!D53</f>
        <v>Chennai</v>
      </c>
      <c r="E53" t="str">
        <f>Raw_Data!E53</f>
        <v>Home &amp; Kitchen</v>
      </c>
      <c r="F53" t="str">
        <f>Raw_Data!F53</f>
        <v>Water Bottle</v>
      </c>
      <c r="G53" t="str">
        <f>Raw_Data!G53</f>
        <v>Small Business</v>
      </c>
      <c r="H53" t="str">
        <f>Raw_Data!H53</f>
        <v>In-Store</v>
      </c>
      <c r="I53">
        <f>Raw_Data!I53</f>
        <v>5</v>
      </c>
      <c r="J53" s="3">
        <f>Raw_Data!J53</f>
        <v>13.98</v>
      </c>
      <c r="K53" s="4">
        <f>Raw_Data!K53</f>
        <v>0</v>
      </c>
      <c r="L53" s="3">
        <f>Raw_Data!L53</f>
        <v>69.900000000000006</v>
      </c>
      <c r="M53" s="3">
        <f>Raw_Data!M53</f>
        <v>47.75</v>
      </c>
      <c r="N53" s="3">
        <f>Raw_Data!N53</f>
        <v>22.15</v>
      </c>
      <c r="O53" t="str">
        <f t="shared" si="0"/>
        <v>2025-01</v>
      </c>
      <c r="P53" s="5">
        <f t="shared" si="1"/>
        <v>0.31688125894134472</v>
      </c>
      <c r="Q53" s="3">
        <f t="shared" si="2"/>
        <v>69.900000000000006</v>
      </c>
    </row>
    <row r="54" spans="1:17" x14ac:dyDescent="0.35">
      <c r="A54" t="str">
        <f>Raw_Data!A54</f>
        <v>ORD-0867</v>
      </c>
      <c r="B54" s="2">
        <f>Raw_Data!B54</f>
        <v>45672</v>
      </c>
      <c r="C54" t="str">
        <f>Raw_Data!C54</f>
        <v>South</v>
      </c>
      <c r="D54" t="str">
        <f>Raw_Data!D54</f>
        <v>Bengaluru</v>
      </c>
      <c r="E54" t="str">
        <f>Raw_Data!E54</f>
        <v>Office Supplies</v>
      </c>
      <c r="F54" t="str">
        <f>Raw_Data!F54</f>
        <v>Desk Organizer</v>
      </c>
      <c r="G54" t="str">
        <f>Raw_Data!G54</f>
        <v>Consumer</v>
      </c>
      <c r="H54" t="str">
        <f>Raw_Data!H54</f>
        <v>Online</v>
      </c>
      <c r="I54">
        <f>Raw_Data!I54</f>
        <v>10</v>
      </c>
      <c r="J54" s="3">
        <f>Raw_Data!J54</f>
        <v>21.2</v>
      </c>
      <c r="K54" s="4">
        <f>Raw_Data!K54</f>
        <v>0</v>
      </c>
      <c r="L54" s="3">
        <f>Raw_Data!L54</f>
        <v>212</v>
      </c>
      <c r="M54" s="3">
        <f>Raw_Data!M54</f>
        <v>117.93</v>
      </c>
      <c r="N54" s="3">
        <f>Raw_Data!N54</f>
        <v>94.07</v>
      </c>
      <c r="O54" t="str">
        <f t="shared" si="0"/>
        <v>2025-01</v>
      </c>
      <c r="P54" s="5">
        <f t="shared" si="1"/>
        <v>0.44372641509433958</v>
      </c>
      <c r="Q54" s="3">
        <f t="shared" si="2"/>
        <v>212</v>
      </c>
    </row>
    <row r="55" spans="1:17" x14ac:dyDescent="0.35">
      <c r="A55" t="str">
        <f>Raw_Data!A55</f>
        <v>ORD-0768</v>
      </c>
      <c r="B55" s="2">
        <f>Raw_Data!B55</f>
        <v>45672</v>
      </c>
      <c r="C55" t="str">
        <f>Raw_Data!C55</f>
        <v>South</v>
      </c>
      <c r="D55" t="str">
        <f>Raw_Data!D55</f>
        <v>Chennai</v>
      </c>
      <c r="E55" t="str">
        <f>Raw_Data!E55</f>
        <v>Office Supplies</v>
      </c>
      <c r="F55" t="str">
        <f>Raw_Data!F55</f>
        <v>Pen Set</v>
      </c>
      <c r="G55" t="str">
        <f>Raw_Data!G55</f>
        <v>Consumer</v>
      </c>
      <c r="H55" t="str">
        <f>Raw_Data!H55</f>
        <v>Marketplace</v>
      </c>
      <c r="I55">
        <f>Raw_Data!I55</f>
        <v>10</v>
      </c>
      <c r="J55" s="3">
        <f>Raw_Data!J55</f>
        <v>7.98</v>
      </c>
      <c r="K55" s="4">
        <f>Raw_Data!K55</f>
        <v>0.05</v>
      </c>
      <c r="L55" s="3">
        <f>Raw_Data!L55</f>
        <v>75.81</v>
      </c>
      <c r="M55" s="3">
        <f>Raw_Data!M55</f>
        <v>59.59</v>
      </c>
      <c r="N55" s="3">
        <f>Raw_Data!N55</f>
        <v>16.22</v>
      </c>
      <c r="O55" t="str">
        <f t="shared" si="0"/>
        <v>2025-01</v>
      </c>
      <c r="P55" s="5">
        <f t="shared" si="1"/>
        <v>0.21395594248779842</v>
      </c>
      <c r="Q55" s="3">
        <f t="shared" si="2"/>
        <v>75.81</v>
      </c>
    </row>
    <row r="56" spans="1:17" x14ac:dyDescent="0.35">
      <c r="A56" t="str">
        <f>Raw_Data!A56</f>
        <v>ORD-0315</v>
      </c>
      <c r="B56" s="2">
        <f>Raw_Data!B56</f>
        <v>45673</v>
      </c>
      <c r="C56" t="str">
        <f>Raw_Data!C56</f>
        <v>South</v>
      </c>
      <c r="D56" t="str">
        <f>Raw_Data!D56</f>
        <v>Hyderabad</v>
      </c>
      <c r="E56" t="str">
        <f>Raw_Data!E56</f>
        <v>Furniture</v>
      </c>
      <c r="F56" t="str">
        <f>Raw_Data!F56</f>
        <v>Office Chair</v>
      </c>
      <c r="G56" t="str">
        <f>Raw_Data!G56</f>
        <v>Consumer</v>
      </c>
      <c r="H56" t="str">
        <f>Raw_Data!H56</f>
        <v>Online</v>
      </c>
      <c r="I56">
        <f>Raw_Data!I56</f>
        <v>8</v>
      </c>
      <c r="J56" s="3">
        <f>Raw_Data!J56</f>
        <v>150.12</v>
      </c>
      <c r="K56" s="4">
        <f>Raw_Data!K56</f>
        <v>0.15</v>
      </c>
      <c r="L56" s="3">
        <f>Raw_Data!L56</f>
        <v>1020.82</v>
      </c>
      <c r="M56" s="3">
        <f>Raw_Data!M56</f>
        <v>936.61</v>
      </c>
      <c r="N56" s="3">
        <f>Raw_Data!N56</f>
        <v>84.21</v>
      </c>
      <c r="O56" t="str">
        <f t="shared" si="0"/>
        <v>2025-01</v>
      </c>
      <c r="P56" s="5">
        <f t="shared" si="1"/>
        <v>8.2492506024568479E-2</v>
      </c>
      <c r="Q56" s="3">
        <f t="shared" si="2"/>
        <v>1020.82</v>
      </c>
    </row>
    <row r="57" spans="1:17" x14ac:dyDescent="0.35">
      <c r="A57" t="str">
        <f>Raw_Data!A57</f>
        <v>ORD-0521</v>
      </c>
      <c r="B57" s="2">
        <f>Raw_Data!B57</f>
        <v>45673</v>
      </c>
      <c r="C57" t="str">
        <f>Raw_Data!C57</f>
        <v>North</v>
      </c>
      <c r="D57" t="str">
        <f>Raw_Data!D57</f>
        <v>Jaipur</v>
      </c>
      <c r="E57" t="str">
        <f>Raw_Data!E57</f>
        <v>Furniture</v>
      </c>
      <c r="F57" t="str">
        <f>Raw_Data!F57</f>
        <v>Desk Lamp</v>
      </c>
      <c r="G57" t="str">
        <f>Raw_Data!G57</f>
        <v>Corporate</v>
      </c>
      <c r="H57" t="str">
        <f>Raw_Data!H57</f>
        <v>In-Store</v>
      </c>
      <c r="I57">
        <f>Raw_Data!I57</f>
        <v>3</v>
      </c>
      <c r="J57" s="3">
        <f>Raw_Data!J57</f>
        <v>36.85</v>
      </c>
      <c r="K57" s="4">
        <f>Raw_Data!K57</f>
        <v>0.1</v>
      </c>
      <c r="L57" s="3">
        <f>Raw_Data!L57</f>
        <v>99.5</v>
      </c>
      <c r="M57" s="3">
        <f>Raw_Data!M57</f>
        <v>74.849999999999994</v>
      </c>
      <c r="N57" s="3">
        <f>Raw_Data!N57</f>
        <v>24.65</v>
      </c>
      <c r="O57" t="str">
        <f t="shared" si="0"/>
        <v>2025-01</v>
      </c>
      <c r="P57" s="5">
        <f t="shared" si="1"/>
        <v>0.24773869346733668</v>
      </c>
      <c r="Q57" s="3">
        <f t="shared" si="2"/>
        <v>99.5</v>
      </c>
    </row>
    <row r="58" spans="1:17" x14ac:dyDescent="0.35">
      <c r="A58" t="str">
        <f>Raw_Data!A58</f>
        <v>ORD-0311</v>
      </c>
      <c r="B58" s="2">
        <f>Raw_Data!B58</f>
        <v>45673</v>
      </c>
      <c r="C58" t="str">
        <f>Raw_Data!C58</f>
        <v>West</v>
      </c>
      <c r="D58" t="str">
        <f>Raw_Data!D58</f>
        <v>Ahmedabad</v>
      </c>
      <c r="E58" t="str">
        <f>Raw_Data!E58</f>
        <v>Home &amp; Kitchen</v>
      </c>
      <c r="F58" t="str">
        <f>Raw_Data!F58</f>
        <v>Lunch Box</v>
      </c>
      <c r="G58" t="str">
        <f>Raw_Data!G58</f>
        <v>Consumer</v>
      </c>
      <c r="H58" t="str">
        <f>Raw_Data!H58</f>
        <v>Online</v>
      </c>
      <c r="I58">
        <f>Raw_Data!I58</f>
        <v>3</v>
      </c>
      <c r="J58" s="3">
        <f>Raw_Data!J58</f>
        <v>19.48</v>
      </c>
      <c r="K58" s="4">
        <f>Raw_Data!K58</f>
        <v>0</v>
      </c>
      <c r="L58" s="3">
        <f>Raw_Data!L58</f>
        <v>58.44</v>
      </c>
      <c r="M58" s="3">
        <f>Raw_Data!M58</f>
        <v>32.869999999999997</v>
      </c>
      <c r="N58" s="3">
        <f>Raw_Data!N58</f>
        <v>25.57</v>
      </c>
      <c r="O58" t="str">
        <f t="shared" si="0"/>
        <v>2025-01</v>
      </c>
      <c r="P58" s="5">
        <f t="shared" si="1"/>
        <v>0.43754277891854898</v>
      </c>
      <c r="Q58" s="3">
        <f t="shared" si="2"/>
        <v>58.44</v>
      </c>
    </row>
    <row r="59" spans="1:17" x14ac:dyDescent="0.35">
      <c r="A59" t="str">
        <f>Raw_Data!A59</f>
        <v>ORD-0677</v>
      </c>
      <c r="B59" s="2">
        <f>Raw_Data!B59</f>
        <v>45674</v>
      </c>
      <c r="C59" t="str">
        <f>Raw_Data!C59</f>
        <v>North</v>
      </c>
      <c r="D59" t="str">
        <f>Raw_Data!D59</f>
        <v>Jaipur</v>
      </c>
      <c r="E59" t="str">
        <f>Raw_Data!E59</f>
        <v>Home &amp; Kitchen</v>
      </c>
      <c r="F59" t="str">
        <f>Raw_Data!F59</f>
        <v>Water Bottle</v>
      </c>
      <c r="G59" t="str">
        <f>Raw_Data!G59</f>
        <v>Consumer</v>
      </c>
      <c r="H59" t="str">
        <f>Raw_Data!H59</f>
        <v>Online</v>
      </c>
      <c r="I59">
        <f>Raw_Data!I59</f>
        <v>7</v>
      </c>
      <c r="J59" s="3">
        <f>Raw_Data!J59</f>
        <v>16.12</v>
      </c>
      <c r="K59" s="4">
        <f>Raw_Data!K59</f>
        <v>0.1</v>
      </c>
      <c r="L59" s="3">
        <f>Raw_Data!L59</f>
        <v>101.56</v>
      </c>
      <c r="M59" s="3">
        <f>Raw_Data!M59</f>
        <v>69.14</v>
      </c>
      <c r="N59" s="3">
        <f>Raw_Data!N59</f>
        <v>32.42</v>
      </c>
      <c r="O59" t="str">
        <f t="shared" si="0"/>
        <v>2025-01</v>
      </c>
      <c r="P59" s="5">
        <f t="shared" si="1"/>
        <v>0.31922016541945647</v>
      </c>
      <c r="Q59" s="3">
        <f t="shared" si="2"/>
        <v>101.56</v>
      </c>
    </row>
    <row r="60" spans="1:17" x14ac:dyDescent="0.35">
      <c r="A60" t="str">
        <f>Raw_Data!A60</f>
        <v>ORD-0585</v>
      </c>
      <c r="B60" s="2">
        <f>Raw_Data!B60</f>
        <v>45674</v>
      </c>
      <c r="C60" t="str">
        <f>Raw_Data!C60</f>
        <v>West</v>
      </c>
      <c r="D60" t="str">
        <f>Raw_Data!D60</f>
        <v>Ahmedabad</v>
      </c>
      <c r="E60" t="str">
        <f>Raw_Data!E60</f>
        <v>Furniture</v>
      </c>
      <c r="F60" t="str">
        <f>Raw_Data!F60</f>
        <v>Office Chair</v>
      </c>
      <c r="G60" t="str">
        <f>Raw_Data!G60</f>
        <v>Small Business</v>
      </c>
      <c r="H60" t="str">
        <f>Raw_Data!H60</f>
        <v>Online</v>
      </c>
      <c r="I60">
        <f>Raw_Data!I60</f>
        <v>3</v>
      </c>
      <c r="J60" s="3">
        <f>Raw_Data!J60</f>
        <v>153.47</v>
      </c>
      <c r="K60" s="4">
        <f>Raw_Data!K60</f>
        <v>0</v>
      </c>
      <c r="L60" s="3">
        <f>Raw_Data!L60</f>
        <v>460.41</v>
      </c>
      <c r="M60" s="3">
        <f>Raw_Data!M60</f>
        <v>336.69</v>
      </c>
      <c r="N60" s="3">
        <f>Raw_Data!N60</f>
        <v>123.72</v>
      </c>
      <c r="O60" t="str">
        <f t="shared" si="0"/>
        <v>2025-01</v>
      </c>
      <c r="P60" s="5">
        <f t="shared" si="1"/>
        <v>0.26871701309702223</v>
      </c>
      <c r="Q60" s="3">
        <f t="shared" si="2"/>
        <v>460.41</v>
      </c>
    </row>
    <row r="61" spans="1:17" x14ac:dyDescent="0.35">
      <c r="A61" t="str">
        <f>Raw_Data!A61</f>
        <v>ORD-0164</v>
      </c>
      <c r="B61" s="2">
        <f>Raw_Data!B61</f>
        <v>45675</v>
      </c>
      <c r="C61" t="str">
        <f>Raw_Data!C61</f>
        <v>North</v>
      </c>
      <c r="D61" t="str">
        <f>Raw_Data!D61</f>
        <v>Jaipur</v>
      </c>
      <c r="E61" t="str">
        <f>Raw_Data!E61</f>
        <v>Office Supplies</v>
      </c>
      <c r="F61" t="str">
        <f>Raw_Data!F61</f>
        <v>Notebook Pack</v>
      </c>
      <c r="G61" t="str">
        <f>Raw_Data!G61</f>
        <v>Corporate</v>
      </c>
      <c r="H61" t="str">
        <f>Raw_Data!H61</f>
        <v>Online</v>
      </c>
      <c r="I61">
        <f>Raw_Data!I61</f>
        <v>4</v>
      </c>
      <c r="J61" s="3">
        <f>Raw_Data!J61</f>
        <v>13.47</v>
      </c>
      <c r="K61" s="4">
        <f>Raw_Data!K61</f>
        <v>0.05</v>
      </c>
      <c r="L61" s="3">
        <f>Raw_Data!L61</f>
        <v>51.19</v>
      </c>
      <c r="M61" s="3">
        <f>Raw_Data!M61</f>
        <v>31.72</v>
      </c>
      <c r="N61" s="3">
        <f>Raw_Data!N61</f>
        <v>19.47</v>
      </c>
      <c r="O61" t="str">
        <f t="shared" si="0"/>
        <v>2025-01</v>
      </c>
      <c r="P61" s="5">
        <f t="shared" si="1"/>
        <v>0.38034772416487594</v>
      </c>
      <c r="Q61" s="3">
        <f t="shared" si="2"/>
        <v>51.19</v>
      </c>
    </row>
    <row r="62" spans="1:17" x14ac:dyDescent="0.35">
      <c r="A62" t="str">
        <f>Raw_Data!A62</f>
        <v>ORD-0384</v>
      </c>
      <c r="B62" s="2">
        <f>Raw_Data!B62</f>
        <v>45676</v>
      </c>
      <c r="C62" t="str">
        <f>Raw_Data!C62</f>
        <v>South</v>
      </c>
      <c r="D62" t="str">
        <f>Raw_Data!D62</f>
        <v>Chennai</v>
      </c>
      <c r="E62" t="str">
        <f>Raw_Data!E62</f>
        <v>Technology</v>
      </c>
      <c r="F62" t="str">
        <f>Raw_Data!F62</f>
        <v>Wireless Mouse</v>
      </c>
      <c r="G62" t="str">
        <f>Raw_Data!G62</f>
        <v>Corporate</v>
      </c>
      <c r="H62" t="str">
        <f>Raw_Data!H62</f>
        <v>Marketplace</v>
      </c>
      <c r="I62">
        <f>Raw_Data!I62</f>
        <v>10</v>
      </c>
      <c r="J62" s="3">
        <f>Raw_Data!J62</f>
        <v>21.37</v>
      </c>
      <c r="K62" s="4">
        <f>Raw_Data!K62</f>
        <v>0.05</v>
      </c>
      <c r="L62" s="3">
        <f>Raw_Data!L62</f>
        <v>203.02</v>
      </c>
      <c r="M62" s="3">
        <f>Raw_Data!M62</f>
        <v>159.63999999999999</v>
      </c>
      <c r="N62" s="3">
        <f>Raw_Data!N62</f>
        <v>43.38</v>
      </c>
      <c r="O62" t="str">
        <f t="shared" si="0"/>
        <v>2025-01</v>
      </c>
      <c r="P62" s="5">
        <f t="shared" si="1"/>
        <v>0.21367352970150724</v>
      </c>
      <c r="Q62" s="3">
        <f t="shared" si="2"/>
        <v>203.02</v>
      </c>
    </row>
    <row r="63" spans="1:17" x14ac:dyDescent="0.35">
      <c r="A63" t="str">
        <f>Raw_Data!A63</f>
        <v>ORD-0683</v>
      </c>
      <c r="B63" s="2">
        <f>Raw_Data!B63</f>
        <v>45677</v>
      </c>
      <c r="C63" t="str">
        <f>Raw_Data!C63</f>
        <v>West</v>
      </c>
      <c r="D63" t="str">
        <f>Raw_Data!D63</f>
        <v>Pune</v>
      </c>
      <c r="E63" t="str">
        <f>Raw_Data!E63</f>
        <v>Home &amp; Kitchen</v>
      </c>
      <c r="F63" t="str">
        <f>Raw_Data!F63</f>
        <v>Lunch Box</v>
      </c>
      <c r="G63" t="str">
        <f>Raw_Data!G63</f>
        <v>Corporate</v>
      </c>
      <c r="H63" t="str">
        <f>Raw_Data!H63</f>
        <v>Online</v>
      </c>
      <c r="I63">
        <f>Raw_Data!I63</f>
        <v>10</v>
      </c>
      <c r="J63" s="3">
        <f>Raw_Data!J63</f>
        <v>20.6</v>
      </c>
      <c r="K63" s="4">
        <f>Raw_Data!K63</f>
        <v>0.1</v>
      </c>
      <c r="L63" s="3">
        <f>Raw_Data!L63</f>
        <v>185.4</v>
      </c>
      <c r="M63" s="3">
        <f>Raw_Data!M63</f>
        <v>115.36</v>
      </c>
      <c r="N63" s="3">
        <f>Raw_Data!N63</f>
        <v>70.040000000000006</v>
      </c>
      <c r="O63" t="str">
        <f t="shared" si="0"/>
        <v>2025-01</v>
      </c>
      <c r="P63" s="5">
        <f t="shared" si="1"/>
        <v>0.37777777777777782</v>
      </c>
      <c r="Q63" s="3">
        <f t="shared" si="2"/>
        <v>185.4</v>
      </c>
    </row>
    <row r="64" spans="1:17" x14ac:dyDescent="0.35">
      <c r="A64" t="str">
        <f>Raw_Data!A64</f>
        <v>ORD-0138</v>
      </c>
      <c r="B64" s="2">
        <f>Raw_Data!B64</f>
        <v>45678</v>
      </c>
      <c r="C64" t="str">
        <f>Raw_Data!C64</f>
        <v>East</v>
      </c>
      <c r="D64" t="str">
        <f>Raw_Data!D64</f>
        <v>Bhubaneswar</v>
      </c>
      <c r="E64" t="str">
        <f>Raw_Data!E64</f>
        <v>Office Supplies</v>
      </c>
      <c r="F64" t="str">
        <f>Raw_Data!F64</f>
        <v>Printer Paper</v>
      </c>
      <c r="G64" t="str">
        <f>Raw_Data!G64</f>
        <v>Small Business</v>
      </c>
      <c r="H64" t="str">
        <f>Raw_Data!H64</f>
        <v>In-Store</v>
      </c>
      <c r="I64">
        <f>Raw_Data!I64</f>
        <v>8</v>
      </c>
      <c r="J64" s="3">
        <f>Raw_Data!J64</f>
        <v>15.5</v>
      </c>
      <c r="K64" s="4">
        <f>Raw_Data!K64</f>
        <v>0.15</v>
      </c>
      <c r="L64" s="3">
        <f>Raw_Data!L64</f>
        <v>105.4</v>
      </c>
      <c r="M64" s="3">
        <f>Raw_Data!M64</f>
        <v>65.430000000000007</v>
      </c>
      <c r="N64" s="3">
        <f>Raw_Data!N64</f>
        <v>39.97</v>
      </c>
      <c r="O64" t="str">
        <f t="shared" si="0"/>
        <v>2025-01</v>
      </c>
      <c r="P64" s="5">
        <f t="shared" si="1"/>
        <v>0.37922201138519923</v>
      </c>
      <c r="Q64" s="3">
        <f t="shared" si="2"/>
        <v>105.4</v>
      </c>
    </row>
    <row r="65" spans="1:17" x14ac:dyDescent="0.35">
      <c r="A65" t="str">
        <f>Raw_Data!A65</f>
        <v>ORD-0080</v>
      </c>
      <c r="B65" s="2">
        <f>Raw_Data!B65</f>
        <v>45678</v>
      </c>
      <c r="C65" t="str">
        <f>Raw_Data!C65</f>
        <v>West</v>
      </c>
      <c r="D65" t="str">
        <f>Raw_Data!D65</f>
        <v>Mumbai</v>
      </c>
      <c r="E65" t="str">
        <f>Raw_Data!E65</f>
        <v>Office Supplies</v>
      </c>
      <c r="F65" t="str">
        <f>Raw_Data!F65</f>
        <v>Printer Paper</v>
      </c>
      <c r="G65" t="str">
        <f>Raw_Data!G65</f>
        <v>Corporate</v>
      </c>
      <c r="H65" t="str">
        <f>Raw_Data!H65</f>
        <v>In-Store</v>
      </c>
      <c r="I65">
        <f>Raw_Data!I65</f>
        <v>9</v>
      </c>
      <c r="J65" s="3">
        <f>Raw_Data!J65</f>
        <v>16.170000000000002</v>
      </c>
      <c r="K65" s="4">
        <f>Raw_Data!K65</f>
        <v>0.05</v>
      </c>
      <c r="L65" s="3">
        <f>Raw_Data!L65</f>
        <v>138.25</v>
      </c>
      <c r="M65" s="3">
        <f>Raw_Data!M65</f>
        <v>77.78</v>
      </c>
      <c r="N65" s="3">
        <f>Raw_Data!N65</f>
        <v>60.47</v>
      </c>
      <c r="O65" t="str">
        <f t="shared" si="0"/>
        <v>2025-01</v>
      </c>
      <c r="P65" s="5">
        <f t="shared" si="1"/>
        <v>0.43739602169981917</v>
      </c>
      <c r="Q65" s="3">
        <f t="shared" si="2"/>
        <v>138.25</v>
      </c>
    </row>
    <row r="66" spans="1:17" x14ac:dyDescent="0.35">
      <c r="A66" t="str">
        <f>Raw_Data!A66</f>
        <v>ORD-0928</v>
      </c>
      <c r="B66" s="2">
        <f>Raw_Data!B66</f>
        <v>45678</v>
      </c>
      <c r="C66" t="str">
        <f>Raw_Data!C66</f>
        <v>South</v>
      </c>
      <c r="D66" t="str">
        <f>Raw_Data!D66</f>
        <v>Chennai</v>
      </c>
      <c r="E66" t="str">
        <f>Raw_Data!E66</f>
        <v>Office Supplies</v>
      </c>
      <c r="F66" t="str">
        <f>Raw_Data!F66</f>
        <v>Printer Paper</v>
      </c>
      <c r="G66" t="str">
        <f>Raw_Data!G66</f>
        <v>Small Business</v>
      </c>
      <c r="H66" t="str">
        <f>Raw_Data!H66</f>
        <v>Marketplace</v>
      </c>
      <c r="I66">
        <f>Raw_Data!I66</f>
        <v>7</v>
      </c>
      <c r="J66" s="3">
        <f>Raw_Data!J66</f>
        <v>16.66</v>
      </c>
      <c r="K66" s="4">
        <f>Raw_Data!K66</f>
        <v>0</v>
      </c>
      <c r="L66" s="3">
        <f>Raw_Data!L66</f>
        <v>116.62</v>
      </c>
      <c r="M66" s="3">
        <f>Raw_Data!M66</f>
        <v>61.59</v>
      </c>
      <c r="N66" s="3">
        <f>Raw_Data!N66</f>
        <v>55.03</v>
      </c>
      <c r="O66" t="str">
        <f t="shared" ref="O66:O129" si="3">TEXT(B66,"yyyy-mm")</f>
        <v>2025-01</v>
      </c>
      <c r="P66" s="5">
        <f t="shared" ref="P66:P129" si="4">IFERROR(N66/L66,0)</f>
        <v>0.47187446407134281</v>
      </c>
      <c r="Q66" s="3">
        <f t="shared" ref="Q66:Q129" si="5">IFERROR(L66,0)</f>
        <v>116.62</v>
      </c>
    </row>
    <row r="67" spans="1:17" x14ac:dyDescent="0.35">
      <c r="A67" t="str">
        <f>Raw_Data!A67</f>
        <v>ORD-0531</v>
      </c>
      <c r="B67" s="2">
        <f>Raw_Data!B67</f>
        <v>45678</v>
      </c>
      <c r="C67" t="str">
        <f>Raw_Data!C67</f>
        <v>East</v>
      </c>
      <c r="D67" t="str">
        <f>Raw_Data!D67</f>
        <v>Bhubaneswar</v>
      </c>
      <c r="E67" t="str">
        <f>Raw_Data!E67</f>
        <v>Home &amp; Kitchen</v>
      </c>
      <c r="F67" t="str">
        <f>Raw_Data!F67</f>
        <v>Water Bottle</v>
      </c>
      <c r="G67" t="str">
        <f>Raw_Data!G67</f>
        <v>Small Business</v>
      </c>
      <c r="H67" t="str">
        <f>Raw_Data!H67</f>
        <v>Online</v>
      </c>
      <c r="I67">
        <f>Raw_Data!I67</f>
        <v>4</v>
      </c>
      <c r="J67" s="3">
        <f>Raw_Data!J67</f>
        <v>15.23</v>
      </c>
      <c r="K67" s="4">
        <f>Raw_Data!K67</f>
        <v>0.1</v>
      </c>
      <c r="L67" s="3">
        <f>Raw_Data!L67</f>
        <v>54.83</v>
      </c>
      <c r="M67" s="3">
        <f>Raw_Data!M67</f>
        <v>45.4</v>
      </c>
      <c r="N67" s="3">
        <f>Raw_Data!N67</f>
        <v>9.43</v>
      </c>
      <c r="O67" t="str">
        <f t="shared" si="3"/>
        <v>2025-01</v>
      </c>
      <c r="P67" s="5">
        <f t="shared" si="4"/>
        <v>0.17198613897501369</v>
      </c>
      <c r="Q67" s="3">
        <f t="shared" si="5"/>
        <v>54.83</v>
      </c>
    </row>
    <row r="68" spans="1:17" x14ac:dyDescent="0.35">
      <c r="A68" t="str">
        <f>Raw_Data!A68</f>
        <v>ORD-0431</v>
      </c>
      <c r="B68" s="2">
        <f>Raw_Data!B68</f>
        <v>45678</v>
      </c>
      <c r="C68" t="str">
        <f>Raw_Data!C68</f>
        <v>West</v>
      </c>
      <c r="D68" t="str">
        <f>Raw_Data!D68</f>
        <v>Ahmedabad</v>
      </c>
      <c r="E68" t="str">
        <f>Raw_Data!E68</f>
        <v>Office Supplies</v>
      </c>
      <c r="F68" t="str">
        <f>Raw_Data!F68</f>
        <v>Notebook Pack</v>
      </c>
      <c r="G68" t="str">
        <f>Raw_Data!G68</f>
        <v>Corporate</v>
      </c>
      <c r="H68" t="str">
        <f>Raw_Data!H68</f>
        <v>Marketplace</v>
      </c>
      <c r="I68">
        <f>Raw_Data!I68</f>
        <v>3</v>
      </c>
      <c r="J68" s="3">
        <f>Raw_Data!J68</f>
        <v>11.28</v>
      </c>
      <c r="K68" s="4">
        <f>Raw_Data!K68</f>
        <v>0</v>
      </c>
      <c r="L68" s="3">
        <f>Raw_Data!L68</f>
        <v>33.840000000000003</v>
      </c>
      <c r="M68" s="3">
        <f>Raw_Data!M68</f>
        <v>21.49</v>
      </c>
      <c r="N68" s="3">
        <f>Raw_Data!N68</f>
        <v>12.35</v>
      </c>
      <c r="O68" t="str">
        <f t="shared" si="3"/>
        <v>2025-01</v>
      </c>
      <c r="P68" s="5">
        <f t="shared" si="4"/>
        <v>0.36495271867612289</v>
      </c>
      <c r="Q68" s="3">
        <f t="shared" si="5"/>
        <v>33.840000000000003</v>
      </c>
    </row>
    <row r="69" spans="1:17" x14ac:dyDescent="0.35">
      <c r="A69" t="str">
        <f>Raw_Data!A69</f>
        <v>ORD-0222</v>
      </c>
      <c r="B69" s="2">
        <f>Raw_Data!B69</f>
        <v>45678</v>
      </c>
      <c r="C69" t="str">
        <f>Raw_Data!C69</f>
        <v>South</v>
      </c>
      <c r="D69" t="str">
        <f>Raw_Data!D69</f>
        <v>Bengaluru</v>
      </c>
      <c r="E69" t="str">
        <f>Raw_Data!E69</f>
        <v>Technology</v>
      </c>
      <c r="F69" t="str">
        <f>Raw_Data!F69</f>
        <v>Keyboard</v>
      </c>
      <c r="G69" t="str">
        <f>Raw_Data!G69</f>
        <v>Small Business</v>
      </c>
      <c r="H69" t="str">
        <f>Raw_Data!H69</f>
        <v>In-Store</v>
      </c>
      <c r="I69">
        <f>Raw_Data!I69</f>
        <v>10</v>
      </c>
      <c r="J69" s="3">
        <f>Raw_Data!J69</f>
        <v>35.31</v>
      </c>
      <c r="K69" s="4">
        <f>Raw_Data!K69</f>
        <v>0.15</v>
      </c>
      <c r="L69" s="3">
        <f>Raw_Data!L69</f>
        <v>300.13</v>
      </c>
      <c r="M69" s="3">
        <f>Raw_Data!M69</f>
        <v>192.48</v>
      </c>
      <c r="N69" s="3">
        <f>Raw_Data!N69</f>
        <v>107.65</v>
      </c>
      <c r="O69" t="str">
        <f t="shared" si="3"/>
        <v>2025-01</v>
      </c>
      <c r="P69" s="5">
        <f t="shared" si="4"/>
        <v>0.35867790624062906</v>
      </c>
      <c r="Q69" s="3">
        <f t="shared" si="5"/>
        <v>300.13</v>
      </c>
    </row>
    <row r="70" spans="1:17" x14ac:dyDescent="0.35">
      <c r="A70" t="str">
        <f>Raw_Data!A70</f>
        <v>ORD-0836</v>
      </c>
      <c r="B70" s="2">
        <f>Raw_Data!B70</f>
        <v>45678</v>
      </c>
      <c r="C70" t="str">
        <f>Raw_Data!C70</f>
        <v>East</v>
      </c>
      <c r="D70" t="str">
        <f>Raw_Data!D70</f>
        <v>Kolkata</v>
      </c>
      <c r="E70" t="str">
        <f>Raw_Data!E70</f>
        <v>Technology</v>
      </c>
      <c r="F70" t="str">
        <f>Raw_Data!F70</f>
        <v>Headphones</v>
      </c>
      <c r="G70" t="str">
        <f>Raw_Data!G70</f>
        <v>Small Business</v>
      </c>
      <c r="H70" t="str">
        <f>Raw_Data!H70</f>
        <v>Marketplace</v>
      </c>
      <c r="I70">
        <f>Raw_Data!I70</f>
        <v>11</v>
      </c>
      <c r="J70" s="3">
        <f>Raw_Data!J70</f>
        <v>63.71</v>
      </c>
      <c r="K70" s="4">
        <f>Raw_Data!K70</f>
        <v>0.1</v>
      </c>
      <c r="L70" s="3">
        <f>Raw_Data!L70</f>
        <v>630.73</v>
      </c>
      <c r="M70" s="3">
        <f>Raw_Data!M70</f>
        <v>409.3</v>
      </c>
      <c r="N70" s="3">
        <f>Raw_Data!N70</f>
        <v>221.43</v>
      </c>
      <c r="O70" t="str">
        <f t="shared" si="3"/>
        <v>2025-01</v>
      </c>
      <c r="P70" s="5">
        <f t="shared" si="4"/>
        <v>0.35106939577949359</v>
      </c>
      <c r="Q70" s="3">
        <f t="shared" si="5"/>
        <v>630.73</v>
      </c>
    </row>
    <row r="71" spans="1:17" x14ac:dyDescent="0.35">
      <c r="A71" t="str">
        <f>Raw_Data!A71</f>
        <v>ORD-0640</v>
      </c>
      <c r="B71" s="2">
        <f>Raw_Data!B71</f>
        <v>45679</v>
      </c>
      <c r="C71" t="str">
        <f>Raw_Data!C71</f>
        <v>North</v>
      </c>
      <c r="D71" t="str">
        <f>Raw_Data!D71</f>
        <v>Chandigarh</v>
      </c>
      <c r="E71" t="str">
        <f>Raw_Data!E71</f>
        <v>Furniture</v>
      </c>
      <c r="F71" t="str">
        <f>Raw_Data!F71</f>
        <v>Desk Lamp</v>
      </c>
      <c r="G71" t="str">
        <f>Raw_Data!G71</f>
        <v>Corporate</v>
      </c>
      <c r="H71" t="str">
        <f>Raw_Data!H71</f>
        <v>In-Store</v>
      </c>
      <c r="I71">
        <f>Raw_Data!I71</f>
        <v>8</v>
      </c>
      <c r="J71" s="3">
        <f>Raw_Data!J71</f>
        <v>35.76</v>
      </c>
      <c r="K71" s="4">
        <f>Raw_Data!K71</f>
        <v>0</v>
      </c>
      <c r="L71" s="3">
        <f>Raw_Data!L71</f>
        <v>286.08</v>
      </c>
      <c r="M71" s="3">
        <f>Raw_Data!M71</f>
        <v>154.93</v>
      </c>
      <c r="N71" s="3">
        <f>Raw_Data!N71</f>
        <v>131.15</v>
      </c>
      <c r="O71" t="str">
        <f t="shared" si="3"/>
        <v>2025-01</v>
      </c>
      <c r="P71" s="5">
        <f t="shared" si="4"/>
        <v>0.45843819910514544</v>
      </c>
      <c r="Q71" s="3">
        <f t="shared" si="5"/>
        <v>286.08</v>
      </c>
    </row>
    <row r="72" spans="1:17" x14ac:dyDescent="0.35">
      <c r="A72" t="str">
        <f>Raw_Data!A72</f>
        <v>ORD-0129</v>
      </c>
      <c r="B72" s="2">
        <f>Raw_Data!B72</f>
        <v>45679</v>
      </c>
      <c r="C72" t="str">
        <f>Raw_Data!C72</f>
        <v>West</v>
      </c>
      <c r="D72" t="str">
        <f>Raw_Data!D72</f>
        <v>Pune</v>
      </c>
      <c r="E72" t="str">
        <f>Raw_Data!E72</f>
        <v>Home &amp; Kitchen</v>
      </c>
      <c r="F72" t="str">
        <f>Raw_Data!F72</f>
        <v>Water Bottle</v>
      </c>
      <c r="G72" t="str">
        <f>Raw_Data!G72</f>
        <v>Corporate</v>
      </c>
      <c r="H72" t="str">
        <f>Raw_Data!H72</f>
        <v>Marketplace</v>
      </c>
      <c r="I72">
        <f>Raw_Data!I72</f>
        <v>8</v>
      </c>
      <c r="J72" s="3">
        <f>Raw_Data!J72</f>
        <v>18.760000000000002</v>
      </c>
      <c r="K72" s="4">
        <f>Raw_Data!K72</f>
        <v>0.05</v>
      </c>
      <c r="L72" s="3">
        <f>Raw_Data!L72</f>
        <v>142.58000000000001</v>
      </c>
      <c r="M72" s="3">
        <f>Raw_Data!M72</f>
        <v>97.96</v>
      </c>
      <c r="N72" s="3">
        <f>Raw_Data!N72</f>
        <v>44.62</v>
      </c>
      <c r="O72" t="str">
        <f t="shared" si="3"/>
        <v>2025-01</v>
      </c>
      <c r="P72" s="5">
        <f t="shared" si="4"/>
        <v>0.31294711740777104</v>
      </c>
      <c r="Q72" s="3">
        <f t="shared" si="5"/>
        <v>142.58000000000001</v>
      </c>
    </row>
    <row r="73" spans="1:17" x14ac:dyDescent="0.35">
      <c r="A73" t="str">
        <f>Raw_Data!A73</f>
        <v>ORD-0507</v>
      </c>
      <c r="B73" s="2">
        <f>Raw_Data!B73</f>
        <v>45679</v>
      </c>
      <c r="C73" t="str">
        <f>Raw_Data!C73</f>
        <v>West</v>
      </c>
      <c r="D73" t="str">
        <f>Raw_Data!D73</f>
        <v>Ahmedabad</v>
      </c>
      <c r="E73" t="str">
        <f>Raw_Data!E73</f>
        <v>Furniture</v>
      </c>
      <c r="F73" t="str">
        <f>Raw_Data!F73</f>
        <v>Desk Lamp</v>
      </c>
      <c r="G73" t="str">
        <f>Raw_Data!G73</f>
        <v>Small Business</v>
      </c>
      <c r="H73" t="str">
        <f>Raw_Data!H73</f>
        <v>Marketplace</v>
      </c>
      <c r="I73">
        <f>Raw_Data!I73</f>
        <v>6</v>
      </c>
      <c r="J73" s="3">
        <f>Raw_Data!J73</f>
        <v>38.979999999999997</v>
      </c>
      <c r="K73" s="4">
        <f>Raw_Data!K73</f>
        <v>0</v>
      </c>
      <c r="L73" s="3">
        <f>Raw_Data!L73</f>
        <v>233.88</v>
      </c>
      <c r="M73" s="3">
        <f>Raw_Data!M73</f>
        <v>123.01</v>
      </c>
      <c r="N73" s="3">
        <f>Raw_Data!N73</f>
        <v>110.87</v>
      </c>
      <c r="O73" t="str">
        <f t="shared" si="3"/>
        <v>2025-01</v>
      </c>
      <c r="P73" s="5">
        <f t="shared" si="4"/>
        <v>0.47404651958269201</v>
      </c>
      <c r="Q73" s="3">
        <f t="shared" si="5"/>
        <v>233.88</v>
      </c>
    </row>
    <row r="74" spans="1:17" x14ac:dyDescent="0.35">
      <c r="A74" t="str">
        <f>Raw_Data!A74</f>
        <v>ORD-0961</v>
      </c>
      <c r="B74" s="2">
        <f>Raw_Data!B74</f>
        <v>45680</v>
      </c>
      <c r="C74" t="str">
        <f>Raw_Data!C74</f>
        <v>West</v>
      </c>
      <c r="D74" t="str">
        <f>Raw_Data!D74</f>
        <v>Ahmedabad</v>
      </c>
      <c r="E74" t="str">
        <f>Raw_Data!E74</f>
        <v>Office Supplies</v>
      </c>
      <c r="F74" t="str">
        <f>Raw_Data!F74</f>
        <v>Pen Set</v>
      </c>
      <c r="G74" t="str">
        <f>Raw_Data!G74</f>
        <v>Consumer</v>
      </c>
      <c r="H74" t="str">
        <f>Raw_Data!H74</f>
        <v>Marketplace</v>
      </c>
      <c r="I74">
        <f>Raw_Data!I74</f>
        <v>7</v>
      </c>
      <c r="J74" s="3">
        <f>Raw_Data!J74</f>
        <v>8.2899999999999991</v>
      </c>
      <c r="K74" s="4">
        <f>Raw_Data!K74</f>
        <v>0.15</v>
      </c>
      <c r="L74" s="3">
        <f>Raw_Data!L74</f>
        <v>49.33</v>
      </c>
      <c r="M74" s="3">
        <f>Raw_Data!M74</f>
        <v>31.01</v>
      </c>
      <c r="N74" s="3">
        <f>Raw_Data!N74</f>
        <v>18.32</v>
      </c>
      <c r="O74" t="str">
        <f t="shared" si="3"/>
        <v>2025-01</v>
      </c>
      <c r="P74" s="5">
        <f t="shared" si="4"/>
        <v>0.3713764443543483</v>
      </c>
      <c r="Q74" s="3">
        <f t="shared" si="5"/>
        <v>49.33</v>
      </c>
    </row>
    <row r="75" spans="1:17" x14ac:dyDescent="0.35">
      <c r="A75" t="str">
        <f>Raw_Data!A75</f>
        <v>ORD-0513</v>
      </c>
      <c r="B75" s="2">
        <f>Raw_Data!B75</f>
        <v>45680</v>
      </c>
      <c r="C75" t="str">
        <f>Raw_Data!C75</f>
        <v>North</v>
      </c>
      <c r="D75" t="str">
        <f>Raw_Data!D75</f>
        <v>Delhi</v>
      </c>
      <c r="E75" t="str">
        <f>Raw_Data!E75</f>
        <v>Office Supplies</v>
      </c>
      <c r="F75" t="str">
        <f>Raw_Data!F75</f>
        <v>Pen Set</v>
      </c>
      <c r="G75" t="str">
        <f>Raw_Data!G75</f>
        <v>Consumer</v>
      </c>
      <c r="H75" t="str">
        <f>Raw_Data!H75</f>
        <v>Marketplace</v>
      </c>
      <c r="I75">
        <f>Raw_Data!I75</f>
        <v>11</v>
      </c>
      <c r="J75" s="3">
        <f>Raw_Data!J75</f>
        <v>7.85</v>
      </c>
      <c r="K75" s="4">
        <f>Raw_Data!K75</f>
        <v>0</v>
      </c>
      <c r="L75" s="3">
        <f>Raw_Data!L75</f>
        <v>86.35</v>
      </c>
      <c r="M75" s="3">
        <f>Raw_Data!M75</f>
        <v>44.36</v>
      </c>
      <c r="N75" s="3">
        <f>Raw_Data!N75</f>
        <v>41.99</v>
      </c>
      <c r="O75" t="str">
        <f t="shared" si="3"/>
        <v>2025-01</v>
      </c>
      <c r="P75" s="5">
        <f t="shared" si="4"/>
        <v>0.48627678054429652</v>
      </c>
      <c r="Q75" s="3">
        <f t="shared" si="5"/>
        <v>86.35</v>
      </c>
    </row>
    <row r="76" spans="1:17" x14ac:dyDescent="0.35">
      <c r="A76" t="str">
        <f>Raw_Data!A76</f>
        <v>ORD-0907</v>
      </c>
      <c r="B76" s="2">
        <f>Raw_Data!B76</f>
        <v>45680</v>
      </c>
      <c r="C76" t="str">
        <f>Raw_Data!C76</f>
        <v>South</v>
      </c>
      <c r="D76" t="str">
        <f>Raw_Data!D76</f>
        <v>Chennai</v>
      </c>
      <c r="E76" t="str">
        <f>Raw_Data!E76</f>
        <v>Office Supplies</v>
      </c>
      <c r="F76" t="str">
        <f>Raw_Data!F76</f>
        <v>Notebook Pack</v>
      </c>
      <c r="G76" t="str">
        <f>Raw_Data!G76</f>
        <v>Corporate</v>
      </c>
      <c r="H76" t="str">
        <f>Raw_Data!H76</f>
        <v>In-Store</v>
      </c>
      <c r="I76">
        <f>Raw_Data!I76</f>
        <v>4</v>
      </c>
      <c r="J76" s="3">
        <f>Raw_Data!J76</f>
        <v>10.8</v>
      </c>
      <c r="K76" s="4">
        <f>Raw_Data!K76</f>
        <v>0</v>
      </c>
      <c r="L76" s="3">
        <f>Raw_Data!L76</f>
        <v>43.2</v>
      </c>
      <c r="M76" s="3">
        <f>Raw_Data!M76</f>
        <v>33.14</v>
      </c>
      <c r="N76" s="3">
        <f>Raw_Data!N76</f>
        <v>10.06</v>
      </c>
      <c r="O76" t="str">
        <f t="shared" si="3"/>
        <v>2025-01</v>
      </c>
      <c r="P76" s="5">
        <f t="shared" si="4"/>
        <v>0.23287037037037037</v>
      </c>
      <c r="Q76" s="3">
        <f t="shared" si="5"/>
        <v>43.2</v>
      </c>
    </row>
    <row r="77" spans="1:17" x14ac:dyDescent="0.35">
      <c r="A77" t="str">
        <f>Raw_Data!A77</f>
        <v>ORD-0733</v>
      </c>
      <c r="B77" s="2">
        <f>Raw_Data!B77</f>
        <v>45681</v>
      </c>
      <c r="C77" t="str">
        <f>Raw_Data!C77</f>
        <v>West</v>
      </c>
      <c r="D77" t="str">
        <f>Raw_Data!D77</f>
        <v>Pune</v>
      </c>
      <c r="E77" t="str">
        <f>Raw_Data!E77</f>
        <v>Technology</v>
      </c>
      <c r="F77" t="str">
        <f>Raw_Data!F77</f>
        <v>USB Hub</v>
      </c>
      <c r="G77" t="str">
        <f>Raw_Data!G77</f>
        <v>Corporate</v>
      </c>
      <c r="H77" t="str">
        <f>Raw_Data!H77</f>
        <v>In-Store</v>
      </c>
      <c r="I77">
        <f>Raw_Data!I77</f>
        <v>12</v>
      </c>
      <c r="J77" s="3">
        <f>Raw_Data!J77</f>
        <v>22.9</v>
      </c>
      <c r="K77" s="4">
        <f>Raw_Data!K77</f>
        <v>0.15</v>
      </c>
      <c r="L77" s="3">
        <f>Raw_Data!L77</f>
        <v>233.58</v>
      </c>
      <c r="M77" s="3">
        <f>Raw_Data!M77</f>
        <v>191.6</v>
      </c>
      <c r="N77" s="3">
        <f>Raw_Data!N77</f>
        <v>41.98</v>
      </c>
      <c r="O77" t="str">
        <f t="shared" si="3"/>
        <v>2025-01</v>
      </c>
      <c r="P77" s="5">
        <f t="shared" si="4"/>
        <v>0.1797242914633102</v>
      </c>
      <c r="Q77" s="3">
        <f t="shared" si="5"/>
        <v>233.58</v>
      </c>
    </row>
    <row r="78" spans="1:17" x14ac:dyDescent="0.35">
      <c r="A78" t="str">
        <f>Raw_Data!A78</f>
        <v>ORD-0979</v>
      </c>
      <c r="B78" s="2">
        <f>Raw_Data!B78</f>
        <v>45682</v>
      </c>
      <c r="C78" t="str">
        <f>Raw_Data!C78</f>
        <v>West</v>
      </c>
      <c r="D78" t="str">
        <f>Raw_Data!D78</f>
        <v>Pune</v>
      </c>
      <c r="E78" t="str">
        <f>Raw_Data!E78</f>
        <v>Furniture</v>
      </c>
      <c r="F78" t="str">
        <f>Raw_Data!F78</f>
        <v>Office Chair</v>
      </c>
      <c r="G78" t="str">
        <f>Raw_Data!G78</f>
        <v>Corporate</v>
      </c>
      <c r="H78" t="str">
        <f>Raw_Data!H78</f>
        <v>Online</v>
      </c>
      <c r="I78">
        <f>Raw_Data!I78</f>
        <v>5</v>
      </c>
      <c r="J78" s="3">
        <f>Raw_Data!J78</f>
        <v>123.68</v>
      </c>
      <c r="K78" s="4">
        <f>Raw_Data!K78</f>
        <v>0.05</v>
      </c>
      <c r="L78" s="3">
        <f>Raw_Data!L78</f>
        <v>587.48</v>
      </c>
      <c r="M78" s="3">
        <f>Raw_Data!M78</f>
        <v>436.28</v>
      </c>
      <c r="N78" s="3">
        <f>Raw_Data!N78</f>
        <v>151.19999999999999</v>
      </c>
      <c r="O78" t="str">
        <f t="shared" si="3"/>
        <v>2025-01</v>
      </c>
      <c r="P78" s="5">
        <f t="shared" si="4"/>
        <v>0.25737046367535915</v>
      </c>
      <c r="Q78" s="3">
        <f t="shared" si="5"/>
        <v>587.48</v>
      </c>
    </row>
    <row r="79" spans="1:17" x14ac:dyDescent="0.35">
      <c r="A79" t="str">
        <f>Raw_Data!A79</f>
        <v>ORD-0509</v>
      </c>
      <c r="B79" s="2">
        <f>Raw_Data!B79</f>
        <v>45683</v>
      </c>
      <c r="C79" t="str">
        <f>Raw_Data!C79</f>
        <v>South</v>
      </c>
      <c r="D79" t="str">
        <f>Raw_Data!D79</f>
        <v>Hyderabad</v>
      </c>
      <c r="E79" t="str">
        <f>Raw_Data!E79</f>
        <v>Home &amp; Kitchen</v>
      </c>
      <c r="F79" t="str">
        <f>Raw_Data!F79</f>
        <v>Coffee Maker</v>
      </c>
      <c r="G79" t="str">
        <f>Raw_Data!G79</f>
        <v>Consumer</v>
      </c>
      <c r="H79" t="str">
        <f>Raw_Data!H79</f>
        <v>In-Store</v>
      </c>
      <c r="I79">
        <f>Raw_Data!I79</f>
        <v>2</v>
      </c>
      <c r="J79" s="3">
        <f>Raw_Data!J79</f>
        <v>71.239999999999995</v>
      </c>
      <c r="K79" s="4">
        <f>Raw_Data!K79</f>
        <v>0.1</v>
      </c>
      <c r="L79" s="3">
        <f>Raw_Data!L79</f>
        <v>128.22999999999999</v>
      </c>
      <c r="M79" s="3">
        <f>Raw_Data!M79</f>
        <v>101.47</v>
      </c>
      <c r="N79" s="3">
        <f>Raw_Data!N79</f>
        <v>26.76</v>
      </c>
      <c r="O79" t="str">
        <f t="shared" si="3"/>
        <v>2025-01</v>
      </c>
      <c r="P79" s="5">
        <f t="shared" si="4"/>
        <v>0.20868751462216334</v>
      </c>
      <c r="Q79" s="3">
        <f t="shared" si="5"/>
        <v>128.22999999999999</v>
      </c>
    </row>
    <row r="80" spans="1:17" x14ac:dyDescent="0.35">
      <c r="A80" t="str">
        <f>Raw_Data!A80</f>
        <v>ORD-0125</v>
      </c>
      <c r="B80" s="2">
        <f>Raw_Data!B80</f>
        <v>45683</v>
      </c>
      <c r="C80" t="str">
        <f>Raw_Data!C80</f>
        <v>West</v>
      </c>
      <c r="D80" t="str">
        <f>Raw_Data!D80</f>
        <v>Ahmedabad</v>
      </c>
      <c r="E80" t="str">
        <f>Raw_Data!E80</f>
        <v>Technology</v>
      </c>
      <c r="F80" t="str">
        <f>Raw_Data!F80</f>
        <v>Headphones</v>
      </c>
      <c r="G80" t="str">
        <f>Raw_Data!G80</f>
        <v>Small Business</v>
      </c>
      <c r="H80" t="str">
        <f>Raw_Data!H80</f>
        <v>Online</v>
      </c>
      <c r="I80">
        <f>Raw_Data!I80</f>
        <v>8</v>
      </c>
      <c r="J80" s="3">
        <f>Raw_Data!J80</f>
        <v>59.49</v>
      </c>
      <c r="K80" s="4">
        <f>Raw_Data!K80</f>
        <v>0.1</v>
      </c>
      <c r="L80" s="3">
        <f>Raw_Data!L80</f>
        <v>428.33</v>
      </c>
      <c r="M80" s="3">
        <f>Raw_Data!M80</f>
        <v>315.12</v>
      </c>
      <c r="N80" s="3">
        <f>Raw_Data!N80</f>
        <v>113.21</v>
      </c>
      <c r="O80" t="str">
        <f t="shared" si="3"/>
        <v>2025-01</v>
      </c>
      <c r="P80" s="5">
        <f t="shared" si="4"/>
        <v>0.26430555879812295</v>
      </c>
      <c r="Q80" s="3">
        <f t="shared" si="5"/>
        <v>428.33</v>
      </c>
    </row>
    <row r="81" spans="1:17" x14ac:dyDescent="0.35">
      <c r="A81" t="str">
        <f>Raw_Data!A81</f>
        <v>ORD-0023</v>
      </c>
      <c r="B81" s="2">
        <f>Raw_Data!B81</f>
        <v>45683</v>
      </c>
      <c r="C81" t="str">
        <f>Raw_Data!C81</f>
        <v>West</v>
      </c>
      <c r="D81" t="str">
        <f>Raw_Data!D81</f>
        <v>Pune</v>
      </c>
      <c r="E81" t="str">
        <f>Raw_Data!E81</f>
        <v>Technology</v>
      </c>
      <c r="F81" t="str">
        <f>Raw_Data!F81</f>
        <v>Wireless Mouse</v>
      </c>
      <c r="G81" t="str">
        <f>Raw_Data!G81</f>
        <v>Consumer</v>
      </c>
      <c r="H81" t="str">
        <f>Raw_Data!H81</f>
        <v>Online</v>
      </c>
      <c r="I81">
        <f>Raw_Data!I81</f>
        <v>4</v>
      </c>
      <c r="J81" s="3">
        <f>Raw_Data!J81</f>
        <v>16.350000000000001</v>
      </c>
      <c r="K81" s="4">
        <f>Raw_Data!K81</f>
        <v>0.1</v>
      </c>
      <c r="L81" s="3">
        <f>Raw_Data!L81</f>
        <v>58.86</v>
      </c>
      <c r="M81" s="3">
        <f>Raw_Data!M81</f>
        <v>40.840000000000003</v>
      </c>
      <c r="N81" s="3">
        <f>Raw_Data!N81</f>
        <v>18.02</v>
      </c>
      <c r="O81" t="str">
        <f t="shared" si="3"/>
        <v>2025-01</v>
      </c>
      <c r="P81" s="5">
        <f t="shared" si="4"/>
        <v>0.30615018688413181</v>
      </c>
      <c r="Q81" s="3">
        <f t="shared" si="5"/>
        <v>58.86</v>
      </c>
    </row>
    <row r="82" spans="1:17" x14ac:dyDescent="0.35">
      <c r="A82" t="str">
        <f>Raw_Data!A82</f>
        <v>ORD-0740</v>
      </c>
      <c r="B82" s="2">
        <f>Raw_Data!B82</f>
        <v>45684</v>
      </c>
      <c r="C82" t="str">
        <f>Raw_Data!C82</f>
        <v>West</v>
      </c>
      <c r="D82" t="str">
        <f>Raw_Data!D82</f>
        <v>Ahmedabad</v>
      </c>
      <c r="E82" t="str">
        <f>Raw_Data!E82</f>
        <v>Furniture</v>
      </c>
      <c r="F82" t="str">
        <f>Raw_Data!F82</f>
        <v>Office Chair</v>
      </c>
      <c r="G82" t="str">
        <f>Raw_Data!G82</f>
        <v>Corporate</v>
      </c>
      <c r="H82" t="str">
        <f>Raw_Data!H82</f>
        <v>Marketplace</v>
      </c>
      <c r="I82">
        <f>Raw_Data!I82</f>
        <v>2</v>
      </c>
      <c r="J82" s="3">
        <f>Raw_Data!J82</f>
        <v>155.24</v>
      </c>
      <c r="K82" s="4">
        <f>Raw_Data!K82</f>
        <v>0.1</v>
      </c>
      <c r="L82" s="3">
        <f>Raw_Data!L82</f>
        <v>279.43</v>
      </c>
      <c r="M82" s="3">
        <f>Raw_Data!M82</f>
        <v>240.26</v>
      </c>
      <c r="N82" s="3">
        <f>Raw_Data!N82</f>
        <v>39.17</v>
      </c>
      <c r="O82" t="str">
        <f t="shared" si="3"/>
        <v>2025-01</v>
      </c>
      <c r="P82" s="5">
        <f t="shared" si="4"/>
        <v>0.14017821994775079</v>
      </c>
      <c r="Q82" s="3">
        <f t="shared" si="5"/>
        <v>279.43</v>
      </c>
    </row>
    <row r="83" spans="1:17" x14ac:dyDescent="0.35">
      <c r="A83" t="str">
        <f>Raw_Data!A83</f>
        <v>ORD-0704</v>
      </c>
      <c r="B83" s="2">
        <f>Raw_Data!B83</f>
        <v>45684</v>
      </c>
      <c r="C83" t="str">
        <f>Raw_Data!C83</f>
        <v>East</v>
      </c>
      <c r="D83" t="str">
        <f>Raw_Data!D83</f>
        <v>Kolkata</v>
      </c>
      <c r="E83" t="str">
        <f>Raw_Data!E83</f>
        <v>Office Supplies</v>
      </c>
      <c r="F83" t="str">
        <f>Raw_Data!F83</f>
        <v>Printer Paper</v>
      </c>
      <c r="G83" t="str">
        <f>Raw_Data!G83</f>
        <v>Small Business</v>
      </c>
      <c r="H83" t="str">
        <f>Raw_Data!H83</f>
        <v>Marketplace</v>
      </c>
      <c r="I83">
        <f>Raw_Data!I83</f>
        <v>11</v>
      </c>
      <c r="J83" s="3">
        <f>Raw_Data!J83</f>
        <v>13.46</v>
      </c>
      <c r="K83" s="4">
        <f>Raw_Data!K83</f>
        <v>0.1</v>
      </c>
      <c r="L83" s="3">
        <f>Raw_Data!L83</f>
        <v>133.25</v>
      </c>
      <c r="M83" s="3">
        <f>Raw_Data!M83</f>
        <v>79.959999999999994</v>
      </c>
      <c r="N83" s="3">
        <f>Raw_Data!N83</f>
        <v>53.29</v>
      </c>
      <c r="O83" t="str">
        <f t="shared" si="3"/>
        <v>2025-01</v>
      </c>
      <c r="P83" s="5">
        <f t="shared" si="4"/>
        <v>0.39992495309568482</v>
      </c>
      <c r="Q83" s="3">
        <f t="shared" si="5"/>
        <v>133.25</v>
      </c>
    </row>
    <row r="84" spans="1:17" x14ac:dyDescent="0.35">
      <c r="A84" t="str">
        <f>Raw_Data!A84</f>
        <v>ORD-0778</v>
      </c>
      <c r="B84" s="2">
        <f>Raw_Data!B84</f>
        <v>45684</v>
      </c>
      <c r="C84" t="str">
        <f>Raw_Data!C84</f>
        <v>West</v>
      </c>
      <c r="D84" t="str">
        <f>Raw_Data!D84</f>
        <v>Mumbai</v>
      </c>
      <c r="E84" t="str">
        <f>Raw_Data!E84</f>
        <v>Office Supplies</v>
      </c>
      <c r="F84" t="str">
        <f>Raw_Data!F84</f>
        <v>Pen Set</v>
      </c>
      <c r="G84" t="str">
        <f>Raw_Data!G84</f>
        <v>Consumer</v>
      </c>
      <c r="H84" t="str">
        <f>Raw_Data!H84</f>
        <v>In-Store</v>
      </c>
      <c r="I84">
        <f>Raw_Data!I84</f>
        <v>10</v>
      </c>
      <c r="J84" s="3">
        <f>Raw_Data!J84</f>
        <v>8.44</v>
      </c>
      <c r="K84" s="4">
        <f>Raw_Data!K84</f>
        <v>0.1</v>
      </c>
      <c r="L84" s="3">
        <f>Raw_Data!L84</f>
        <v>75.959999999999994</v>
      </c>
      <c r="M84" s="3">
        <f>Raw_Data!M84</f>
        <v>53.39</v>
      </c>
      <c r="N84" s="3">
        <f>Raw_Data!N84</f>
        <v>22.57</v>
      </c>
      <c r="O84" t="str">
        <f t="shared" si="3"/>
        <v>2025-01</v>
      </c>
      <c r="P84" s="5">
        <f t="shared" si="4"/>
        <v>0.29713006845708273</v>
      </c>
      <c r="Q84" s="3">
        <f t="shared" si="5"/>
        <v>75.959999999999994</v>
      </c>
    </row>
    <row r="85" spans="1:17" x14ac:dyDescent="0.35">
      <c r="A85" t="str">
        <f>Raw_Data!A85</f>
        <v>ORD-0937</v>
      </c>
      <c r="B85" s="2">
        <f>Raw_Data!B85</f>
        <v>45684</v>
      </c>
      <c r="C85" t="str">
        <f>Raw_Data!C85</f>
        <v>South</v>
      </c>
      <c r="D85" t="str">
        <f>Raw_Data!D85</f>
        <v>Chennai</v>
      </c>
      <c r="E85" t="str">
        <f>Raw_Data!E85</f>
        <v>Furniture</v>
      </c>
      <c r="F85" t="str">
        <f>Raw_Data!F85</f>
        <v>Desk Lamp</v>
      </c>
      <c r="G85" t="str">
        <f>Raw_Data!G85</f>
        <v>Small Business</v>
      </c>
      <c r="H85" t="str">
        <f>Raw_Data!H85</f>
        <v>In-Store</v>
      </c>
      <c r="I85">
        <f>Raw_Data!I85</f>
        <v>5</v>
      </c>
      <c r="J85" s="3">
        <f>Raw_Data!J85</f>
        <v>38.58</v>
      </c>
      <c r="K85" s="4">
        <f>Raw_Data!K85</f>
        <v>0.15</v>
      </c>
      <c r="L85" s="3">
        <f>Raw_Data!L85</f>
        <v>163.96</v>
      </c>
      <c r="M85" s="3">
        <f>Raw_Data!M85</f>
        <v>98.42</v>
      </c>
      <c r="N85" s="3">
        <f>Raw_Data!N85</f>
        <v>65.540000000000006</v>
      </c>
      <c r="O85" t="str">
        <f t="shared" si="3"/>
        <v>2025-01</v>
      </c>
      <c r="P85" s="5">
        <f t="shared" si="4"/>
        <v>0.39973164186386928</v>
      </c>
      <c r="Q85" s="3">
        <f t="shared" si="5"/>
        <v>163.96</v>
      </c>
    </row>
    <row r="86" spans="1:17" x14ac:dyDescent="0.35">
      <c r="A86" t="str">
        <f>Raw_Data!A86</f>
        <v>ORD-0409</v>
      </c>
      <c r="B86" s="2">
        <f>Raw_Data!B86</f>
        <v>45685</v>
      </c>
      <c r="C86" t="str">
        <f>Raw_Data!C86</f>
        <v>West</v>
      </c>
      <c r="D86" t="str">
        <f>Raw_Data!D86</f>
        <v>Ahmedabad</v>
      </c>
      <c r="E86" t="str">
        <f>Raw_Data!E86</f>
        <v>Office Supplies</v>
      </c>
      <c r="F86" t="str">
        <f>Raw_Data!F86</f>
        <v>Desk Organizer</v>
      </c>
      <c r="G86" t="str">
        <f>Raw_Data!G86</f>
        <v>Small Business</v>
      </c>
      <c r="H86" t="str">
        <f>Raw_Data!H86</f>
        <v>In-Store</v>
      </c>
      <c r="I86">
        <f>Raw_Data!I86</f>
        <v>9</v>
      </c>
      <c r="J86" s="3">
        <f>Raw_Data!J86</f>
        <v>18.37</v>
      </c>
      <c r="K86" s="4">
        <f>Raw_Data!K86</f>
        <v>0</v>
      </c>
      <c r="L86" s="3">
        <f>Raw_Data!L86</f>
        <v>165.33</v>
      </c>
      <c r="M86" s="3">
        <f>Raw_Data!M86</f>
        <v>124.54</v>
      </c>
      <c r="N86" s="3">
        <f>Raw_Data!N86</f>
        <v>40.79</v>
      </c>
      <c r="O86" t="str">
        <f t="shared" si="3"/>
        <v>2025-01</v>
      </c>
      <c r="P86" s="5">
        <f t="shared" si="4"/>
        <v>0.24671868384443232</v>
      </c>
      <c r="Q86" s="3">
        <f t="shared" si="5"/>
        <v>165.33</v>
      </c>
    </row>
    <row r="87" spans="1:17" x14ac:dyDescent="0.35">
      <c r="A87" t="str">
        <f>Raw_Data!A87</f>
        <v>ORD-0381</v>
      </c>
      <c r="B87" s="2">
        <f>Raw_Data!B87</f>
        <v>45685</v>
      </c>
      <c r="C87" t="str">
        <f>Raw_Data!C87</f>
        <v>North</v>
      </c>
      <c r="D87" t="str">
        <f>Raw_Data!D87</f>
        <v>Delhi</v>
      </c>
      <c r="E87" t="str">
        <f>Raw_Data!E87</f>
        <v>Technology</v>
      </c>
      <c r="F87" t="str">
        <f>Raw_Data!F87</f>
        <v>Keyboard</v>
      </c>
      <c r="G87" t="str">
        <f>Raw_Data!G87</f>
        <v>Small Business</v>
      </c>
      <c r="H87" t="str">
        <f>Raw_Data!H87</f>
        <v>In-Store</v>
      </c>
      <c r="I87">
        <f>Raw_Data!I87</f>
        <v>9</v>
      </c>
      <c r="J87" s="3">
        <f>Raw_Data!J87</f>
        <v>36.71</v>
      </c>
      <c r="K87" s="4">
        <f>Raw_Data!K87</f>
        <v>0.1</v>
      </c>
      <c r="L87" s="3">
        <f>Raw_Data!L87</f>
        <v>297.35000000000002</v>
      </c>
      <c r="M87" s="3">
        <f>Raw_Data!M87</f>
        <v>244.76</v>
      </c>
      <c r="N87" s="3">
        <f>Raw_Data!N87</f>
        <v>52.59</v>
      </c>
      <c r="O87" t="str">
        <f t="shared" si="3"/>
        <v>2025-01</v>
      </c>
      <c r="P87" s="5">
        <f t="shared" si="4"/>
        <v>0.17686228350428787</v>
      </c>
      <c r="Q87" s="3">
        <f t="shared" si="5"/>
        <v>297.35000000000002</v>
      </c>
    </row>
    <row r="88" spans="1:17" x14ac:dyDescent="0.35">
      <c r="A88" t="str">
        <f>Raw_Data!A88</f>
        <v>ORD-0969</v>
      </c>
      <c r="B88" s="2">
        <f>Raw_Data!B88</f>
        <v>45686</v>
      </c>
      <c r="C88" t="str">
        <f>Raw_Data!C88</f>
        <v>West</v>
      </c>
      <c r="D88" t="str">
        <f>Raw_Data!D88</f>
        <v>Ahmedabad</v>
      </c>
      <c r="E88" t="str">
        <f>Raw_Data!E88</f>
        <v>Office Supplies</v>
      </c>
      <c r="F88" t="str">
        <f>Raw_Data!F88</f>
        <v>Notebook Pack</v>
      </c>
      <c r="G88" t="str">
        <f>Raw_Data!G88</f>
        <v>Small Business</v>
      </c>
      <c r="H88" t="str">
        <f>Raw_Data!H88</f>
        <v>Online</v>
      </c>
      <c r="I88">
        <f>Raw_Data!I88</f>
        <v>12</v>
      </c>
      <c r="J88" s="3">
        <f>Raw_Data!J88</f>
        <v>13.16</v>
      </c>
      <c r="K88" s="4">
        <f>Raw_Data!K88</f>
        <v>0.1</v>
      </c>
      <c r="L88" s="3">
        <f>Raw_Data!L88</f>
        <v>142.13</v>
      </c>
      <c r="M88" s="3">
        <f>Raw_Data!M88</f>
        <v>110.53</v>
      </c>
      <c r="N88" s="3">
        <f>Raw_Data!N88</f>
        <v>31.6</v>
      </c>
      <c r="O88" t="str">
        <f t="shared" si="3"/>
        <v>2025-01</v>
      </c>
      <c r="P88" s="5">
        <f t="shared" si="4"/>
        <v>0.22233166819109268</v>
      </c>
      <c r="Q88" s="3">
        <f t="shared" si="5"/>
        <v>142.13</v>
      </c>
    </row>
    <row r="89" spans="1:17" x14ac:dyDescent="0.35">
      <c r="A89" t="str">
        <f>Raw_Data!A89</f>
        <v>ORD-0800</v>
      </c>
      <c r="B89" s="2">
        <f>Raw_Data!B89</f>
        <v>45686</v>
      </c>
      <c r="C89" t="str">
        <f>Raw_Data!C89</f>
        <v>South</v>
      </c>
      <c r="D89" t="str">
        <f>Raw_Data!D89</f>
        <v>Hyderabad</v>
      </c>
      <c r="E89" t="str">
        <f>Raw_Data!E89</f>
        <v>Technology</v>
      </c>
      <c r="F89" t="str">
        <f>Raw_Data!F89</f>
        <v>Headphones</v>
      </c>
      <c r="G89" t="str">
        <f>Raw_Data!G89</f>
        <v>Corporate</v>
      </c>
      <c r="H89" t="str">
        <f>Raw_Data!H89</f>
        <v>Marketplace</v>
      </c>
      <c r="I89">
        <f>Raw_Data!I89</f>
        <v>7</v>
      </c>
      <c r="J89" s="3">
        <f>Raw_Data!J89</f>
        <v>54.48</v>
      </c>
      <c r="K89" s="4">
        <f>Raw_Data!K89</f>
        <v>0.15</v>
      </c>
      <c r="L89" s="3">
        <f>Raw_Data!L89</f>
        <v>324.16000000000003</v>
      </c>
      <c r="M89" s="3">
        <f>Raw_Data!M89</f>
        <v>269.08</v>
      </c>
      <c r="N89" s="3">
        <f>Raw_Data!N89</f>
        <v>55.08</v>
      </c>
      <c r="O89" t="str">
        <f t="shared" si="3"/>
        <v>2025-01</v>
      </c>
      <c r="P89" s="5">
        <f t="shared" si="4"/>
        <v>0.16991609081934844</v>
      </c>
      <c r="Q89" s="3">
        <f t="shared" si="5"/>
        <v>324.16000000000003</v>
      </c>
    </row>
    <row r="90" spans="1:17" x14ac:dyDescent="0.35">
      <c r="A90" t="str">
        <f>Raw_Data!A90</f>
        <v>ORD-0550</v>
      </c>
      <c r="B90" s="2">
        <f>Raw_Data!B90</f>
        <v>45686</v>
      </c>
      <c r="C90" t="str">
        <f>Raw_Data!C90</f>
        <v>East</v>
      </c>
      <c r="D90" t="str">
        <f>Raw_Data!D90</f>
        <v>Kolkata</v>
      </c>
      <c r="E90" t="str">
        <f>Raw_Data!E90</f>
        <v>Furniture</v>
      </c>
      <c r="F90" t="str">
        <f>Raw_Data!F90</f>
        <v>Bookshelf</v>
      </c>
      <c r="G90" t="str">
        <f>Raw_Data!G90</f>
        <v>Small Business</v>
      </c>
      <c r="H90" t="str">
        <f>Raw_Data!H90</f>
        <v>Online</v>
      </c>
      <c r="I90">
        <f>Raw_Data!I90</f>
        <v>9</v>
      </c>
      <c r="J90" s="3">
        <f>Raw_Data!J90</f>
        <v>114.13</v>
      </c>
      <c r="K90" s="4">
        <f>Raw_Data!K90</f>
        <v>0</v>
      </c>
      <c r="L90" s="3">
        <f>Raw_Data!L90</f>
        <v>1027.17</v>
      </c>
      <c r="M90" s="3">
        <f>Raw_Data!M90</f>
        <v>670.97</v>
      </c>
      <c r="N90" s="3">
        <f>Raw_Data!N90</f>
        <v>356.2</v>
      </c>
      <c r="O90" t="str">
        <f t="shared" si="3"/>
        <v>2025-01</v>
      </c>
      <c r="P90" s="5">
        <f t="shared" si="4"/>
        <v>0.34677804063592199</v>
      </c>
      <c r="Q90" s="3">
        <f t="shared" si="5"/>
        <v>1027.17</v>
      </c>
    </row>
    <row r="91" spans="1:17" x14ac:dyDescent="0.35">
      <c r="A91" t="str">
        <f>Raw_Data!A91</f>
        <v>ORD-0725</v>
      </c>
      <c r="B91" s="2">
        <f>Raw_Data!B91</f>
        <v>45686</v>
      </c>
      <c r="C91" t="str">
        <f>Raw_Data!C91</f>
        <v>West</v>
      </c>
      <c r="D91" t="str">
        <f>Raw_Data!D91</f>
        <v>Mumbai</v>
      </c>
      <c r="E91" t="str">
        <f>Raw_Data!E91</f>
        <v>Technology</v>
      </c>
      <c r="F91" t="str">
        <f>Raw_Data!F91</f>
        <v>USB Hub</v>
      </c>
      <c r="G91" t="str">
        <f>Raw_Data!G91</f>
        <v>Consumer</v>
      </c>
      <c r="H91" t="str">
        <f>Raw_Data!H91</f>
        <v>Online</v>
      </c>
      <c r="I91">
        <f>Raw_Data!I91</f>
        <v>2</v>
      </c>
      <c r="J91" s="3">
        <f>Raw_Data!J91</f>
        <v>23.75</v>
      </c>
      <c r="K91" s="4">
        <f>Raw_Data!K91</f>
        <v>0</v>
      </c>
      <c r="L91" s="3">
        <f>Raw_Data!L91</f>
        <v>47.5</v>
      </c>
      <c r="M91" s="3">
        <f>Raw_Data!M91</f>
        <v>26.22</v>
      </c>
      <c r="N91" s="3">
        <f>Raw_Data!N91</f>
        <v>21.28</v>
      </c>
      <c r="O91" t="str">
        <f t="shared" si="3"/>
        <v>2025-01</v>
      </c>
      <c r="P91" s="5">
        <f t="shared" si="4"/>
        <v>0.44800000000000001</v>
      </c>
      <c r="Q91" s="3">
        <f t="shared" si="5"/>
        <v>47.5</v>
      </c>
    </row>
    <row r="92" spans="1:17" x14ac:dyDescent="0.35">
      <c r="A92" t="str">
        <f>Raw_Data!A92</f>
        <v>ORD-0346</v>
      </c>
      <c r="B92" s="2">
        <f>Raw_Data!B92</f>
        <v>45687</v>
      </c>
      <c r="C92" t="str">
        <f>Raw_Data!C92</f>
        <v>East</v>
      </c>
      <c r="D92" t="str">
        <f>Raw_Data!D92</f>
        <v>Guwahati</v>
      </c>
      <c r="E92" t="str">
        <f>Raw_Data!E92</f>
        <v>Office Supplies</v>
      </c>
      <c r="F92" t="str">
        <f>Raw_Data!F92</f>
        <v>Notebook Pack</v>
      </c>
      <c r="G92" t="str">
        <f>Raw_Data!G92</f>
        <v>Small Business</v>
      </c>
      <c r="H92" t="str">
        <f>Raw_Data!H92</f>
        <v>In-Store</v>
      </c>
      <c r="I92">
        <f>Raw_Data!I92</f>
        <v>8</v>
      </c>
      <c r="J92" s="3">
        <f>Raw_Data!J92</f>
        <v>10.41</v>
      </c>
      <c r="K92" s="4">
        <f>Raw_Data!K92</f>
        <v>0.05</v>
      </c>
      <c r="L92" s="3">
        <f>Raw_Data!L92</f>
        <v>79.12</v>
      </c>
      <c r="M92" s="3">
        <f>Raw_Data!M92</f>
        <v>57.58</v>
      </c>
      <c r="N92" s="3">
        <f>Raw_Data!N92</f>
        <v>21.54</v>
      </c>
      <c r="O92" t="str">
        <f t="shared" si="3"/>
        <v>2025-01</v>
      </c>
      <c r="P92" s="5">
        <f t="shared" si="4"/>
        <v>0.2722446916076845</v>
      </c>
      <c r="Q92" s="3">
        <f t="shared" si="5"/>
        <v>79.12</v>
      </c>
    </row>
    <row r="93" spans="1:17" x14ac:dyDescent="0.35">
      <c r="A93" t="str">
        <f>Raw_Data!A93</f>
        <v>ORD-0377</v>
      </c>
      <c r="B93" s="2">
        <f>Raw_Data!B93</f>
        <v>45688</v>
      </c>
      <c r="C93" t="str">
        <f>Raw_Data!C93</f>
        <v>West</v>
      </c>
      <c r="D93" t="str">
        <f>Raw_Data!D93</f>
        <v>Pune</v>
      </c>
      <c r="E93" t="str">
        <f>Raw_Data!E93</f>
        <v>Office Supplies</v>
      </c>
      <c r="F93" t="str">
        <f>Raw_Data!F93</f>
        <v>Notebook Pack</v>
      </c>
      <c r="G93" t="str">
        <f>Raw_Data!G93</f>
        <v>Consumer</v>
      </c>
      <c r="H93" t="str">
        <f>Raw_Data!H93</f>
        <v>Marketplace</v>
      </c>
      <c r="I93">
        <f>Raw_Data!I93</f>
        <v>7</v>
      </c>
      <c r="J93" s="3">
        <f>Raw_Data!J93</f>
        <v>14.03</v>
      </c>
      <c r="K93" s="4">
        <f>Raw_Data!K93</f>
        <v>0.1</v>
      </c>
      <c r="L93" s="3">
        <f>Raw_Data!L93</f>
        <v>88.39</v>
      </c>
      <c r="M93" s="3">
        <f>Raw_Data!M93</f>
        <v>70.78</v>
      </c>
      <c r="N93" s="3">
        <f>Raw_Data!N93</f>
        <v>17.61</v>
      </c>
      <c r="O93" t="str">
        <f t="shared" si="3"/>
        <v>2025-01</v>
      </c>
      <c r="P93" s="5">
        <f t="shared" si="4"/>
        <v>0.19923068220386922</v>
      </c>
      <c r="Q93" s="3">
        <f t="shared" si="5"/>
        <v>88.39</v>
      </c>
    </row>
    <row r="94" spans="1:17" x14ac:dyDescent="0.35">
      <c r="A94" t="str">
        <f>Raw_Data!A94</f>
        <v>ORD-0074</v>
      </c>
      <c r="B94" s="2">
        <f>Raw_Data!B94</f>
        <v>45688</v>
      </c>
      <c r="C94" t="str">
        <f>Raw_Data!C94</f>
        <v>South</v>
      </c>
      <c r="D94" t="str">
        <f>Raw_Data!D94</f>
        <v>Bengaluru</v>
      </c>
      <c r="E94" t="str">
        <f>Raw_Data!E94</f>
        <v>Technology</v>
      </c>
      <c r="F94" t="str">
        <f>Raw_Data!F94</f>
        <v>Keyboard</v>
      </c>
      <c r="G94" t="str">
        <f>Raw_Data!G94</f>
        <v>Corporate</v>
      </c>
      <c r="H94" t="str">
        <f>Raw_Data!H94</f>
        <v>Online</v>
      </c>
      <c r="I94">
        <f>Raw_Data!I94</f>
        <v>11</v>
      </c>
      <c r="J94" s="3">
        <f>Raw_Data!J94</f>
        <v>29.56</v>
      </c>
      <c r="K94" s="4">
        <f>Raw_Data!K94</f>
        <v>0</v>
      </c>
      <c r="L94" s="3">
        <f>Raw_Data!L94</f>
        <v>325.16000000000003</v>
      </c>
      <c r="M94" s="3">
        <f>Raw_Data!M94</f>
        <v>171.4</v>
      </c>
      <c r="N94" s="3">
        <f>Raw_Data!N94</f>
        <v>153.76</v>
      </c>
      <c r="O94" t="str">
        <f t="shared" si="3"/>
        <v>2025-01</v>
      </c>
      <c r="P94" s="5">
        <f t="shared" si="4"/>
        <v>0.47287489236068392</v>
      </c>
      <c r="Q94" s="3">
        <f t="shared" si="5"/>
        <v>325.16000000000003</v>
      </c>
    </row>
    <row r="95" spans="1:17" x14ac:dyDescent="0.35">
      <c r="A95" t="str">
        <f>Raw_Data!A95</f>
        <v>ORD-0854</v>
      </c>
      <c r="B95" s="2">
        <f>Raw_Data!B95</f>
        <v>45688</v>
      </c>
      <c r="C95" t="str">
        <f>Raw_Data!C95</f>
        <v>North</v>
      </c>
      <c r="D95" t="str">
        <f>Raw_Data!D95</f>
        <v>Jaipur</v>
      </c>
      <c r="E95" t="str">
        <f>Raw_Data!E95</f>
        <v>Office Supplies</v>
      </c>
      <c r="F95" t="str">
        <f>Raw_Data!F95</f>
        <v>Desk Organizer</v>
      </c>
      <c r="G95" t="str">
        <f>Raw_Data!G95</f>
        <v>Consumer</v>
      </c>
      <c r="H95" t="str">
        <f>Raw_Data!H95</f>
        <v>Marketplace</v>
      </c>
      <c r="I95">
        <f>Raw_Data!I95</f>
        <v>8</v>
      </c>
      <c r="J95" s="3">
        <f>Raw_Data!J95</f>
        <v>20.03</v>
      </c>
      <c r="K95" s="4">
        <f>Raw_Data!K95</f>
        <v>0</v>
      </c>
      <c r="L95" s="3">
        <f>Raw_Data!L95</f>
        <v>160.24</v>
      </c>
      <c r="M95" s="3">
        <f>Raw_Data!M95</f>
        <v>94.98</v>
      </c>
      <c r="N95" s="3">
        <f>Raw_Data!N95</f>
        <v>65.260000000000005</v>
      </c>
      <c r="O95" t="str">
        <f t="shared" si="3"/>
        <v>2025-01</v>
      </c>
      <c r="P95" s="5">
        <f t="shared" si="4"/>
        <v>0.40726410384423367</v>
      </c>
      <c r="Q95" s="3">
        <f t="shared" si="5"/>
        <v>160.24</v>
      </c>
    </row>
    <row r="96" spans="1:17" x14ac:dyDescent="0.35">
      <c r="A96" t="str">
        <f>Raw_Data!A96</f>
        <v>ORD-0875</v>
      </c>
      <c r="B96" s="2">
        <f>Raw_Data!B96</f>
        <v>45689</v>
      </c>
      <c r="C96" t="str">
        <f>Raw_Data!C96</f>
        <v>North</v>
      </c>
      <c r="D96" t="str">
        <f>Raw_Data!D96</f>
        <v>Jaipur</v>
      </c>
      <c r="E96" t="str">
        <f>Raw_Data!E96</f>
        <v>Furniture</v>
      </c>
      <c r="F96" t="str">
        <f>Raw_Data!F96</f>
        <v>Office Chair</v>
      </c>
      <c r="G96" t="str">
        <f>Raw_Data!G96</f>
        <v>Small Business</v>
      </c>
      <c r="H96" t="str">
        <f>Raw_Data!H96</f>
        <v>Marketplace</v>
      </c>
      <c r="I96">
        <f>Raw_Data!I96</f>
        <v>11</v>
      </c>
      <c r="J96" s="3">
        <f>Raw_Data!J96</f>
        <v>152.81</v>
      </c>
      <c r="K96" s="4">
        <f>Raw_Data!K96</f>
        <v>0</v>
      </c>
      <c r="L96" s="3">
        <f>Raw_Data!L96</f>
        <v>1680.91</v>
      </c>
      <c r="M96" s="3">
        <f>Raw_Data!M96</f>
        <v>855.67</v>
      </c>
      <c r="N96" s="3">
        <f>Raw_Data!N96</f>
        <v>825.24</v>
      </c>
      <c r="O96" t="str">
        <f t="shared" si="3"/>
        <v>2025-02</v>
      </c>
      <c r="P96" s="5">
        <f t="shared" si="4"/>
        <v>0.49094835535513498</v>
      </c>
      <c r="Q96" s="3">
        <f t="shared" si="5"/>
        <v>1680.91</v>
      </c>
    </row>
    <row r="97" spans="1:17" x14ac:dyDescent="0.35">
      <c r="A97" t="str">
        <f>Raw_Data!A97</f>
        <v>ORD-0847</v>
      </c>
      <c r="B97" s="2">
        <f>Raw_Data!B97</f>
        <v>45690</v>
      </c>
      <c r="C97" t="str">
        <f>Raw_Data!C97</f>
        <v>North</v>
      </c>
      <c r="D97" t="str">
        <f>Raw_Data!D97</f>
        <v>Jaipur</v>
      </c>
      <c r="E97" t="str">
        <f>Raw_Data!E97</f>
        <v>Office Supplies</v>
      </c>
      <c r="F97" t="str">
        <f>Raw_Data!F97</f>
        <v>Notebook Pack</v>
      </c>
      <c r="G97" t="str">
        <f>Raw_Data!G97</f>
        <v>Small Business</v>
      </c>
      <c r="H97" t="str">
        <f>Raw_Data!H97</f>
        <v>In-Store</v>
      </c>
      <c r="I97">
        <f>Raw_Data!I97</f>
        <v>11</v>
      </c>
      <c r="J97" s="3">
        <f>Raw_Data!J97</f>
        <v>10.91</v>
      </c>
      <c r="K97" s="4">
        <f>Raw_Data!K97</f>
        <v>0</v>
      </c>
      <c r="L97" s="3">
        <f>Raw_Data!L97</f>
        <v>120.01</v>
      </c>
      <c r="M97" s="3">
        <f>Raw_Data!M97</f>
        <v>59.19</v>
      </c>
      <c r="N97" s="3">
        <f>Raw_Data!N97</f>
        <v>60.82</v>
      </c>
      <c r="O97" t="str">
        <f t="shared" si="3"/>
        <v>2025-02</v>
      </c>
      <c r="P97" s="5">
        <f t="shared" si="4"/>
        <v>0.50679110074160483</v>
      </c>
      <c r="Q97" s="3">
        <f t="shared" si="5"/>
        <v>120.01</v>
      </c>
    </row>
    <row r="98" spans="1:17" x14ac:dyDescent="0.35">
      <c r="A98" t="str">
        <f>Raw_Data!A98</f>
        <v>ORD-0830</v>
      </c>
      <c r="B98" s="2">
        <f>Raw_Data!B98</f>
        <v>45690</v>
      </c>
      <c r="C98" t="str">
        <f>Raw_Data!C98</f>
        <v>East</v>
      </c>
      <c r="D98" t="str">
        <f>Raw_Data!D98</f>
        <v>Kolkata</v>
      </c>
      <c r="E98" t="str">
        <f>Raw_Data!E98</f>
        <v>Home &amp; Kitchen</v>
      </c>
      <c r="F98" t="str">
        <f>Raw_Data!F98</f>
        <v>Storage Box</v>
      </c>
      <c r="G98" t="str">
        <f>Raw_Data!G98</f>
        <v>Consumer</v>
      </c>
      <c r="H98" t="str">
        <f>Raw_Data!H98</f>
        <v>Online</v>
      </c>
      <c r="I98">
        <f>Raw_Data!I98</f>
        <v>8</v>
      </c>
      <c r="J98" s="3">
        <f>Raw_Data!J98</f>
        <v>12.43</v>
      </c>
      <c r="K98" s="4">
        <f>Raw_Data!K98</f>
        <v>0.15</v>
      </c>
      <c r="L98" s="3">
        <f>Raw_Data!L98</f>
        <v>84.52</v>
      </c>
      <c r="M98" s="3">
        <f>Raw_Data!M98</f>
        <v>76.430000000000007</v>
      </c>
      <c r="N98" s="3">
        <f>Raw_Data!N98</f>
        <v>8.09</v>
      </c>
      <c r="O98" t="str">
        <f t="shared" si="3"/>
        <v>2025-02</v>
      </c>
      <c r="P98" s="5">
        <f t="shared" si="4"/>
        <v>9.5716990061523899E-2</v>
      </c>
      <c r="Q98" s="3">
        <f t="shared" si="5"/>
        <v>84.52</v>
      </c>
    </row>
    <row r="99" spans="1:17" x14ac:dyDescent="0.35">
      <c r="A99" t="str">
        <f>Raw_Data!A99</f>
        <v>ORD-0012</v>
      </c>
      <c r="B99" s="2">
        <f>Raw_Data!B99</f>
        <v>45690</v>
      </c>
      <c r="C99" t="str">
        <f>Raw_Data!C99</f>
        <v>North</v>
      </c>
      <c r="D99" t="str">
        <f>Raw_Data!D99</f>
        <v>Delhi</v>
      </c>
      <c r="E99" t="str">
        <f>Raw_Data!E99</f>
        <v>Home &amp; Kitchen</v>
      </c>
      <c r="F99" t="str">
        <f>Raw_Data!F99</f>
        <v>Lunch Box</v>
      </c>
      <c r="G99" t="str">
        <f>Raw_Data!G99</f>
        <v>Corporate</v>
      </c>
      <c r="H99" t="str">
        <f>Raw_Data!H99</f>
        <v>Marketplace</v>
      </c>
      <c r="I99">
        <f>Raw_Data!I99</f>
        <v>10</v>
      </c>
      <c r="J99" s="3">
        <f>Raw_Data!J99</f>
        <v>23.97</v>
      </c>
      <c r="K99" s="4">
        <f>Raw_Data!K99</f>
        <v>0.15</v>
      </c>
      <c r="L99" s="3">
        <f>Raw_Data!L99</f>
        <v>203.74</v>
      </c>
      <c r="M99" s="3">
        <f>Raw_Data!M99</f>
        <v>133.13999999999999</v>
      </c>
      <c r="N99" s="3">
        <f>Raw_Data!N99</f>
        <v>70.599999999999994</v>
      </c>
      <c r="O99" t="str">
        <f t="shared" si="3"/>
        <v>2025-02</v>
      </c>
      <c r="P99" s="5">
        <f t="shared" si="4"/>
        <v>0.34652007460488854</v>
      </c>
      <c r="Q99" s="3">
        <f t="shared" si="5"/>
        <v>203.74</v>
      </c>
    </row>
    <row r="100" spans="1:17" x14ac:dyDescent="0.35">
      <c r="A100" t="str">
        <f>Raw_Data!A100</f>
        <v>ORD-0018</v>
      </c>
      <c r="B100" s="2">
        <f>Raw_Data!B100</f>
        <v>45690</v>
      </c>
      <c r="C100" t="str">
        <f>Raw_Data!C100</f>
        <v>North</v>
      </c>
      <c r="D100" t="str">
        <f>Raw_Data!D100</f>
        <v>Delhi</v>
      </c>
      <c r="E100" t="str">
        <f>Raw_Data!E100</f>
        <v>Furniture</v>
      </c>
      <c r="F100" t="str">
        <f>Raw_Data!F100</f>
        <v>Office Chair</v>
      </c>
      <c r="G100" t="str">
        <f>Raw_Data!G100</f>
        <v>Corporate</v>
      </c>
      <c r="H100" t="str">
        <f>Raw_Data!H100</f>
        <v>Marketplace</v>
      </c>
      <c r="I100">
        <f>Raw_Data!I100</f>
        <v>10</v>
      </c>
      <c r="J100" s="3">
        <f>Raw_Data!J100</f>
        <v>151.36000000000001</v>
      </c>
      <c r="K100" s="4">
        <f>Raw_Data!K100</f>
        <v>0.15</v>
      </c>
      <c r="L100" s="3">
        <f>Raw_Data!L100</f>
        <v>1286.56</v>
      </c>
      <c r="M100" s="3">
        <f>Raw_Data!M100</f>
        <v>826.52</v>
      </c>
      <c r="N100" s="3">
        <f>Raw_Data!N100</f>
        <v>460.04</v>
      </c>
      <c r="O100" t="str">
        <f t="shared" si="3"/>
        <v>2025-02</v>
      </c>
      <c r="P100" s="5">
        <f t="shared" si="4"/>
        <v>0.35757368486506658</v>
      </c>
      <c r="Q100" s="3">
        <f t="shared" si="5"/>
        <v>1286.56</v>
      </c>
    </row>
    <row r="101" spans="1:17" x14ac:dyDescent="0.35">
      <c r="A101" t="str">
        <f>Raw_Data!A101</f>
        <v>ORD-0564</v>
      </c>
      <c r="B101" s="2">
        <f>Raw_Data!B101</f>
        <v>45691</v>
      </c>
      <c r="C101" t="str">
        <f>Raw_Data!C101</f>
        <v>East</v>
      </c>
      <c r="D101" t="str">
        <f>Raw_Data!D101</f>
        <v>Kolkata</v>
      </c>
      <c r="E101" t="str">
        <f>Raw_Data!E101</f>
        <v>Home &amp; Kitchen</v>
      </c>
      <c r="F101" t="str">
        <f>Raw_Data!F101</f>
        <v>Water Bottle</v>
      </c>
      <c r="G101" t="str">
        <f>Raw_Data!G101</f>
        <v>Corporate</v>
      </c>
      <c r="H101" t="str">
        <f>Raw_Data!H101</f>
        <v>Marketplace</v>
      </c>
      <c r="I101">
        <f>Raw_Data!I101</f>
        <v>6</v>
      </c>
      <c r="J101" s="3">
        <f>Raw_Data!J101</f>
        <v>16.28</v>
      </c>
      <c r="K101" s="4">
        <f>Raw_Data!K101</f>
        <v>0</v>
      </c>
      <c r="L101" s="3">
        <f>Raw_Data!L101</f>
        <v>97.68</v>
      </c>
      <c r="M101" s="3">
        <f>Raw_Data!M101</f>
        <v>55.16</v>
      </c>
      <c r="N101" s="3">
        <f>Raw_Data!N101</f>
        <v>42.52</v>
      </c>
      <c r="O101" t="str">
        <f t="shared" si="3"/>
        <v>2025-02</v>
      </c>
      <c r="P101" s="5">
        <f t="shared" si="4"/>
        <v>0.43529893529893532</v>
      </c>
      <c r="Q101" s="3">
        <f t="shared" si="5"/>
        <v>97.68</v>
      </c>
    </row>
    <row r="102" spans="1:17" x14ac:dyDescent="0.35">
      <c r="A102" t="str">
        <f>Raw_Data!A102</f>
        <v>ORD-0345</v>
      </c>
      <c r="B102" s="2">
        <f>Raw_Data!B102</f>
        <v>45691</v>
      </c>
      <c r="C102" t="str">
        <f>Raw_Data!C102</f>
        <v>North</v>
      </c>
      <c r="D102" t="str">
        <f>Raw_Data!D102</f>
        <v>Delhi</v>
      </c>
      <c r="E102" t="str">
        <f>Raw_Data!E102</f>
        <v>Furniture</v>
      </c>
      <c r="F102" t="str">
        <f>Raw_Data!F102</f>
        <v>Standing Desk</v>
      </c>
      <c r="G102" t="str">
        <f>Raw_Data!G102</f>
        <v>Consumer</v>
      </c>
      <c r="H102" t="str">
        <f>Raw_Data!H102</f>
        <v>Online</v>
      </c>
      <c r="I102">
        <f>Raw_Data!I102</f>
        <v>3</v>
      </c>
      <c r="J102" s="3">
        <f>Raw_Data!J102</f>
        <v>292.02999999999997</v>
      </c>
      <c r="K102" s="4">
        <f>Raw_Data!K102</f>
        <v>0.15</v>
      </c>
      <c r="L102" s="3">
        <f>Raw_Data!L102</f>
        <v>744.68</v>
      </c>
      <c r="M102" s="3">
        <f>Raw_Data!M102</f>
        <v>651.64</v>
      </c>
      <c r="N102" s="3">
        <f>Raw_Data!N102</f>
        <v>93.04</v>
      </c>
      <c r="O102" t="str">
        <f t="shared" si="3"/>
        <v>2025-02</v>
      </c>
      <c r="P102" s="5">
        <f t="shared" si="4"/>
        <v>0.12493957135951014</v>
      </c>
      <c r="Q102" s="3">
        <f t="shared" si="5"/>
        <v>744.68</v>
      </c>
    </row>
    <row r="103" spans="1:17" x14ac:dyDescent="0.35">
      <c r="A103" t="str">
        <f>Raw_Data!A103</f>
        <v>ORD-0792</v>
      </c>
      <c r="B103" s="2">
        <f>Raw_Data!B103</f>
        <v>45691</v>
      </c>
      <c r="C103" t="str">
        <f>Raw_Data!C103</f>
        <v>East</v>
      </c>
      <c r="D103" t="str">
        <f>Raw_Data!D103</f>
        <v>Kolkata</v>
      </c>
      <c r="E103" t="str">
        <f>Raw_Data!E103</f>
        <v>Office Supplies</v>
      </c>
      <c r="F103" t="str">
        <f>Raw_Data!F103</f>
        <v>Desk Organizer</v>
      </c>
      <c r="G103" t="str">
        <f>Raw_Data!G103</f>
        <v>Consumer</v>
      </c>
      <c r="H103" t="str">
        <f>Raw_Data!H103</f>
        <v>Marketplace</v>
      </c>
      <c r="I103">
        <f>Raw_Data!I103</f>
        <v>10</v>
      </c>
      <c r="J103" s="3">
        <f>Raw_Data!J103</f>
        <v>24.14</v>
      </c>
      <c r="K103" s="4">
        <f>Raw_Data!K103</f>
        <v>0.15</v>
      </c>
      <c r="L103" s="3">
        <f>Raw_Data!L103</f>
        <v>205.19</v>
      </c>
      <c r="M103" s="3">
        <f>Raw_Data!M103</f>
        <v>168.66</v>
      </c>
      <c r="N103" s="3">
        <f>Raw_Data!N103</f>
        <v>36.53</v>
      </c>
      <c r="O103" t="str">
        <f t="shared" si="3"/>
        <v>2025-02</v>
      </c>
      <c r="P103" s="5">
        <f t="shared" si="4"/>
        <v>0.17803011842682392</v>
      </c>
      <c r="Q103" s="3">
        <f t="shared" si="5"/>
        <v>205.19</v>
      </c>
    </row>
    <row r="104" spans="1:17" x14ac:dyDescent="0.35">
      <c r="A104" t="str">
        <f>Raw_Data!A104</f>
        <v>ORD-0542</v>
      </c>
      <c r="B104" s="2">
        <f>Raw_Data!B104</f>
        <v>45692</v>
      </c>
      <c r="C104" t="str">
        <f>Raw_Data!C104</f>
        <v>East</v>
      </c>
      <c r="D104" t="str">
        <f>Raw_Data!D104</f>
        <v>Bhubaneswar</v>
      </c>
      <c r="E104" t="str">
        <f>Raw_Data!E104</f>
        <v>Home &amp; Kitchen</v>
      </c>
      <c r="F104" t="str">
        <f>Raw_Data!F104</f>
        <v>Water Bottle</v>
      </c>
      <c r="G104" t="str">
        <f>Raw_Data!G104</f>
        <v>Small Business</v>
      </c>
      <c r="H104" t="str">
        <f>Raw_Data!H104</f>
        <v>Marketplace</v>
      </c>
      <c r="I104">
        <f>Raw_Data!I104</f>
        <v>5</v>
      </c>
      <c r="J104" s="3">
        <f>Raw_Data!J104</f>
        <v>16.239999999999998</v>
      </c>
      <c r="K104" s="4">
        <f>Raw_Data!K104</f>
        <v>0</v>
      </c>
      <c r="L104" s="3">
        <f>Raw_Data!L104</f>
        <v>81.2</v>
      </c>
      <c r="M104" s="3">
        <f>Raw_Data!M104</f>
        <v>55.9</v>
      </c>
      <c r="N104" s="3">
        <f>Raw_Data!N104</f>
        <v>25.3</v>
      </c>
      <c r="O104" t="str">
        <f t="shared" si="3"/>
        <v>2025-02</v>
      </c>
      <c r="P104" s="5">
        <f t="shared" si="4"/>
        <v>0.31157635467980294</v>
      </c>
      <c r="Q104" s="3">
        <f t="shared" si="5"/>
        <v>81.2</v>
      </c>
    </row>
    <row r="105" spans="1:17" x14ac:dyDescent="0.35">
      <c r="A105" t="str">
        <f>Raw_Data!A105</f>
        <v>ORD-0493</v>
      </c>
      <c r="B105" s="2">
        <f>Raw_Data!B105</f>
        <v>45692</v>
      </c>
      <c r="C105" t="str">
        <f>Raw_Data!C105</f>
        <v>South</v>
      </c>
      <c r="D105" t="str">
        <f>Raw_Data!D105</f>
        <v>Hyderabad</v>
      </c>
      <c r="E105" t="str">
        <f>Raw_Data!E105</f>
        <v>Technology</v>
      </c>
      <c r="F105" t="str">
        <f>Raw_Data!F105</f>
        <v>Keyboard</v>
      </c>
      <c r="G105" t="str">
        <f>Raw_Data!G105</f>
        <v>Consumer</v>
      </c>
      <c r="H105" t="str">
        <f>Raw_Data!H105</f>
        <v>Online</v>
      </c>
      <c r="I105">
        <f>Raw_Data!I105</f>
        <v>3</v>
      </c>
      <c r="J105" s="3">
        <f>Raw_Data!J105</f>
        <v>36.979999999999997</v>
      </c>
      <c r="K105" s="4">
        <f>Raw_Data!K105</f>
        <v>0</v>
      </c>
      <c r="L105" s="3">
        <f>Raw_Data!L105</f>
        <v>110.94</v>
      </c>
      <c r="M105" s="3">
        <f>Raw_Data!M105</f>
        <v>56.81</v>
      </c>
      <c r="N105" s="3">
        <f>Raw_Data!N105</f>
        <v>54.13</v>
      </c>
      <c r="O105" t="str">
        <f t="shared" si="3"/>
        <v>2025-02</v>
      </c>
      <c r="P105" s="5">
        <f t="shared" si="4"/>
        <v>0.4879213989543898</v>
      </c>
      <c r="Q105" s="3">
        <f t="shared" si="5"/>
        <v>110.94</v>
      </c>
    </row>
    <row r="106" spans="1:17" x14ac:dyDescent="0.35">
      <c r="A106" t="str">
        <f>Raw_Data!A106</f>
        <v>ORD-0287</v>
      </c>
      <c r="B106" s="2">
        <f>Raw_Data!B106</f>
        <v>45692</v>
      </c>
      <c r="C106" t="str">
        <f>Raw_Data!C106</f>
        <v>West</v>
      </c>
      <c r="D106" t="str">
        <f>Raw_Data!D106</f>
        <v>Ahmedabad</v>
      </c>
      <c r="E106" t="str">
        <f>Raw_Data!E106</f>
        <v>Technology</v>
      </c>
      <c r="F106" t="str">
        <f>Raw_Data!F106</f>
        <v>Headphones</v>
      </c>
      <c r="G106" t="str">
        <f>Raw_Data!G106</f>
        <v>Corporate</v>
      </c>
      <c r="H106" t="str">
        <f>Raw_Data!H106</f>
        <v>In-Store</v>
      </c>
      <c r="I106">
        <f>Raw_Data!I106</f>
        <v>4</v>
      </c>
      <c r="J106" s="3">
        <f>Raw_Data!J106</f>
        <v>47.52</v>
      </c>
      <c r="K106" s="4">
        <f>Raw_Data!K106</f>
        <v>0</v>
      </c>
      <c r="L106" s="3">
        <f>Raw_Data!L106</f>
        <v>190.08</v>
      </c>
      <c r="M106" s="3">
        <f>Raw_Data!M106</f>
        <v>145.34</v>
      </c>
      <c r="N106" s="3">
        <f>Raw_Data!N106</f>
        <v>44.74</v>
      </c>
      <c r="O106" t="str">
        <f t="shared" si="3"/>
        <v>2025-02</v>
      </c>
      <c r="P106" s="5">
        <f t="shared" si="4"/>
        <v>0.23537457912457913</v>
      </c>
      <c r="Q106" s="3">
        <f t="shared" si="5"/>
        <v>190.08</v>
      </c>
    </row>
    <row r="107" spans="1:17" x14ac:dyDescent="0.35">
      <c r="A107" t="str">
        <f>Raw_Data!A107</f>
        <v>ORD-0784</v>
      </c>
      <c r="B107" s="2">
        <f>Raw_Data!B107</f>
        <v>45693</v>
      </c>
      <c r="C107" t="str">
        <f>Raw_Data!C107</f>
        <v>East</v>
      </c>
      <c r="D107" t="str">
        <f>Raw_Data!D107</f>
        <v>Guwahati</v>
      </c>
      <c r="E107" t="str">
        <f>Raw_Data!E107</f>
        <v>Furniture</v>
      </c>
      <c r="F107" t="str">
        <f>Raw_Data!F107</f>
        <v>Office Chair</v>
      </c>
      <c r="G107" t="str">
        <f>Raw_Data!G107</f>
        <v>Small Business</v>
      </c>
      <c r="H107" t="str">
        <f>Raw_Data!H107</f>
        <v>Online</v>
      </c>
      <c r="I107">
        <f>Raw_Data!I107</f>
        <v>7</v>
      </c>
      <c r="J107" s="3">
        <f>Raw_Data!J107</f>
        <v>158.69999999999999</v>
      </c>
      <c r="K107" s="4">
        <f>Raw_Data!K107</f>
        <v>0</v>
      </c>
      <c r="L107" s="3">
        <f>Raw_Data!L107</f>
        <v>1110.9000000000001</v>
      </c>
      <c r="M107" s="3">
        <f>Raw_Data!M107</f>
        <v>774.88</v>
      </c>
      <c r="N107" s="3">
        <f>Raw_Data!N107</f>
        <v>336.02</v>
      </c>
      <c r="O107" t="str">
        <f t="shared" si="3"/>
        <v>2025-02</v>
      </c>
      <c r="P107" s="5">
        <f t="shared" si="4"/>
        <v>0.30247547033936445</v>
      </c>
      <c r="Q107" s="3">
        <f t="shared" si="5"/>
        <v>1110.9000000000001</v>
      </c>
    </row>
    <row r="108" spans="1:17" x14ac:dyDescent="0.35">
      <c r="A108" t="str">
        <f>Raw_Data!A108</f>
        <v>ORD-0569</v>
      </c>
      <c r="B108" s="2">
        <f>Raw_Data!B108</f>
        <v>45693</v>
      </c>
      <c r="C108" t="str">
        <f>Raw_Data!C108</f>
        <v>South</v>
      </c>
      <c r="D108" t="str">
        <f>Raw_Data!D108</f>
        <v>Bengaluru</v>
      </c>
      <c r="E108" t="str">
        <f>Raw_Data!E108</f>
        <v>Technology</v>
      </c>
      <c r="F108" t="str">
        <f>Raw_Data!F108</f>
        <v>USB Hub</v>
      </c>
      <c r="G108" t="str">
        <f>Raw_Data!G108</f>
        <v>Corporate</v>
      </c>
      <c r="H108" t="str">
        <f>Raw_Data!H108</f>
        <v>Marketplace</v>
      </c>
      <c r="I108">
        <f>Raw_Data!I108</f>
        <v>6</v>
      </c>
      <c r="J108" s="3">
        <f>Raw_Data!J108</f>
        <v>24.55</v>
      </c>
      <c r="K108" s="4">
        <f>Raw_Data!K108</f>
        <v>0</v>
      </c>
      <c r="L108" s="3">
        <f>Raw_Data!L108</f>
        <v>147.30000000000001</v>
      </c>
      <c r="M108" s="3">
        <f>Raw_Data!M108</f>
        <v>74.7</v>
      </c>
      <c r="N108" s="3">
        <f>Raw_Data!N108</f>
        <v>72.599999999999994</v>
      </c>
      <c r="O108" t="str">
        <f t="shared" si="3"/>
        <v>2025-02</v>
      </c>
      <c r="P108" s="5">
        <f t="shared" si="4"/>
        <v>0.49287169042769852</v>
      </c>
      <c r="Q108" s="3">
        <f t="shared" si="5"/>
        <v>147.30000000000001</v>
      </c>
    </row>
    <row r="109" spans="1:17" x14ac:dyDescent="0.35">
      <c r="A109" t="str">
        <f>Raw_Data!A109</f>
        <v>ORD-0006</v>
      </c>
      <c r="B109" s="2">
        <f>Raw_Data!B109</f>
        <v>45693</v>
      </c>
      <c r="C109" t="str">
        <f>Raw_Data!C109</f>
        <v>West</v>
      </c>
      <c r="D109" t="str">
        <f>Raw_Data!D109</f>
        <v>Ahmedabad</v>
      </c>
      <c r="E109" t="str">
        <f>Raw_Data!E109</f>
        <v>Technology</v>
      </c>
      <c r="F109" t="str">
        <f>Raw_Data!F109</f>
        <v>Keyboard</v>
      </c>
      <c r="G109" t="str">
        <f>Raw_Data!G109</f>
        <v>Small Business</v>
      </c>
      <c r="H109" t="str">
        <f>Raw_Data!H109</f>
        <v>In-Store</v>
      </c>
      <c r="I109">
        <f>Raw_Data!I109</f>
        <v>5</v>
      </c>
      <c r="J109" s="3">
        <f>Raw_Data!J109</f>
        <v>38.229999999999997</v>
      </c>
      <c r="K109" s="4">
        <f>Raw_Data!K109</f>
        <v>0</v>
      </c>
      <c r="L109" s="3">
        <f>Raw_Data!L109</f>
        <v>191.15</v>
      </c>
      <c r="M109" s="3">
        <f>Raw_Data!M109</f>
        <v>141.44</v>
      </c>
      <c r="N109" s="3">
        <f>Raw_Data!N109</f>
        <v>49.71</v>
      </c>
      <c r="O109" t="str">
        <f t="shared" si="3"/>
        <v>2025-02</v>
      </c>
      <c r="P109" s="5">
        <f t="shared" si="4"/>
        <v>0.26005754642950563</v>
      </c>
      <c r="Q109" s="3">
        <f t="shared" si="5"/>
        <v>191.15</v>
      </c>
    </row>
    <row r="110" spans="1:17" x14ac:dyDescent="0.35">
      <c r="A110" t="str">
        <f>Raw_Data!A110</f>
        <v>ORD-0670</v>
      </c>
      <c r="B110" s="2">
        <f>Raw_Data!B110</f>
        <v>45693</v>
      </c>
      <c r="C110" t="str">
        <f>Raw_Data!C110</f>
        <v>West</v>
      </c>
      <c r="D110" t="str">
        <f>Raw_Data!D110</f>
        <v>Ahmedabad</v>
      </c>
      <c r="E110" t="str">
        <f>Raw_Data!E110</f>
        <v>Home &amp; Kitchen</v>
      </c>
      <c r="F110" t="str">
        <f>Raw_Data!F110</f>
        <v>Coffee Maker</v>
      </c>
      <c r="G110" t="str">
        <f>Raw_Data!G110</f>
        <v>Small Business</v>
      </c>
      <c r="H110" t="str">
        <f>Raw_Data!H110</f>
        <v>Marketplace</v>
      </c>
      <c r="I110">
        <f>Raw_Data!I110</f>
        <v>3</v>
      </c>
      <c r="J110" s="3">
        <f>Raw_Data!J110</f>
        <v>61.52</v>
      </c>
      <c r="K110" s="4">
        <f>Raw_Data!K110</f>
        <v>0.1</v>
      </c>
      <c r="L110" s="3">
        <f>Raw_Data!L110</f>
        <v>166.1</v>
      </c>
      <c r="M110" s="3">
        <f>Raw_Data!M110</f>
        <v>125.8</v>
      </c>
      <c r="N110" s="3">
        <f>Raw_Data!N110</f>
        <v>40.299999999999997</v>
      </c>
      <c r="O110" t="str">
        <f t="shared" si="3"/>
        <v>2025-02</v>
      </c>
      <c r="P110" s="5">
        <f t="shared" si="4"/>
        <v>0.24262492474413003</v>
      </c>
      <c r="Q110" s="3">
        <f t="shared" si="5"/>
        <v>166.1</v>
      </c>
    </row>
    <row r="111" spans="1:17" x14ac:dyDescent="0.35">
      <c r="A111" t="str">
        <f>Raw_Data!A111</f>
        <v>ORD-0016</v>
      </c>
      <c r="B111" s="2">
        <f>Raw_Data!B111</f>
        <v>45693</v>
      </c>
      <c r="C111" t="str">
        <f>Raw_Data!C111</f>
        <v>West</v>
      </c>
      <c r="D111" t="str">
        <f>Raw_Data!D111</f>
        <v>Ahmedabad</v>
      </c>
      <c r="E111" t="str">
        <f>Raw_Data!E111</f>
        <v>Office Supplies</v>
      </c>
      <c r="F111" t="str">
        <f>Raw_Data!F111</f>
        <v>Pen Set</v>
      </c>
      <c r="G111" t="str">
        <f>Raw_Data!G111</f>
        <v>Consumer</v>
      </c>
      <c r="H111" t="str">
        <f>Raw_Data!H111</f>
        <v>Marketplace</v>
      </c>
      <c r="I111">
        <f>Raw_Data!I111</f>
        <v>11</v>
      </c>
      <c r="J111" s="3">
        <f>Raw_Data!J111</f>
        <v>8.1300000000000008</v>
      </c>
      <c r="K111" s="4">
        <f>Raw_Data!K111</f>
        <v>0.15</v>
      </c>
      <c r="L111" s="3">
        <f>Raw_Data!L111</f>
        <v>76.02</v>
      </c>
      <c r="M111" s="3">
        <f>Raw_Data!M111</f>
        <v>47.36</v>
      </c>
      <c r="N111" s="3">
        <f>Raw_Data!N111</f>
        <v>28.66</v>
      </c>
      <c r="O111" t="str">
        <f t="shared" si="3"/>
        <v>2025-02</v>
      </c>
      <c r="P111" s="5">
        <f t="shared" si="4"/>
        <v>0.37700605103920021</v>
      </c>
      <c r="Q111" s="3">
        <f t="shared" si="5"/>
        <v>76.02</v>
      </c>
    </row>
    <row r="112" spans="1:17" x14ac:dyDescent="0.35">
      <c r="A112" t="str">
        <f>Raw_Data!A112</f>
        <v>ORD-0093</v>
      </c>
      <c r="B112" s="2">
        <f>Raw_Data!B112</f>
        <v>45693</v>
      </c>
      <c r="C112" t="str">
        <f>Raw_Data!C112</f>
        <v>North</v>
      </c>
      <c r="D112" t="str">
        <f>Raw_Data!D112</f>
        <v>Jaipur</v>
      </c>
      <c r="E112" t="str">
        <f>Raw_Data!E112</f>
        <v>Office Supplies</v>
      </c>
      <c r="F112" t="str">
        <f>Raw_Data!F112</f>
        <v>Desk Organizer</v>
      </c>
      <c r="G112" t="str">
        <f>Raw_Data!G112</f>
        <v>Small Business</v>
      </c>
      <c r="H112" t="str">
        <f>Raw_Data!H112</f>
        <v>Online</v>
      </c>
      <c r="I112">
        <f>Raw_Data!I112</f>
        <v>4</v>
      </c>
      <c r="J112" s="3">
        <f>Raw_Data!J112</f>
        <v>23.34</v>
      </c>
      <c r="K112" s="4">
        <f>Raw_Data!K112</f>
        <v>0.1</v>
      </c>
      <c r="L112" s="3">
        <f>Raw_Data!L112</f>
        <v>84.02</v>
      </c>
      <c r="M112" s="3">
        <f>Raw_Data!M112</f>
        <v>72.209999999999994</v>
      </c>
      <c r="N112" s="3">
        <f>Raw_Data!N112</f>
        <v>11.81</v>
      </c>
      <c r="O112" t="str">
        <f t="shared" si="3"/>
        <v>2025-02</v>
      </c>
      <c r="P112" s="5">
        <f t="shared" si="4"/>
        <v>0.14056177100690312</v>
      </c>
      <c r="Q112" s="3">
        <f t="shared" si="5"/>
        <v>84.02</v>
      </c>
    </row>
    <row r="113" spans="1:17" x14ac:dyDescent="0.35">
      <c r="A113" t="str">
        <f>Raw_Data!A113</f>
        <v>ORD-0600</v>
      </c>
      <c r="B113" s="2">
        <f>Raw_Data!B113</f>
        <v>45693</v>
      </c>
      <c r="C113" t="str">
        <f>Raw_Data!C113</f>
        <v>East</v>
      </c>
      <c r="D113" t="str">
        <f>Raw_Data!D113</f>
        <v>Bhubaneswar</v>
      </c>
      <c r="E113" t="str">
        <f>Raw_Data!E113</f>
        <v>Office Supplies</v>
      </c>
      <c r="F113" t="str">
        <f>Raw_Data!F113</f>
        <v>Notebook Pack</v>
      </c>
      <c r="G113" t="str">
        <f>Raw_Data!G113</f>
        <v>Small Business</v>
      </c>
      <c r="H113" t="str">
        <f>Raw_Data!H113</f>
        <v>Marketplace</v>
      </c>
      <c r="I113">
        <f>Raw_Data!I113</f>
        <v>7</v>
      </c>
      <c r="J113" s="3">
        <f>Raw_Data!J113</f>
        <v>14.21</v>
      </c>
      <c r="K113" s="4">
        <f>Raw_Data!K113</f>
        <v>0.1</v>
      </c>
      <c r="L113" s="3">
        <f>Raw_Data!L113</f>
        <v>89.52</v>
      </c>
      <c r="M113" s="3">
        <f>Raw_Data!M113</f>
        <v>51.36</v>
      </c>
      <c r="N113" s="3">
        <f>Raw_Data!N113</f>
        <v>38.159999999999997</v>
      </c>
      <c r="O113" t="str">
        <f t="shared" si="3"/>
        <v>2025-02</v>
      </c>
      <c r="P113" s="5">
        <f t="shared" si="4"/>
        <v>0.42627345844504022</v>
      </c>
      <c r="Q113" s="3">
        <f t="shared" si="5"/>
        <v>89.52</v>
      </c>
    </row>
    <row r="114" spans="1:17" x14ac:dyDescent="0.35">
      <c r="A114" t="str">
        <f>Raw_Data!A114</f>
        <v>ORD-0495</v>
      </c>
      <c r="B114" s="2">
        <f>Raw_Data!B114</f>
        <v>45694</v>
      </c>
      <c r="C114" t="str">
        <f>Raw_Data!C114</f>
        <v>North</v>
      </c>
      <c r="D114" t="str">
        <f>Raw_Data!D114</f>
        <v>Jaipur</v>
      </c>
      <c r="E114" t="str">
        <f>Raw_Data!E114</f>
        <v>Technology</v>
      </c>
      <c r="F114" t="str">
        <f>Raw_Data!F114</f>
        <v>Keyboard</v>
      </c>
      <c r="G114" t="str">
        <f>Raw_Data!G114</f>
        <v>Small Business</v>
      </c>
      <c r="H114" t="str">
        <f>Raw_Data!H114</f>
        <v>Marketplace</v>
      </c>
      <c r="I114">
        <f>Raw_Data!I114</f>
        <v>11</v>
      </c>
      <c r="J114" s="3">
        <f>Raw_Data!J114</f>
        <v>32.700000000000003</v>
      </c>
      <c r="K114" s="4">
        <f>Raw_Data!K114</f>
        <v>0</v>
      </c>
      <c r="L114" s="3">
        <f>Raw_Data!L114</f>
        <v>359.7</v>
      </c>
      <c r="M114" s="3">
        <f>Raw_Data!M114</f>
        <v>223.16</v>
      </c>
      <c r="N114" s="3">
        <f>Raw_Data!N114</f>
        <v>136.54</v>
      </c>
      <c r="O114" t="str">
        <f t="shared" si="3"/>
        <v>2025-02</v>
      </c>
      <c r="P114" s="5">
        <f t="shared" si="4"/>
        <v>0.37959410619961076</v>
      </c>
      <c r="Q114" s="3">
        <f t="shared" si="5"/>
        <v>359.7</v>
      </c>
    </row>
    <row r="115" spans="1:17" x14ac:dyDescent="0.35">
      <c r="A115" t="str">
        <f>Raw_Data!A115</f>
        <v>ORD-0481</v>
      </c>
      <c r="B115" s="2">
        <f>Raw_Data!B115</f>
        <v>45694</v>
      </c>
      <c r="C115" t="str">
        <f>Raw_Data!C115</f>
        <v>North</v>
      </c>
      <c r="D115" t="str">
        <f>Raw_Data!D115</f>
        <v>Delhi</v>
      </c>
      <c r="E115" t="str">
        <f>Raw_Data!E115</f>
        <v>Home &amp; Kitchen</v>
      </c>
      <c r="F115" t="str">
        <f>Raw_Data!F115</f>
        <v>Storage Box</v>
      </c>
      <c r="G115" t="str">
        <f>Raw_Data!G115</f>
        <v>Consumer</v>
      </c>
      <c r="H115" t="str">
        <f>Raw_Data!H115</f>
        <v>Marketplace</v>
      </c>
      <c r="I115">
        <f>Raw_Data!I115</f>
        <v>4</v>
      </c>
      <c r="J115" s="3">
        <f>Raw_Data!J115</f>
        <v>16.29</v>
      </c>
      <c r="K115" s="4">
        <f>Raw_Data!K115</f>
        <v>0.05</v>
      </c>
      <c r="L115" s="3">
        <f>Raw_Data!L115</f>
        <v>61.9</v>
      </c>
      <c r="M115" s="3">
        <f>Raw_Data!M115</f>
        <v>47.25</v>
      </c>
      <c r="N115" s="3">
        <f>Raw_Data!N115</f>
        <v>14.65</v>
      </c>
      <c r="O115" t="str">
        <f t="shared" si="3"/>
        <v>2025-02</v>
      </c>
      <c r="P115" s="5">
        <f t="shared" si="4"/>
        <v>0.23667205169628433</v>
      </c>
      <c r="Q115" s="3">
        <f t="shared" si="5"/>
        <v>61.9</v>
      </c>
    </row>
    <row r="116" spans="1:17" x14ac:dyDescent="0.35">
      <c r="A116" t="str">
        <f>Raw_Data!A116</f>
        <v>ORD-0183</v>
      </c>
      <c r="B116" s="2">
        <f>Raw_Data!B116</f>
        <v>45695</v>
      </c>
      <c r="C116" t="str">
        <f>Raw_Data!C116</f>
        <v>North</v>
      </c>
      <c r="D116" t="str">
        <f>Raw_Data!D116</f>
        <v>Chandigarh</v>
      </c>
      <c r="E116" t="str">
        <f>Raw_Data!E116</f>
        <v>Home &amp; Kitchen</v>
      </c>
      <c r="F116" t="str">
        <f>Raw_Data!F116</f>
        <v>Lunch Box</v>
      </c>
      <c r="G116" t="str">
        <f>Raw_Data!G116</f>
        <v>Consumer</v>
      </c>
      <c r="H116" t="str">
        <f>Raw_Data!H116</f>
        <v>Online</v>
      </c>
      <c r="I116">
        <f>Raw_Data!I116</f>
        <v>9</v>
      </c>
      <c r="J116" s="3">
        <f>Raw_Data!J116</f>
        <v>18.96</v>
      </c>
      <c r="K116" s="4">
        <f>Raw_Data!K116</f>
        <v>0.15</v>
      </c>
      <c r="L116" s="3">
        <f>Raw_Data!L116</f>
        <v>145.04</v>
      </c>
      <c r="M116" s="3">
        <f>Raw_Data!M116</f>
        <v>116.74</v>
      </c>
      <c r="N116" s="3">
        <f>Raw_Data!N116</f>
        <v>28.3</v>
      </c>
      <c r="O116" t="str">
        <f t="shared" si="3"/>
        <v>2025-02</v>
      </c>
      <c r="P116" s="5">
        <f t="shared" si="4"/>
        <v>0.19511858797573084</v>
      </c>
      <c r="Q116" s="3">
        <f t="shared" si="5"/>
        <v>145.04</v>
      </c>
    </row>
    <row r="117" spans="1:17" x14ac:dyDescent="0.35">
      <c r="A117" t="str">
        <f>Raw_Data!A117</f>
        <v>ORD-0798</v>
      </c>
      <c r="B117" s="2">
        <f>Raw_Data!B117</f>
        <v>45695</v>
      </c>
      <c r="C117" t="str">
        <f>Raw_Data!C117</f>
        <v>North</v>
      </c>
      <c r="D117" t="str">
        <f>Raw_Data!D117</f>
        <v>Chandigarh</v>
      </c>
      <c r="E117" t="str">
        <f>Raw_Data!E117</f>
        <v>Home &amp; Kitchen</v>
      </c>
      <c r="F117" t="str">
        <f>Raw_Data!F117</f>
        <v>Water Bottle</v>
      </c>
      <c r="G117" t="str">
        <f>Raw_Data!G117</f>
        <v>Consumer</v>
      </c>
      <c r="H117" t="str">
        <f>Raw_Data!H117</f>
        <v>In-Store</v>
      </c>
      <c r="I117">
        <f>Raw_Data!I117</f>
        <v>11</v>
      </c>
      <c r="J117" s="3">
        <f>Raw_Data!J117</f>
        <v>16.100000000000001</v>
      </c>
      <c r="K117" s="4">
        <f>Raw_Data!K117</f>
        <v>0</v>
      </c>
      <c r="L117" s="3">
        <f>Raw_Data!L117</f>
        <v>177.1</v>
      </c>
      <c r="M117" s="3">
        <f>Raw_Data!M117</f>
        <v>89.55</v>
      </c>
      <c r="N117" s="3">
        <f>Raw_Data!N117</f>
        <v>87.55</v>
      </c>
      <c r="O117" t="str">
        <f t="shared" si="3"/>
        <v>2025-02</v>
      </c>
      <c r="P117" s="5">
        <f t="shared" si="4"/>
        <v>0.4943534726143422</v>
      </c>
      <c r="Q117" s="3">
        <f t="shared" si="5"/>
        <v>177.1</v>
      </c>
    </row>
    <row r="118" spans="1:17" x14ac:dyDescent="0.35">
      <c r="A118" t="str">
        <f>Raw_Data!A118</f>
        <v>ORD-0163</v>
      </c>
      <c r="B118" s="2">
        <f>Raw_Data!B118</f>
        <v>45696</v>
      </c>
      <c r="C118" t="str">
        <f>Raw_Data!C118</f>
        <v>South</v>
      </c>
      <c r="D118" t="str">
        <f>Raw_Data!D118</f>
        <v>Chennai</v>
      </c>
      <c r="E118" t="str">
        <f>Raw_Data!E118</f>
        <v>Home &amp; Kitchen</v>
      </c>
      <c r="F118" t="str">
        <f>Raw_Data!F118</f>
        <v>Coffee Maker</v>
      </c>
      <c r="G118" t="str">
        <f>Raw_Data!G118</f>
        <v>Corporate</v>
      </c>
      <c r="H118" t="str">
        <f>Raw_Data!H118</f>
        <v>Marketplace</v>
      </c>
      <c r="I118">
        <f>Raw_Data!I118</f>
        <v>9</v>
      </c>
      <c r="J118" s="3">
        <f>Raw_Data!J118</f>
        <v>81.39</v>
      </c>
      <c r="K118" s="4">
        <f>Raw_Data!K118</f>
        <v>0</v>
      </c>
      <c r="L118" s="3">
        <f>Raw_Data!L118</f>
        <v>732.51</v>
      </c>
      <c r="M118" s="3">
        <f>Raw_Data!M118</f>
        <v>560.98</v>
      </c>
      <c r="N118" s="3">
        <f>Raw_Data!N118</f>
        <v>171.53</v>
      </c>
      <c r="O118" t="str">
        <f t="shared" si="3"/>
        <v>2025-02</v>
      </c>
      <c r="P118" s="5">
        <f t="shared" si="4"/>
        <v>0.23416745163888547</v>
      </c>
      <c r="Q118" s="3">
        <f t="shared" si="5"/>
        <v>732.51</v>
      </c>
    </row>
    <row r="119" spans="1:17" x14ac:dyDescent="0.35">
      <c r="A119" t="str">
        <f>Raw_Data!A119</f>
        <v>ORD-0977</v>
      </c>
      <c r="B119" s="2">
        <f>Raw_Data!B119</f>
        <v>45697</v>
      </c>
      <c r="C119" t="str">
        <f>Raw_Data!C119</f>
        <v>North</v>
      </c>
      <c r="D119" t="str">
        <f>Raw_Data!D119</f>
        <v>Delhi</v>
      </c>
      <c r="E119" t="str">
        <f>Raw_Data!E119</f>
        <v>Furniture</v>
      </c>
      <c r="F119" t="str">
        <f>Raw_Data!F119</f>
        <v>Bookshelf</v>
      </c>
      <c r="G119" t="str">
        <f>Raw_Data!G119</f>
        <v>Consumer</v>
      </c>
      <c r="H119" t="str">
        <f>Raw_Data!H119</f>
        <v>Marketplace</v>
      </c>
      <c r="I119">
        <f>Raw_Data!I119</f>
        <v>1</v>
      </c>
      <c r="J119" s="3">
        <f>Raw_Data!J119</f>
        <v>102.72</v>
      </c>
      <c r="K119" s="4">
        <f>Raw_Data!K119</f>
        <v>0</v>
      </c>
      <c r="L119" s="3">
        <f>Raw_Data!L119</f>
        <v>102.72</v>
      </c>
      <c r="M119" s="3">
        <f>Raw_Data!M119</f>
        <v>65.989999999999995</v>
      </c>
      <c r="N119" s="3">
        <f>Raw_Data!N119</f>
        <v>36.729999999999997</v>
      </c>
      <c r="O119" t="str">
        <f t="shared" si="3"/>
        <v>2025-02</v>
      </c>
      <c r="P119" s="5">
        <f t="shared" si="4"/>
        <v>0.35757398753894076</v>
      </c>
      <c r="Q119" s="3">
        <f t="shared" si="5"/>
        <v>102.72</v>
      </c>
    </row>
    <row r="120" spans="1:17" x14ac:dyDescent="0.35">
      <c r="A120" t="str">
        <f>Raw_Data!A120</f>
        <v>ORD-0245</v>
      </c>
      <c r="B120" s="2">
        <f>Raw_Data!B120</f>
        <v>45697</v>
      </c>
      <c r="C120" t="str">
        <f>Raw_Data!C120</f>
        <v>South</v>
      </c>
      <c r="D120" t="str">
        <f>Raw_Data!D120</f>
        <v>Bengaluru</v>
      </c>
      <c r="E120" t="str">
        <f>Raw_Data!E120</f>
        <v>Furniture</v>
      </c>
      <c r="F120" t="str">
        <f>Raw_Data!F120</f>
        <v>Bookshelf</v>
      </c>
      <c r="G120" t="str">
        <f>Raw_Data!G120</f>
        <v>Small Business</v>
      </c>
      <c r="H120" t="str">
        <f>Raw_Data!H120</f>
        <v>Online</v>
      </c>
      <c r="I120">
        <f>Raw_Data!I120</f>
        <v>4</v>
      </c>
      <c r="J120" s="3">
        <f>Raw_Data!J120</f>
        <v>121.25</v>
      </c>
      <c r="K120" s="4">
        <f>Raw_Data!K120</f>
        <v>0.1</v>
      </c>
      <c r="L120" s="3">
        <f>Raw_Data!L120</f>
        <v>436.5</v>
      </c>
      <c r="M120" s="3">
        <f>Raw_Data!M120</f>
        <v>319.2</v>
      </c>
      <c r="N120" s="3">
        <f>Raw_Data!N120</f>
        <v>117.3</v>
      </c>
      <c r="O120" t="str">
        <f t="shared" si="3"/>
        <v>2025-02</v>
      </c>
      <c r="P120" s="5">
        <f t="shared" si="4"/>
        <v>0.26872852233676975</v>
      </c>
      <c r="Q120" s="3">
        <f t="shared" si="5"/>
        <v>436.5</v>
      </c>
    </row>
    <row r="121" spans="1:17" x14ac:dyDescent="0.35">
      <c r="A121" t="str">
        <f>Raw_Data!A121</f>
        <v>ORD-0918</v>
      </c>
      <c r="B121" s="2">
        <f>Raw_Data!B121</f>
        <v>45697</v>
      </c>
      <c r="C121" t="str">
        <f>Raw_Data!C121</f>
        <v>West</v>
      </c>
      <c r="D121" t="str">
        <f>Raw_Data!D121</f>
        <v>Ahmedabad</v>
      </c>
      <c r="E121" t="str">
        <f>Raw_Data!E121</f>
        <v>Office Supplies</v>
      </c>
      <c r="F121" t="str">
        <f>Raw_Data!F121</f>
        <v>Notebook Pack</v>
      </c>
      <c r="G121" t="str">
        <f>Raw_Data!G121</f>
        <v>Consumer</v>
      </c>
      <c r="H121" t="str">
        <f>Raw_Data!H121</f>
        <v>In-Store</v>
      </c>
      <c r="I121">
        <f>Raw_Data!I121</f>
        <v>3</v>
      </c>
      <c r="J121" s="3">
        <f>Raw_Data!J121</f>
        <v>12.62</v>
      </c>
      <c r="K121" s="4">
        <f>Raw_Data!K121</f>
        <v>0</v>
      </c>
      <c r="L121" s="3">
        <f>Raw_Data!L121</f>
        <v>37.86</v>
      </c>
      <c r="M121" s="3">
        <f>Raw_Data!M121</f>
        <v>26.62</v>
      </c>
      <c r="N121" s="3">
        <f>Raw_Data!N121</f>
        <v>11.24</v>
      </c>
      <c r="O121" t="str">
        <f t="shared" si="3"/>
        <v>2025-02</v>
      </c>
      <c r="P121" s="5">
        <f t="shared" si="4"/>
        <v>0.29688325409403066</v>
      </c>
      <c r="Q121" s="3">
        <f t="shared" si="5"/>
        <v>37.86</v>
      </c>
    </row>
    <row r="122" spans="1:17" x14ac:dyDescent="0.35">
      <c r="A122" t="str">
        <f>Raw_Data!A122</f>
        <v>ORD-0324</v>
      </c>
      <c r="B122" s="2">
        <f>Raw_Data!B122</f>
        <v>45697</v>
      </c>
      <c r="C122" t="str">
        <f>Raw_Data!C122</f>
        <v>East</v>
      </c>
      <c r="D122" t="str">
        <f>Raw_Data!D122</f>
        <v>Bhubaneswar</v>
      </c>
      <c r="E122" t="str">
        <f>Raw_Data!E122</f>
        <v>Office Supplies</v>
      </c>
      <c r="F122" t="str">
        <f>Raw_Data!F122</f>
        <v>Desk Organizer</v>
      </c>
      <c r="G122" t="str">
        <f>Raw_Data!G122</f>
        <v>Small Business</v>
      </c>
      <c r="H122" t="str">
        <f>Raw_Data!H122</f>
        <v>Online</v>
      </c>
      <c r="I122">
        <f>Raw_Data!I122</f>
        <v>6</v>
      </c>
      <c r="J122" s="3">
        <f>Raw_Data!J122</f>
        <v>19.079999999999998</v>
      </c>
      <c r="K122" s="4">
        <f>Raw_Data!K122</f>
        <v>0</v>
      </c>
      <c r="L122" s="3">
        <f>Raw_Data!L122</f>
        <v>114.48</v>
      </c>
      <c r="M122" s="3">
        <f>Raw_Data!M122</f>
        <v>83.17</v>
      </c>
      <c r="N122" s="3">
        <f>Raw_Data!N122</f>
        <v>31.31</v>
      </c>
      <c r="O122" t="str">
        <f t="shared" si="3"/>
        <v>2025-02</v>
      </c>
      <c r="P122" s="5">
        <f t="shared" si="4"/>
        <v>0.27349755415793148</v>
      </c>
      <c r="Q122" s="3">
        <f t="shared" si="5"/>
        <v>114.48</v>
      </c>
    </row>
    <row r="123" spans="1:17" x14ac:dyDescent="0.35">
      <c r="A123" t="str">
        <f>Raw_Data!A123</f>
        <v>ORD-0221</v>
      </c>
      <c r="B123" s="2">
        <f>Raw_Data!B123</f>
        <v>45698</v>
      </c>
      <c r="C123" t="str">
        <f>Raw_Data!C123</f>
        <v>West</v>
      </c>
      <c r="D123" t="str">
        <f>Raw_Data!D123</f>
        <v>Ahmedabad</v>
      </c>
      <c r="E123" t="str">
        <f>Raw_Data!E123</f>
        <v>Home &amp; Kitchen</v>
      </c>
      <c r="F123" t="str">
        <f>Raw_Data!F123</f>
        <v>Coffee Maker</v>
      </c>
      <c r="G123" t="str">
        <f>Raw_Data!G123</f>
        <v>Corporate</v>
      </c>
      <c r="H123" t="str">
        <f>Raw_Data!H123</f>
        <v>Marketplace</v>
      </c>
      <c r="I123">
        <f>Raw_Data!I123</f>
        <v>2</v>
      </c>
      <c r="J123" s="3">
        <f>Raw_Data!J123</f>
        <v>74.7</v>
      </c>
      <c r="K123" s="4">
        <f>Raw_Data!K123</f>
        <v>0</v>
      </c>
      <c r="L123" s="3">
        <f>Raw_Data!L123</f>
        <v>149.4</v>
      </c>
      <c r="M123" s="3">
        <f>Raw_Data!M123</f>
        <v>74.02</v>
      </c>
      <c r="N123" s="3">
        <f>Raw_Data!N123</f>
        <v>75.38</v>
      </c>
      <c r="O123" t="str">
        <f t="shared" si="3"/>
        <v>2025-02</v>
      </c>
      <c r="P123" s="5">
        <f t="shared" si="4"/>
        <v>0.5045515394912985</v>
      </c>
      <c r="Q123" s="3">
        <f t="shared" si="5"/>
        <v>149.4</v>
      </c>
    </row>
    <row r="124" spans="1:17" x14ac:dyDescent="0.35">
      <c r="A124" t="str">
        <f>Raw_Data!A124</f>
        <v>ORD-0455</v>
      </c>
      <c r="B124" s="2">
        <f>Raw_Data!B124</f>
        <v>45698</v>
      </c>
      <c r="C124" t="str">
        <f>Raw_Data!C124</f>
        <v>East</v>
      </c>
      <c r="D124" t="str">
        <f>Raw_Data!D124</f>
        <v>Bhubaneswar</v>
      </c>
      <c r="E124" t="str">
        <f>Raw_Data!E124</f>
        <v>Home &amp; Kitchen</v>
      </c>
      <c r="F124" t="str">
        <f>Raw_Data!F124</f>
        <v>Water Bottle</v>
      </c>
      <c r="G124" t="str">
        <f>Raw_Data!G124</f>
        <v>Small Business</v>
      </c>
      <c r="H124" t="str">
        <f>Raw_Data!H124</f>
        <v>Marketplace</v>
      </c>
      <c r="I124">
        <f>Raw_Data!I124</f>
        <v>9</v>
      </c>
      <c r="J124" s="3">
        <f>Raw_Data!J124</f>
        <v>18.96</v>
      </c>
      <c r="K124" s="4">
        <f>Raw_Data!K124</f>
        <v>0.1</v>
      </c>
      <c r="L124" s="3">
        <f>Raw_Data!L124</f>
        <v>153.58000000000001</v>
      </c>
      <c r="M124" s="3">
        <f>Raw_Data!M124</f>
        <v>100.91</v>
      </c>
      <c r="N124" s="3">
        <f>Raw_Data!N124</f>
        <v>52.67</v>
      </c>
      <c r="O124" t="str">
        <f t="shared" si="3"/>
        <v>2025-02</v>
      </c>
      <c r="P124" s="5">
        <f t="shared" si="4"/>
        <v>0.34294830055996872</v>
      </c>
      <c r="Q124" s="3">
        <f t="shared" si="5"/>
        <v>153.58000000000001</v>
      </c>
    </row>
    <row r="125" spans="1:17" x14ac:dyDescent="0.35">
      <c r="A125" t="str">
        <f>Raw_Data!A125</f>
        <v>ORD-0289</v>
      </c>
      <c r="B125" s="2">
        <f>Raw_Data!B125</f>
        <v>45698</v>
      </c>
      <c r="C125" t="str">
        <f>Raw_Data!C125</f>
        <v>North</v>
      </c>
      <c r="D125" t="str">
        <f>Raw_Data!D125</f>
        <v>Chandigarh</v>
      </c>
      <c r="E125" t="str">
        <f>Raw_Data!E125</f>
        <v>Office Supplies</v>
      </c>
      <c r="F125" t="str">
        <f>Raw_Data!F125</f>
        <v>Pen Set</v>
      </c>
      <c r="G125" t="str">
        <f>Raw_Data!G125</f>
        <v>Small Business</v>
      </c>
      <c r="H125" t="str">
        <f>Raw_Data!H125</f>
        <v>Marketplace</v>
      </c>
      <c r="I125">
        <f>Raw_Data!I125</f>
        <v>9</v>
      </c>
      <c r="J125" s="3">
        <f>Raw_Data!J125</f>
        <v>7.71</v>
      </c>
      <c r="K125" s="4">
        <f>Raw_Data!K125</f>
        <v>0.15</v>
      </c>
      <c r="L125" s="3">
        <f>Raw_Data!L125</f>
        <v>58.98</v>
      </c>
      <c r="M125" s="3">
        <f>Raw_Data!M125</f>
        <v>46.51</v>
      </c>
      <c r="N125" s="3">
        <f>Raw_Data!N125</f>
        <v>12.47</v>
      </c>
      <c r="O125" t="str">
        <f t="shared" si="3"/>
        <v>2025-02</v>
      </c>
      <c r="P125" s="5">
        <f t="shared" si="4"/>
        <v>0.21142760257714482</v>
      </c>
      <c r="Q125" s="3">
        <f t="shared" si="5"/>
        <v>58.98</v>
      </c>
    </row>
    <row r="126" spans="1:17" x14ac:dyDescent="0.35">
      <c r="A126" t="str">
        <f>Raw_Data!A126</f>
        <v>ORD-0730</v>
      </c>
      <c r="B126" s="2">
        <f>Raw_Data!B126</f>
        <v>45698</v>
      </c>
      <c r="C126" t="str">
        <f>Raw_Data!C126</f>
        <v>West</v>
      </c>
      <c r="D126" t="str">
        <f>Raw_Data!D126</f>
        <v>Mumbai</v>
      </c>
      <c r="E126" t="str">
        <f>Raw_Data!E126</f>
        <v>Home &amp; Kitchen</v>
      </c>
      <c r="F126" t="str">
        <f>Raw_Data!F126</f>
        <v>Coffee Maker</v>
      </c>
      <c r="G126" t="str">
        <f>Raw_Data!G126</f>
        <v>Small Business</v>
      </c>
      <c r="H126" t="str">
        <f>Raw_Data!H126</f>
        <v>Marketplace</v>
      </c>
      <c r="I126">
        <f>Raw_Data!I126</f>
        <v>3</v>
      </c>
      <c r="J126" s="3">
        <f>Raw_Data!J126</f>
        <v>86</v>
      </c>
      <c r="K126" s="4">
        <f>Raw_Data!K126</f>
        <v>0.05</v>
      </c>
      <c r="L126" s="3">
        <f>Raw_Data!L126</f>
        <v>245.1</v>
      </c>
      <c r="M126" s="3">
        <f>Raw_Data!M126</f>
        <v>188.98</v>
      </c>
      <c r="N126" s="3">
        <f>Raw_Data!N126</f>
        <v>56.12</v>
      </c>
      <c r="O126" t="str">
        <f t="shared" si="3"/>
        <v>2025-02</v>
      </c>
      <c r="P126" s="5">
        <f t="shared" si="4"/>
        <v>0.22896776825785392</v>
      </c>
      <c r="Q126" s="3">
        <f t="shared" si="5"/>
        <v>245.1</v>
      </c>
    </row>
    <row r="127" spans="1:17" x14ac:dyDescent="0.35">
      <c r="A127" t="str">
        <f>Raw_Data!A127</f>
        <v>ORD-0175</v>
      </c>
      <c r="B127" s="2">
        <f>Raw_Data!B127</f>
        <v>45699</v>
      </c>
      <c r="C127" t="str">
        <f>Raw_Data!C127</f>
        <v>North</v>
      </c>
      <c r="D127" t="str">
        <f>Raw_Data!D127</f>
        <v>Jaipur</v>
      </c>
      <c r="E127" t="str">
        <f>Raw_Data!E127</f>
        <v>Technology</v>
      </c>
      <c r="F127" t="str">
        <f>Raw_Data!F127</f>
        <v>Headphones</v>
      </c>
      <c r="G127" t="str">
        <f>Raw_Data!G127</f>
        <v>Small Business</v>
      </c>
      <c r="H127" t="str">
        <f>Raw_Data!H127</f>
        <v>Marketplace</v>
      </c>
      <c r="I127">
        <f>Raw_Data!I127</f>
        <v>11</v>
      </c>
      <c r="J127" s="3">
        <f>Raw_Data!J127</f>
        <v>50.81</v>
      </c>
      <c r="K127" s="4">
        <f>Raw_Data!K127</f>
        <v>0.15</v>
      </c>
      <c r="L127" s="3">
        <f>Raw_Data!L127</f>
        <v>475.07</v>
      </c>
      <c r="M127" s="3">
        <f>Raw_Data!M127</f>
        <v>338.13</v>
      </c>
      <c r="N127" s="3">
        <f>Raw_Data!N127</f>
        <v>136.94</v>
      </c>
      <c r="O127" t="str">
        <f t="shared" si="3"/>
        <v>2025-02</v>
      </c>
      <c r="P127" s="5">
        <f t="shared" si="4"/>
        <v>0.28825225756204348</v>
      </c>
      <c r="Q127" s="3">
        <f t="shared" si="5"/>
        <v>475.07</v>
      </c>
    </row>
    <row r="128" spans="1:17" x14ac:dyDescent="0.35">
      <c r="A128" t="str">
        <f>Raw_Data!A128</f>
        <v>ORD-0723</v>
      </c>
      <c r="B128" s="2">
        <f>Raw_Data!B128</f>
        <v>45699</v>
      </c>
      <c r="C128" t="str">
        <f>Raw_Data!C128</f>
        <v>North</v>
      </c>
      <c r="D128" t="str">
        <f>Raw_Data!D128</f>
        <v>Jaipur</v>
      </c>
      <c r="E128" t="str">
        <f>Raw_Data!E128</f>
        <v>Home &amp; Kitchen</v>
      </c>
      <c r="F128" t="str">
        <f>Raw_Data!F128</f>
        <v>Lunch Box</v>
      </c>
      <c r="G128" t="str">
        <f>Raw_Data!G128</f>
        <v>Small Business</v>
      </c>
      <c r="H128" t="str">
        <f>Raw_Data!H128</f>
        <v>Online</v>
      </c>
      <c r="I128">
        <f>Raw_Data!I128</f>
        <v>8</v>
      </c>
      <c r="J128" s="3">
        <f>Raw_Data!J128</f>
        <v>21.4</v>
      </c>
      <c r="K128" s="4">
        <f>Raw_Data!K128</f>
        <v>0.05</v>
      </c>
      <c r="L128" s="3">
        <f>Raw_Data!L128</f>
        <v>162.63999999999999</v>
      </c>
      <c r="M128" s="3">
        <f>Raw_Data!M128</f>
        <v>112.69</v>
      </c>
      <c r="N128" s="3">
        <f>Raw_Data!N128</f>
        <v>49.95</v>
      </c>
      <c r="O128" t="str">
        <f t="shared" si="3"/>
        <v>2025-02</v>
      </c>
      <c r="P128" s="5">
        <f t="shared" si="4"/>
        <v>0.30712001967535668</v>
      </c>
      <c r="Q128" s="3">
        <f t="shared" si="5"/>
        <v>162.63999999999999</v>
      </c>
    </row>
    <row r="129" spans="1:17" x14ac:dyDescent="0.35">
      <c r="A129" t="str">
        <f>Raw_Data!A129</f>
        <v>ORD-0207</v>
      </c>
      <c r="B129" s="2">
        <f>Raw_Data!B129</f>
        <v>45699</v>
      </c>
      <c r="C129" t="str">
        <f>Raw_Data!C129</f>
        <v>South</v>
      </c>
      <c r="D129" t="str">
        <f>Raw_Data!D129</f>
        <v>Bengaluru</v>
      </c>
      <c r="E129" t="str">
        <f>Raw_Data!E129</f>
        <v>Home &amp; Kitchen</v>
      </c>
      <c r="F129" t="str">
        <f>Raw_Data!F129</f>
        <v>Coffee Maker</v>
      </c>
      <c r="G129" t="str">
        <f>Raw_Data!G129</f>
        <v>Corporate</v>
      </c>
      <c r="H129" t="str">
        <f>Raw_Data!H129</f>
        <v>Marketplace</v>
      </c>
      <c r="I129">
        <f>Raw_Data!I129</f>
        <v>2</v>
      </c>
      <c r="J129" s="3">
        <f>Raw_Data!J129</f>
        <v>84.31</v>
      </c>
      <c r="K129" s="4">
        <f>Raw_Data!K129</f>
        <v>0</v>
      </c>
      <c r="L129" s="3">
        <f>Raw_Data!L129</f>
        <v>168.62</v>
      </c>
      <c r="M129" s="3">
        <f>Raw_Data!M129</f>
        <v>84.06</v>
      </c>
      <c r="N129" s="3">
        <f>Raw_Data!N129</f>
        <v>84.56</v>
      </c>
      <c r="O129" t="str">
        <f t="shared" si="3"/>
        <v>2025-02</v>
      </c>
      <c r="P129" s="5">
        <f t="shared" si="4"/>
        <v>0.50148262365081253</v>
      </c>
      <c r="Q129" s="3">
        <f t="shared" si="5"/>
        <v>168.62</v>
      </c>
    </row>
    <row r="130" spans="1:17" x14ac:dyDescent="0.35">
      <c r="A130" t="str">
        <f>Raw_Data!A130</f>
        <v>ORD-0154</v>
      </c>
      <c r="B130" s="2">
        <f>Raw_Data!B130</f>
        <v>45701</v>
      </c>
      <c r="C130" t="str">
        <f>Raw_Data!C130</f>
        <v>West</v>
      </c>
      <c r="D130" t="str">
        <f>Raw_Data!D130</f>
        <v>Ahmedabad</v>
      </c>
      <c r="E130" t="str">
        <f>Raw_Data!E130</f>
        <v>Furniture</v>
      </c>
      <c r="F130" t="str">
        <f>Raw_Data!F130</f>
        <v>Office Chair</v>
      </c>
      <c r="G130" t="str">
        <f>Raw_Data!G130</f>
        <v>Small Business</v>
      </c>
      <c r="H130" t="str">
        <f>Raw_Data!H130</f>
        <v>Online</v>
      </c>
      <c r="I130">
        <f>Raw_Data!I130</f>
        <v>9</v>
      </c>
      <c r="J130" s="3">
        <f>Raw_Data!J130</f>
        <v>150.86000000000001</v>
      </c>
      <c r="K130" s="4">
        <f>Raw_Data!K130</f>
        <v>0.15</v>
      </c>
      <c r="L130" s="3">
        <f>Raw_Data!L130</f>
        <v>1154.08</v>
      </c>
      <c r="M130" s="3">
        <f>Raw_Data!M130</f>
        <v>877.43</v>
      </c>
      <c r="N130" s="3">
        <f>Raw_Data!N130</f>
        <v>276.64999999999998</v>
      </c>
      <c r="O130" t="str">
        <f t="shared" ref="O130:O193" si="6">TEXT(B130,"yyyy-mm")</f>
        <v>2025-02</v>
      </c>
      <c r="P130" s="5">
        <f t="shared" ref="P130:P193" si="7">IFERROR(N130/L130,0)</f>
        <v>0.2397147511437682</v>
      </c>
      <c r="Q130" s="3">
        <f t="shared" ref="Q130:Q193" si="8">IFERROR(L130,0)</f>
        <v>1154.08</v>
      </c>
    </row>
    <row r="131" spans="1:17" x14ac:dyDescent="0.35">
      <c r="A131" t="str">
        <f>Raw_Data!A131</f>
        <v>ORD-0649</v>
      </c>
      <c r="B131" s="2">
        <f>Raw_Data!B131</f>
        <v>45702</v>
      </c>
      <c r="C131" t="str">
        <f>Raw_Data!C131</f>
        <v>North</v>
      </c>
      <c r="D131" t="str">
        <f>Raw_Data!D131</f>
        <v>Delhi</v>
      </c>
      <c r="E131" t="str">
        <f>Raw_Data!E131</f>
        <v>Office Supplies</v>
      </c>
      <c r="F131" t="str">
        <f>Raw_Data!F131</f>
        <v>Pen Set</v>
      </c>
      <c r="G131" t="str">
        <f>Raw_Data!G131</f>
        <v>Corporate</v>
      </c>
      <c r="H131" t="str">
        <f>Raw_Data!H131</f>
        <v>In-Store</v>
      </c>
      <c r="I131">
        <f>Raw_Data!I131</f>
        <v>5</v>
      </c>
      <c r="J131" s="3">
        <f>Raw_Data!J131</f>
        <v>8.1300000000000008</v>
      </c>
      <c r="K131" s="4">
        <f>Raw_Data!K131</f>
        <v>0.15</v>
      </c>
      <c r="L131" s="3">
        <f>Raw_Data!L131</f>
        <v>34.549999999999997</v>
      </c>
      <c r="M131" s="3">
        <f>Raw_Data!M131</f>
        <v>31.54</v>
      </c>
      <c r="N131" s="3">
        <f>Raw_Data!N131</f>
        <v>3.01</v>
      </c>
      <c r="O131" t="str">
        <f t="shared" si="6"/>
        <v>2025-02</v>
      </c>
      <c r="P131" s="5">
        <f t="shared" si="7"/>
        <v>8.7120115774240239E-2</v>
      </c>
      <c r="Q131" s="3">
        <f t="shared" si="8"/>
        <v>34.549999999999997</v>
      </c>
    </row>
    <row r="132" spans="1:17" x14ac:dyDescent="0.35">
      <c r="A132" t="str">
        <f>Raw_Data!A132</f>
        <v>ORD-0269</v>
      </c>
      <c r="B132" s="2">
        <f>Raw_Data!B132</f>
        <v>45702</v>
      </c>
      <c r="C132" t="str">
        <f>Raw_Data!C132</f>
        <v>West</v>
      </c>
      <c r="D132" t="str">
        <f>Raw_Data!D132</f>
        <v>Mumbai</v>
      </c>
      <c r="E132" t="str">
        <f>Raw_Data!E132</f>
        <v>Home &amp; Kitchen</v>
      </c>
      <c r="F132" t="str">
        <f>Raw_Data!F132</f>
        <v>Water Bottle</v>
      </c>
      <c r="G132" t="str">
        <f>Raw_Data!G132</f>
        <v>Consumer</v>
      </c>
      <c r="H132" t="str">
        <f>Raw_Data!H132</f>
        <v>Marketplace</v>
      </c>
      <c r="I132">
        <f>Raw_Data!I132</f>
        <v>4</v>
      </c>
      <c r="J132" s="3">
        <f>Raw_Data!J132</f>
        <v>14.78</v>
      </c>
      <c r="K132" s="4">
        <f>Raw_Data!K132</f>
        <v>0.15</v>
      </c>
      <c r="L132" s="3">
        <f>Raw_Data!L132</f>
        <v>50.25</v>
      </c>
      <c r="M132" s="3">
        <f>Raw_Data!M132</f>
        <v>40.6</v>
      </c>
      <c r="N132" s="3">
        <f>Raw_Data!N132</f>
        <v>9.65</v>
      </c>
      <c r="O132" t="str">
        <f t="shared" si="6"/>
        <v>2025-02</v>
      </c>
      <c r="P132" s="5">
        <f t="shared" si="7"/>
        <v>0.19203980099502488</v>
      </c>
      <c r="Q132" s="3">
        <f t="shared" si="8"/>
        <v>50.25</v>
      </c>
    </row>
    <row r="133" spans="1:17" x14ac:dyDescent="0.35">
      <c r="A133" t="str">
        <f>Raw_Data!A133</f>
        <v>ORD-0002</v>
      </c>
      <c r="B133" s="2">
        <f>Raw_Data!B133</f>
        <v>45702</v>
      </c>
      <c r="C133" t="str">
        <f>Raw_Data!C133</f>
        <v>North</v>
      </c>
      <c r="D133" t="str">
        <f>Raw_Data!D133</f>
        <v>Jaipur</v>
      </c>
      <c r="E133" t="str">
        <f>Raw_Data!E133</f>
        <v>Home &amp; Kitchen</v>
      </c>
      <c r="F133" t="str">
        <f>Raw_Data!F133</f>
        <v>Water Bottle</v>
      </c>
      <c r="G133" t="str">
        <f>Raw_Data!G133</f>
        <v>Corporate</v>
      </c>
      <c r="H133" t="str">
        <f>Raw_Data!H133</f>
        <v>Online</v>
      </c>
      <c r="I133">
        <f>Raw_Data!I133</f>
        <v>1</v>
      </c>
      <c r="J133" s="3">
        <f>Raw_Data!J133</f>
        <v>14.12</v>
      </c>
      <c r="K133" s="4">
        <f>Raw_Data!K133</f>
        <v>0</v>
      </c>
      <c r="L133" s="3">
        <f>Raw_Data!L133</f>
        <v>14.12</v>
      </c>
      <c r="M133" s="3">
        <f>Raw_Data!M133</f>
        <v>8.92</v>
      </c>
      <c r="N133" s="3">
        <f>Raw_Data!N133</f>
        <v>5.2</v>
      </c>
      <c r="O133" t="str">
        <f t="shared" si="6"/>
        <v>2025-02</v>
      </c>
      <c r="P133" s="5">
        <f t="shared" si="7"/>
        <v>0.36827195467422097</v>
      </c>
      <c r="Q133" s="3">
        <f t="shared" si="8"/>
        <v>14.12</v>
      </c>
    </row>
    <row r="134" spans="1:17" x14ac:dyDescent="0.35">
      <c r="A134" t="str">
        <f>Raw_Data!A134</f>
        <v>ORD-0473</v>
      </c>
      <c r="B134" s="2">
        <f>Raw_Data!B134</f>
        <v>45703</v>
      </c>
      <c r="C134" t="str">
        <f>Raw_Data!C134</f>
        <v>North</v>
      </c>
      <c r="D134" t="str">
        <f>Raw_Data!D134</f>
        <v>Chandigarh</v>
      </c>
      <c r="E134" t="str">
        <f>Raw_Data!E134</f>
        <v>Home &amp; Kitchen</v>
      </c>
      <c r="F134" t="str">
        <f>Raw_Data!F134</f>
        <v>Coffee Maker</v>
      </c>
      <c r="G134" t="str">
        <f>Raw_Data!G134</f>
        <v>Corporate</v>
      </c>
      <c r="H134" t="str">
        <f>Raw_Data!H134</f>
        <v>Online</v>
      </c>
      <c r="I134">
        <f>Raw_Data!I134</f>
        <v>6</v>
      </c>
      <c r="J134" s="3">
        <f>Raw_Data!J134</f>
        <v>71.59</v>
      </c>
      <c r="K134" s="4">
        <f>Raw_Data!K134</f>
        <v>0</v>
      </c>
      <c r="L134" s="3">
        <f>Raw_Data!L134</f>
        <v>429.54</v>
      </c>
      <c r="M134" s="3">
        <f>Raw_Data!M134</f>
        <v>245.3</v>
      </c>
      <c r="N134" s="3">
        <f>Raw_Data!N134</f>
        <v>184.24</v>
      </c>
      <c r="O134" t="str">
        <f t="shared" si="6"/>
        <v>2025-02</v>
      </c>
      <c r="P134" s="5">
        <f t="shared" si="7"/>
        <v>0.42892396517204451</v>
      </c>
      <c r="Q134" s="3">
        <f t="shared" si="8"/>
        <v>429.54</v>
      </c>
    </row>
    <row r="135" spans="1:17" x14ac:dyDescent="0.35">
      <c r="A135" t="str">
        <f>Raw_Data!A135</f>
        <v>ORD-0772</v>
      </c>
      <c r="B135" s="2">
        <f>Raw_Data!B135</f>
        <v>45703</v>
      </c>
      <c r="C135" t="str">
        <f>Raw_Data!C135</f>
        <v>North</v>
      </c>
      <c r="D135" t="str">
        <f>Raw_Data!D135</f>
        <v>Delhi</v>
      </c>
      <c r="E135" t="str">
        <f>Raw_Data!E135</f>
        <v>Office Supplies</v>
      </c>
      <c r="F135" t="str">
        <f>Raw_Data!F135</f>
        <v>Notebook Pack</v>
      </c>
      <c r="G135" t="str">
        <f>Raw_Data!G135</f>
        <v>Corporate</v>
      </c>
      <c r="H135" t="str">
        <f>Raw_Data!H135</f>
        <v>Marketplace</v>
      </c>
      <c r="I135">
        <f>Raw_Data!I135</f>
        <v>10</v>
      </c>
      <c r="J135" s="3">
        <f>Raw_Data!J135</f>
        <v>12.85</v>
      </c>
      <c r="K135" s="4">
        <f>Raw_Data!K135</f>
        <v>0.05</v>
      </c>
      <c r="L135" s="3">
        <f>Raw_Data!L135</f>
        <v>122.07</v>
      </c>
      <c r="M135" s="3">
        <f>Raw_Data!M135</f>
        <v>83.31</v>
      </c>
      <c r="N135" s="3">
        <f>Raw_Data!N135</f>
        <v>38.76</v>
      </c>
      <c r="O135" t="str">
        <f t="shared" si="6"/>
        <v>2025-02</v>
      </c>
      <c r="P135" s="5">
        <f t="shared" si="7"/>
        <v>0.3175227328581961</v>
      </c>
      <c r="Q135" s="3">
        <f t="shared" si="8"/>
        <v>122.07</v>
      </c>
    </row>
    <row r="136" spans="1:17" x14ac:dyDescent="0.35">
      <c r="A136" t="str">
        <f>Raw_Data!A136</f>
        <v>ORD-0357</v>
      </c>
      <c r="B136" s="2">
        <f>Raw_Data!B136</f>
        <v>45703</v>
      </c>
      <c r="C136" t="str">
        <f>Raw_Data!C136</f>
        <v>East</v>
      </c>
      <c r="D136" t="str">
        <f>Raw_Data!D136</f>
        <v>Guwahati</v>
      </c>
      <c r="E136" t="str">
        <f>Raw_Data!E136</f>
        <v>Office Supplies</v>
      </c>
      <c r="F136" t="str">
        <f>Raw_Data!F136</f>
        <v>Desk Organizer</v>
      </c>
      <c r="G136" t="str">
        <f>Raw_Data!G136</f>
        <v>Small Business</v>
      </c>
      <c r="H136" t="str">
        <f>Raw_Data!H136</f>
        <v>In-Store</v>
      </c>
      <c r="I136">
        <f>Raw_Data!I136</f>
        <v>4</v>
      </c>
      <c r="J136" s="3">
        <f>Raw_Data!J136</f>
        <v>23.32</v>
      </c>
      <c r="K136" s="4">
        <f>Raw_Data!K136</f>
        <v>0.05</v>
      </c>
      <c r="L136" s="3">
        <f>Raw_Data!L136</f>
        <v>88.62</v>
      </c>
      <c r="M136" s="3">
        <f>Raw_Data!M136</f>
        <v>56.54</v>
      </c>
      <c r="N136" s="3">
        <f>Raw_Data!N136</f>
        <v>32.08</v>
      </c>
      <c r="O136" t="str">
        <f t="shared" si="6"/>
        <v>2025-02</v>
      </c>
      <c r="P136" s="5">
        <f t="shared" si="7"/>
        <v>0.36199503498081692</v>
      </c>
      <c r="Q136" s="3">
        <f t="shared" si="8"/>
        <v>88.62</v>
      </c>
    </row>
    <row r="137" spans="1:17" x14ac:dyDescent="0.35">
      <c r="A137" t="str">
        <f>Raw_Data!A137</f>
        <v>ORD-0771</v>
      </c>
      <c r="B137" s="2">
        <f>Raw_Data!B137</f>
        <v>45703</v>
      </c>
      <c r="C137" t="str">
        <f>Raw_Data!C137</f>
        <v>West</v>
      </c>
      <c r="D137" t="str">
        <f>Raw_Data!D137</f>
        <v>Ahmedabad</v>
      </c>
      <c r="E137" t="str">
        <f>Raw_Data!E137</f>
        <v>Home &amp; Kitchen</v>
      </c>
      <c r="F137" t="str">
        <f>Raw_Data!F137</f>
        <v>Lunch Box</v>
      </c>
      <c r="G137" t="str">
        <f>Raw_Data!G137</f>
        <v>Corporate</v>
      </c>
      <c r="H137" t="str">
        <f>Raw_Data!H137</f>
        <v>In-Store</v>
      </c>
      <c r="I137">
        <f>Raw_Data!I137</f>
        <v>4</v>
      </c>
      <c r="J137" s="3">
        <f>Raw_Data!J137</f>
        <v>23.3</v>
      </c>
      <c r="K137" s="4">
        <f>Raw_Data!K137</f>
        <v>0.05</v>
      </c>
      <c r="L137" s="3">
        <f>Raw_Data!L137</f>
        <v>88.54</v>
      </c>
      <c r="M137" s="3">
        <f>Raw_Data!M137</f>
        <v>59.86</v>
      </c>
      <c r="N137" s="3">
        <f>Raw_Data!N137</f>
        <v>28.68</v>
      </c>
      <c r="O137" t="str">
        <f t="shared" si="6"/>
        <v>2025-02</v>
      </c>
      <c r="P137" s="5">
        <f t="shared" si="7"/>
        <v>0.3239213914614863</v>
      </c>
      <c r="Q137" s="3">
        <f t="shared" si="8"/>
        <v>88.54</v>
      </c>
    </row>
    <row r="138" spans="1:17" x14ac:dyDescent="0.35">
      <c r="A138" t="str">
        <f>Raw_Data!A138</f>
        <v>ORD-0307</v>
      </c>
      <c r="B138" s="2">
        <f>Raw_Data!B138</f>
        <v>45704</v>
      </c>
      <c r="C138" t="str">
        <f>Raw_Data!C138</f>
        <v>South</v>
      </c>
      <c r="D138" t="str">
        <f>Raw_Data!D138</f>
        <v>Chennai</v>
      </c>
      <c r="E138" t="str">
        <f>Raw_Data!E138</f>
        <v>Office Supplies</v>
      </c>
      <c r="F138" t="str">
        <f>Raw_Data!F138</f>
        <v>Desk Organizer</v>
      </c>
      <c r="G138" t="str">
        <f>Raw_Data!G138</f>
        <v>Consumer</v>
      </c>
      <c r="H138" t="str">
        <f>Raw_Data!H138</f>
        <v>In-Store</v>
      </c>
      <c r="I138">
        <f>Raw_Data!I138</f>
        <v>7</v>
      </c>
      <c r="J138" s="3">
        <f>Raw_Data!J138</f>
        <v>21.62</v>
      </c>
      <c r="K138" s="4">
        <f>Raw_Data!K138</f>
        <v>0.05</v>
      </c>
      <c r="L138" s="3">
        <f>Raw_Data!L138</f>
        <v>143.77000000000001</v>
      </c>
      <c r="M138" s="3">
        <f>Raw_Data!M138</f>
        <v>84.46</v>
      </c>
      <c r="N138" s="3">
        <f>Raw_Data!N138</f>
        <v>59.31</v>
      </c>
      <c r="O138" t="str">
        <f t="shared" si="6"/>
        <v>2025-02</v>
      </c>
      <c r="P138" s="5">
        <f t="shared" si="7"/>
        <v>0.41253390832579812</v>
      </c>
      <c r="Q138" s="3">
        <f t="shared" si="8"/>
        <v>143.77000000000001</v>
      </c>
    </row>
    <row r="139" spans="1:17" x14ac:dyDescent="0.35">
      <c r="A139" t="str">
        <f>Raw_Data!A139</f>
        <v>ORD-0333</v>
      </c>
      <c r="B139" s="2">
        <f>Raw_Data!B139</f>
        <v>45704</v>
      </c>
      <c r="C139" t="str">
        <f>Raw_Data!C139</f>
        <v>North</v>
      </c>
      <c r="D139" t="str">
        <f>Raw_Data!D139</f>
        <v>Chandigarh</v>
      </c>
      <c r="E139" t="str">
        <f>Raw_Data!E139</f>
        <v>Home &amp; Kitchen</v>
      </c>
      <c r="F139" t="str">
        <f>Raw_Data!F139</f>
        <v>Storage Box</v>
      </c>
      <c r="G139" t="str">
        <f>Raw_Data!G139</f>
        <v>Small Business</v>
      </c>
      <c r="H139" t="str">
        <f>Raw_Data!H139</f>
        <v>In-Store</v>
      </c>
      <c r="I139">
        <f>Raw_Data!I139</f>
        <v>6</v>
      </c>
      <c r="J139" s="3">
        <f>Raw_Data!J139</f>
        <v>16.239999999999998</v>
      </c>
      <c r="K139" s="4">
        <f>Raw_Data!K139</f>
        <v>0.05</v>
      </c>
      <c r="L139" s="3">
        <f>Raw_Data!L139</f>
        <v>92.57</v>
      </c>
      <c r="M139" s="3">
        <f>Raw_Data!M139</f>
        <v>52.23</v>
      </c>
      <c r="N139" s="3">
        <f>Raw_Data!N139</f>
        <v>40.340000000000003</v>
      </c>
      <c r="O139" t="str">
        <f t="shared" si="6"/>
        <v>2025-02</v>
      </c>
      <c r="P139" s="5">
        <f t="shared" si="7"/>
        <v>0.43577832991249871</v>
      </c>
      <c r="Q139" s="3">
        <f t="shared" si="8"/>
        <v>92.57</v>
      </c>
    </row>
    <row r="140" spans="1:17" x14ac:dyDescent="0.35">
      <c r="A140" t="str">
        <f>Raw_Data!A140</f>
        <v>ORD-0119</v>
      </c>
      <c r="B140" s="2">
        <f>Raw_Data!B140</f>
        <v>45705</v>
      </c>
      <c r="C140" t="str">
        <f>Raw_Data!C140</f>
        <v>East</v>
      </c>
      <c r="D140" t="str">
        <f>Raw_Data!D140</f>
        <v>Bhubaneswar</v>
      </c>
      <c r="E140" t="str">
        <f>Raw_Data!E140</f>
        <v>Home &amp; Kitchen</v>
      </c>
      <c r="F140" t="str">
        <f>Raw_Data!F140</f>
        <v>Water Bottle</v>
      </c>
      <c r="G140" t="str">
        <f>Raw_Data!G140</f>
        <v>Corporate</v>
      </c>
      <c r="H140" t="str">
        <f>Raw_Data!H140</f>
        <v>Online</v>
      </c>
      <c r="I140">
        <f>Raw_Data!I140</f>
        <v>12</v>
      </c>
      <c r="J140" s="3">
        <f>Raw_Data!J140</f>
        <v>17.739999999999998</v>
      </c>
      <c r="K140" s="4">
        <f>Raw_Data!K140</f>
        <v>0</v>
      </c>
      <c r="L140" s="3">
        <f>Raw_Data!L140</f>
        <v>212.88</v>
      </c>
      <c r="M140" s="3">
        <f>Raw_Data!M140</f>
        <v>137.71</v>
      </c>
      <c r="N140" s="3">
        <f>Raw_Data!N140</f>
        <v>75.17</v>
      </c>
      <c r="O140" t="str">
        <f t="shared" si="6"/>
        <v>2025-02</v>
      </c>
      <c r="P140" s="5">
        <f t="shared" si="7"/>
        <v>0.35310973318301392</v>
      </c>
      <c r="Q140" s="3">
        <f t="shared" si="8"/>
        <v>212.88</v>
      </c>
    </row>
    <row r="141" spans="1:17" x14ac:dyDescent="0.35">
      <c r="A141" t="str">
        <f>Raw_Data!A141</f>
        <v>ORD-0562</v>
      </c>
      <c r="B141" s="2">
        <f>Raw_Data!B141</f>
        <v>45705</v>
      </c>
      <c r="C141" t="str">
        <f>Raw_Data!C141</f>
        <v>South</v>
      </c>
      <c r="D141" t="str">
        <f>Raw_Data!D141</f>
        <v>Chennai</v>
      </c>
      <c r="E141" t="str">
        <f>Raw_Data!E141</f>
        <v>Home &amp; Kitchen</v>
      </c>
      <c r="F141" t="str">
        <f>Raw_Data!F141</f>
        <v>Water Bottle</v>
      </c>
      <c r="G141" t="str">
        <f>Raw_Data!G141</f>
        <v>Consumer</v>
      </c>
      <c r="H141" t="str">
        <f>Raw_Data!H141</f>
        <v>Marketplace</v>
      </c>
      <c r="I141">
        <f>Raw_Data!I141</f>
        <v>8</v>
      </c>
      <c r="J141" s="3">
        <f>Raw_Data!J141</f>
        <v>15.34</v>
      </c>
      <c r="K141" s="4">
        <f>Raw_Data!K141</f>
        <v>0.1</v>
      </c>
      <c r="L141" s="3">
        <f>Raw_Data!L141</f>
        <v>110.45</v>
      </c>
      <c r="M141" s="3">
        <f>Raw_Data!M141</f>
        <v>76.23</v>
      </c>
      <c r="N141" s="3">
        <f>Raw_Data!N141</f>
        <v>34.22</v>
      </c>
      <c r="O141" t="str">
        <f t="shared" si="6"/>
        <v>2025-02</v>
      </c>
      <c r="P141" s="5">
        <f t="shared" si="7"/>
        <v>0.30982344952467178</v>
      </c>
      <c r="Q141" s="3">
        <f t="shared" si="8"/>
        <v>110.45</v>
      </c>
    </row>
    <row r="142" spans="1:17" x14ac:dyDescent="0.35">
      <c r="A142" t="str">
        <f>Raw_Data!A142</f>
        <v>ORD-0302</v>
      </c>
      <c r="B142" s="2">
        <f>Raw_Data!B142</f>
        <v>45705</v>
      </c>
      <c r="C142" t="str">
        <f>Raw_Data!C142</f>
        <v>North</v>
      </c>
      <c r="D142" t="str">
        <f>Raw_Data!D142</f>
        <v>Jaipur</v>
      </c>
      <c r="E142" t="str">
        <f>Raw_Data!E142</f>
        <v>Technology</v>
      </c>
      <c r="F142" t="str">
        <f>Raw_Data!F142</f>
        <v>Keyboard</v>
      </c>
      <c r="G142" t="str">
        <f>Raw_Data!G142</f>
        <v>Corporate</v>
      </c>
      <c r="H142" t="str">
        <f>Raw_Data!H142</f>
        <v>Online</v>
      </c>
      <c r="I142">
        <f>Raw_Data!I142</f>
        <v>9</v>
      </c>
      <c r="J142" s="3">
        <f>Raw_Data!J142</f>
        <v>31.83</v>
      </c>
      <c r="K142" s="4">
        <f>Raw_Data!K142</f>
        <v>0.05</v>
      </c>
      <c r="L142" s="3">
        <f>Raw_Data!L142</f>
        <v>272.14999999999998</v>
      </c>
      <c r="M142" s="3">
        <f>Raw_Data!M142</f>
        <v>176.91</v>
      </c>
      <c r="N142" s="3">
        <f>Raw_Data!N142</f>
        <v>95.24</v>
      </c>
      <c r="O142" t="str">
        <f t="shared" si="6"/>
        <v>2025-02</v>
      </c>
      <c r="P142" s="5">
        <f t="shared" si="7"/>
        <v>0.34995406944699614</v>
      </c>
      <c r="Q142" s="3">
        <f t="shared" si="8"/>
        <v>272.14999999999998</v>
      </c>
    </row>
    <row r="143" spans="1:17" x14ac:dyDescent="0.35">
      <c r="A143" t="str">
        <f>Raw_Data!A143</f>
        <v>ORD-0118</v>
      </c>
      <c r="B143" s="2">
        <f>Raw_Data!B143</f>
        <v>45706</v>
      </c>
      <c r="C143" t="str">
        <f>Raw_Data!C143</f>
        <v>West</v>
      </c>
      <c r="D143" t="str">
        <f>Raw_Data!D143</f>
        <v>Mumbai</v>
      </c>
      <c r="E143" t="str">
        <f>Raw_Data!E143</f>
        <v>Furniture</v>
      </c>
      <c r="F143" t="str">
        <f>Raw_Data!F143</f>
        <v>Standing Desk</v>
      </c>
      <c r="G143" t="str">
        <f>Raw_Data!G143</f>
        <v>Consumer</v>
      </c>
      <c r="H143" t="str">
        <f>Raw_Data!H143</f>
        <v>Online</v>
      </c>
      <c r="I143">
        <f>Raw_Data!I143</f>
        <v>6</v>
      </c>
      <c r="J143" s="3">
        <f>Raw_Data!J143</f>
        <v>281.52</v>
      </c>
      <c r="K143" s="4">
        <f>Raw_Data!K143</f>
        <v>0.05</v>
      </c>
      <c r="L143" s="3">
        <f>Raw_Data!L143</f>
        <v>1604.66</v>
      </c>
      <c r="M143" s="3">
        <f>Raw_Data!M143</f>
        <v>1294</v>
      </c>
      <c r="N143" s="3">
        <f>Raw_Data!N143</f>
        <v>310.66000000000003</v>
      </c>
      <c r="O143" t="str">
        <f t="shared" si="6"/>
        <v>2025-02</v>
      </c>
      <c r="P143" s="5">
        <f t="shared" si="7"/>
        <v>0.19359864394949711</v>
      </c>
      <c r="Q143" s="3">
        <f t="shared" si="8"/>
        <v>1604.66</v>
      </c>
    </row>
    <row r="144" spans="1:17" x14ac:dyDescent="0.35">
      <c r="A144" t="str">
        <f>Raw_Data!A144</f>
        <v>ORD-0235</v>
      </c>
      <c r="B144" s="2">
        <f>Raw_Data!B144</f>
        <v>45706</v>
      </c>
      <c r="C144" t="str">
        <f>Raw_Data!C144</f>
        <v>North</v>
      </c>
      <c r="D144" t="str">
        <f>Raw_Data!D144</f>
        <v>Chandigarh</v>
      </c>
      <c r="E144" t="str">
        <f>Raw_Data!E144</f>
        <v>Technology</v>
      </c>
      <c r="F144" t="str">
        <f>Raw_Data!F144</f>
        <v>Keyboard</v>
      </c>
      <c r="G144" t="str">
        <f>Raw_Data!G144</f>
        <v>Consumer</v>
      </c>
      <c r="H144" t="str">
        <f>Raw_Data!H144</f>
        <v>Marketplace</v>
      </c>
      <c r="I144">
        <f>Raw_Data!I144</f>
        <v>4</v>
      </c>
      <c r="J144" s="3">
        <f>Raw_Data!J144</f>
        <v>37.29</v>
      </c>
      <c r="K144" s="4">
        <f>Raw_Data!K144</f>
        <v>0.15</v>
      </c>
      <c r="L144" s="3">
        <f>Raw_Data!L144</f>
        <v>126.79</v>
      </c>
      <c r="M144" s="3">
        <f>Raw_Data!M144</f>
        <v>92.87</v>
      </c>
      <c r="N144" s="3">
        <f>Raw_Data!N144</f>
        <v>33.92</v>
      </c>
      <c r="O144" t="str">
        <f t="shared" si="6"/>
        <v>2025-02</v>
      </c>
      <c r="P144" s="5">
        <f t="shared" si="7"/>
        <v>0.26752898493572047</v>
      </c>
      <c r="Q144" s="3">
        <f t="shared" si="8"/>
        <v>126.79</v>
      </c>
    </row>
    <row r="145" spans="1:17" x14ac:dyDescent="0.35">
      <c r="A145" t="str">
        <f>Raw_Data!A145</f>
        <v>ORD-0871</v>
      </c>
      <c r="B145" s="2">
        <f>Raw_Data!B145</f>
        <v>45707</v>
      </c>
      <c r="C145" t="str">
        <f>Raw_Data!C145</f>
        <v>South</v>
      </c>
      <c r="D145" t="str">
        <f>Raw_Data!D145</f>
        <v>Bengaluru</v>
      </c>
      <c r="E145" t="str">
        <f>Raw_Data!E145</f>
        <v>Technology</v>
      </c>
      <c r="F145" t="str">
        <f>Raw_Data!F145</f>
        <v>USB Hub</v>
      </c>
      <c r="G145" t="str">
        <f>Raw_Data!G145</f>
        <v>Consumer</v>
      </c>
      <c r="H145" t="str">
        <f>Raw_Data!H145</f>
        <v>In-Store</v>
      </c>
      <c r="I145">
        <f>Raw_Data!I145</f>
        <v>9</v>
      </c>
      <c r="J145" s="3">
        <f>Raw_Data!J145</f>
        <v>23.9</v>
      </c>
      <c r="K145" s="4">
        <f>Raw_Data!K145</f>
        <v>0.05</v>
      </c>
      <c r="L145" s="3">
        <f>Raw_Data!L145</f>
        <v>204.34</v>
      </c>
      <c r="M145" s="3">
        <f>Raw_Data!M145</f>
        <v>150.55000000000001</v>
      </c>
      <c r="N145" s="3">
        <f>Raw_Data!N145</f>
        <v>53.79</v>
      </c>
      <c r="O145" t="str">
        <f t="shared" si="6"/>
        <v>2025-02</v>
      </c>
      <c r="P145" s="5">
        <f t="shared" si="7"/>
        <v>0.26323774101986885</v>
      </c>
      <c r="Q145" s="3">
        <f t="shared" si="8"/>
        <v>204.34</v>
      </c>
    </row>
    <row r="146" spans="1:17" x14ac:dyDescent="0.35">
      <c r="A146" t="str">
        <f>Raw_Data!A146</f>
        <v>ORD-0497</v>
      </c>
      <c r="B146" s="2">
        <f>Raw_Data!B146</f>
        <v>45707</v>
      </c>
      <c r="C146" t="str">
        <f>Raw_Data!C146</f>
        <v>South</v>
      </c>
      <c r="D146" t="str">
        <f>Raw_Data!D146</f>
        <v>Bengaluru</v>
      </c>
      <c r="E146" t="str">
        <f>Raw_Data!E146</f>
        <v>Technology</v>
      </c>
      <c r="F146" t="str">
        <f>Raw_Data!F146</f>
        <v>Keyboard</v>
      </c>
      <c r="G146" t="str">
        <f>Raw_Data!G146</f>
        <v>Corporate</v>
      </c>
      <c r="H146" t="str">
        <f>Raw_Data!H146</f>
        <v>Marketplace</v>
      </c>
      <c r="I146">
        <f>Raw_Data!I146</f>
        <v>9</v>
      </c>
      <c r="J146" s="3">
        <f>Raw_Data!J146</f>
        <v>31.52</v>
      </c>
      <c r="K146" s="4">
        <f>Raw_Data!K146</f>
        <v>0</v>
      </c>
      <c r="L146" s="3">
        <f>Raw_Data!L146</f>
        <v>283.68</v>
      </c>
      <c r="M146" s="3">
        <f>Raw_Data!M146</f>
        <v>180.95</v>
      </c>
      <c r="N146" s="3">
        <f>Raw_Data!N146</f>
        <v>102.73</v>
      </c>
      <c r="O146" t="str">
        <f t="shared" si="6"/>
        <v>2025-02</v>
      </c>
      <c r="P146" s="5">
        <f t="shared" si="7"/>
        <v>0.3621333897349126</v>
      </c>
      <c r="Q146" s="3">
        <f t="shared" si="8"/>
        <v>283.68</v>
      </c>
    </row>
    <row r="147" spans="1:17" x14ac:dyDescent="0.35">
      <c r="A147" t="str">
        <f>Raw_Data!A147</f>
        <v>ORD-0589</v>
      </c>
      <c r="B147" s="2">
        <f>Raw_Data!B147</f>
        <v>45707</v>
      </c>
      <c r="C147" t="str">
        <f>Raw_Data!C147</f>
        <v>East</v>
      </c>
      <c r="D147" t="str">
        <f>Raw_Data!D147</f>
        <v>Guwahati</v>
      </c>
      <c r="E147" t="str">
        <f>Raw_Data!E147</f>
        <v>Furniture</v>
      </c>
      <c r="F147" t="str">
        <f>Raw_Data!F147</f>
        <v>Standing Desk</v>
      </c>
      <c r="G147" t="str">
        <f>Raw_Data!G147</f>
        <v>Consumer</v>
      </c>
      <c r="H147" t="str">
        <f>Raw_Data!H147</f>
        <v>In-Store</v>
      </c>
      <c r="I147">
        <f>Raw_Data!I147</f>
        <v>10</v>
      </c>
      <c r="J147" s="3">
        <f>Raw_Data!J147</f>
        <v>304.54000000000002</v>
      </c>
      <c r="K147" s="4">
        <f>Raw_Data!K147</f>
        <v>0.05</v>
      </c>
      <c r="L147" s="3">
        <f>Raw_Data!L147</f>
        <v>2893.13</v>
      </c>
      <c r="M147" s="3">
        <f>Raw_Data!M147</f>
        <v>1767.82</v>
      </c>
      <c r="N147" s="3">
        <f>Raw_Data!N147</f>
        <v>1125.31</v>
      </c>
      <c r="O147" t="str">
        <f t="shared" si="6"/>
        <v>2025-02</v>
      </c>
      <c r="P147" s="5">
        <f t="shared" si="7"/>
        <v>0.38895936235150164</v>
      </c>
      <c r="Q147" s="3">
        <f t="shared" si="8"/>
        <v>2893.13</v>
      </c>
    </row>
    <row r="148" spans="1:17" x14ac:dyDescent="0.35">
      <c r="A148" t="str">
        <f>Raw_Data!A148</f>
        <v>ORD-0225</v>
      </c>
      <c r="B148" s="2">
        <f>Raw_Data!B148</f>
        <v>45708</v>
      </c>
      <c r="C148" t="str">
        <f>Raw_Data!C148</f>
        <v>South</v>
      </c>
      <c r="D148" t="str">
        <f>Raw_Data!D148</f>
        <v>Bengaluru</v>
      </c>
      <c r="E148" t="str">
        <f>Raw_Data!E148</f>
        <v>Home &amp; Kitchen</v>
      </c>
      <c r="F148" t="str">
        <f>Raw_Data!F148</f>
        <v>Coffee Maker</v>
      </c>
      <c r="G148" t="str">
        <f>Raw_Data!G148</f>
        <v>Corporate</v>
      </c>
      <c r="H148" t="str">
        <f>Raw_Data!H148</f>
        <v>Online</v>
      </c>
      <c r="I148">
        <f>Raw_Data!I148</f>
        <v>4</v>
      </c>
      <c r="J148" s="3">
        <f>Raw_Data!J148</f>
        <v>70.540000000000006</v>
      </c>
      <c r="K148" s="4">
        <f>Raw_Data!K148</f>
        <v>0.1</v>
      </c>
      <c r="L148" s="3">
        <f>Raw_Data!L148</f>
        <v>253.94</v>
      </c>
      <c r="M148" s="3">
        <f>Raw_Data!M148</f>
        <v>139.31</v>
      </c>
      <c r="N148" s="3">
        <f>Raw_Data!N148</f>
        <v>114.63</v>
      </c>
      <c r="O148" t="str">
        <f t="shared" si="6"/>
        <v>2025-02</v>
      </c>
      <c r="P148" s="5">
        <f t="shared" si="7"/>
        <v>0.45140584390013389</v>
      </c>
      <c r="Q148" s="3">
        <f t="shared" si="8"/>
        <v>253.94</v>
      </c>
    </row>
    <row r="149" spans="1:17" x14ac:dyDescent="0.35">
      <c r="A149" t="str">
        <f>Raw_Data!A149</f>
        <v>ORD-0703</v>
      </c>
      <c r="B149" s="2">
        <f>Raw_Data!B149</f>
        <v>45709</v>
      </c>
      <c r="C149" t="str">
        <f>Raw_Data!C149</f>
        <v>East</v>
      </c>
      <c r="D149" t="str">
        <f>Raw_Data!D149</f>
        <v>Kolkata</v>
      </c>
      <c r="E149" t="str">
        <f>Raw_Data!E149</f>
        <v>Office Supplies</v>
      </c>
      <c r="F149" t="str">
        <f>Raw_Data!F149</f>
        <v>Desk Organizer</v>
      </c>
      <c r="G149" t="str">
        <f>Raw_Data!G149</f>
        <v>Small Business</v>
      </c>
      <c r="H149" t="str">
        <f>Raw_Data!H149</f>
        <v>Marketplace</v>
      </c>
      <c r="I149">
        <f>Raw_Data!I149</f>
        <v>9</v>
      </c>
      <c r="J149" s="3">
        <f>Raw_Data!J149</f>
        <v>18.34</v>
      </c>
      <c r="K149" s="4">
        <f>Raw_Data!K149</f>
        <v>0.1</v>
      </c>
      <c r="L149" s="3">
        <f>Raw_Data!L149</f>
        <v>148.55000000000001</v>
      </c>
      <c r="M149" s="3">
        <f>Raw_Data!M149</f>
        <v>109.04</v>
      </c>
      <c r="N149" s="3">
        <f>Raw_Data!N149</f>
        <v>39.51</v>
      </c>
      <c r="O149" t="str">
        <f t="shared" si="6"/>
        <v>2025-02</v>
      </c>
      <c r="P149" s="5">
        <f t="shared" si="7"/>
        <v>0.26597105351733419</v>
      </c>
      <c r="Q149" s="3">
        <f t="shared" si="8"/>
        <v>148.55000000000001</v>
      </c>
    </row>
    <row r="150" spans="1:17" x14ac:dyDescent="0.35">
      <c r="A150" t="str">
        <f>Raw_Data!A150</f>
        <v>ORD-0955</v>
      </c>
      <c r="B150" s="2">
        <f>Raw_Data!B150</f>
        <v>45709</v>
      </c>
      <c r="C150" t="str">
        <f>Raw_Data!C150</f>
        <v>North</v>
      </c>
      <c r="D150" t="str">
        <f>Raw_Data!D150</f>
        <v>Delhi</v>
      </c>
      <c r="E150" t="str">
        <f>Raw_Data!E150</f>
        <v>Home &amp; Kitchen</v>
      </c>
      <c r="F150" t="str">
        <f>Raw_Data!F150</f>
        <v>Lunch Box</v>
      </c>
      <c r="G150" t="str">
        <f>Raw_Data!G150</f>
        <v>Consumer</v>
      </c>
      <c r="H150" t="str">
        <f>Raw_Data!H150</f>
        <v>Online</v>
      </c>
      <c r="I150">
        <f>Raw_Data!I150</f>
        <v>1</v>
      </c>
      <c r="J150" s="3">
        <f>Raw_Data!J150</f>
        <v>17.77</v>
      </c>
      <c r="K150" s="4">
        <f>Raw_Data!K150</f>
        <v>0</v>
      </c>
      <c r="L150" s="3">
        <f>Raw_Data!L150</f>
        <v>17.77</v>
      </c>
      <c r="M150" s="3">
        <f>Raw_Data!M150</f>
        <v>12.6</v>
      </c>
      <c r="N150" s="3">
        <f>Raw_Data!N150</f>
        <v>5.17</v>
      </c>
      <c r="O150" t="str">
        <f t="shared" si="6"/>
        <v>2025-02</v>
      </c>
      <c r="P150" s="5">
        <f t="shared" si="7"/>
        <v>0.29093978615644345</v>
      </c>
      <c r="Q150" s="3">
        <f t="shared" si="8"/>
        <v>17.77</v>
      </c>
    </row>
    <row r="151" spans="1:17" x14ac:dyDescent="0.35">
      <c r="A151" t="str">
        <f>Raw_Data!A151</f>
        <v>ORD-0036</v>
      </c>
      <c r="B151" s="2">
        <f>Raw_Data!B151</f>
        <v>45710</v>
      </c>
      <c r="C151" t="str">
        <f>Raw_Data!C151</f>
        <v>South</v>
      </c>
      <c r="D151" t="str">
        <f>Raw_Data!D151</f>
        <v>Bengaluru</v>
      </c>
      <c r="E151" t="str">
        <f>Raw_Data!E151</f>
        <v>Furniture</v>
      </c>
      <c r="F151" t="str">
        <f>Raw_Data!F151</f>
        <v>Standing Desk</v>
      </c>
      <c r="G151" t="str">
        <f>Raw_Data!G151</f>
        <v>Small Business</v>
      </c>
      <c r="H151" t="str">
        <f>Raw_Data!H151</f>
        <v>Online</v>
      </c>
      <c r="I151">
        <f>Raw_Data!I151</f>
        <v>10</v>
      </c>
      <c r="J151" s="3">
        <f>Raw_Data!J151</f>
        <v>289.2</v>
      </c>
      <c r="K151" s="4">
        <f>Raw_Data!K151</f>
        <v>0</v>
      </c>
      <c r="L151" s="3">
        <f>Raw_Data!L151</f>
        <v>2892</v>
      </c>
      <c r="M151" s="3">
        <f>Raw_Data!M151</f>
        <v>2138.29</v>
      </c>
      <c r="N151" s="3">
        <f>Raw_Data!N151</f>
        <v>753.71</v>
      </c>
      <c r="O151" t="str">
        <f t="shared" si="6"/>
        <v>2025-02</v>
      </c>
      <c r="P151" s="5">
        <f t="shared" si="7"/>
        <v>0.26061894882434306</v>
      </c>
      <c r="Q151" s="3">
        <f t="shared" si="8"/>
        <v>2892</v>
      </c>
    </row>
    <row r="152" spans="1:17" x14ac:dyDescent="0.35">
      <c r="A152" t="str">
        <f>Raw_Data!A152</f>
        <v>ORD-0970</v>
      </c>
      <c r="B152" s="2">
        <f>Raw_Data!B152</f>
        <v>45712</v>
      </c>
      <c r="C152" t="str">
        <f>Raw_Data!C152</f>
        <v>South</v>
      </c>
      <c r="D152" t="str">
        <f>Raw_Data!D152</f>
        <v>Bengaluru</v>
      </c>
      <c r="E152" t="str">
        <f>Raw_Data!E152</f>
        <v>Technology</v>
      </c>
      <c r="F152" t="str">
        <f>Raw_Data!F152</f>
        <v>USB Hub</v>
      </c>
      <c r="G152" t="str">
        <f>Raw_Data!G152</f>
        <v>Consumer</v>
      </c>
      <c r="H152" t="str">
        <f>Raw_Data!H152</f>
        <v>Online</v>
      </c>
      <c r="I152">
        <f>Raw_Data!I152</f>
        <v>10</v>
      </c>
      <c r="J152" s="3">
        <f>Raw_Data!J152</f>
        <v>27.71</v>
      </c>
      <c r="K152" s="4">
        <f>Raw_Data!K152</f>
        <v>0</v>
      </c>
      <c r="L152" s="3">
        <f>Raw_Data!L152</f>
        <v>277.10000000000002</v>
      </c>
      <c r="M152" s="3">
        <f>Raw_Data!M152</f>
        <v>145.22</v>
      </c>
      <c r="N152" s="3">
        <f>Raw_Data!N152</f>
        <v>131.88</v>
      </c>
      <c r="O152" t="str">
        <f t="shared" si="6"/>
        <v>2025-02</v>
      </c>
      <c r="P152" s="5">
        <f t="shared" si="7"/>
        <v>0.47592926741248642</v>
      </c>
      <c r="Q152" s="3">
        <f t="shared" si="8"/>
        <v>277.10000000000002</v>
      </c>
    </row>
    <row r="153" spans="1:17" x14ac:dyDescent="0.35">
      <c r="A153" t="str">
        <f>Raw_Data!A153</f>
        <v>ORD-0014</v>
      </c>
      <c r="B153" s="2">
        <f>Raw_Data!B153</f>
        <v>45712</v>
      </c>
      <c r="C153" t="str">
        <f>Raw_Data!C153</f>
        <v>North</v>
      </c>
      <c r="D153" t="str">
        <f>Raw_Data!D153</f>
        <v>Chandigarh</v>
      </c>
      <c r="E153" t="str">
        <f>Raw_Data!E153</f>
        <v>Furniture</v>
      </c>
      <c r="F153" t="str">
        <f>Raw_Data!F153</f>
        <v>Desk Lamp</v>
      </c>
      <c r="G153" t="str">
        <f>Raw_Data!G153</f>
        <v>Corporate</v>
      </c>
      <c r="H153" t="str">
        <f>Raw_Data!H153</f>
        <v>In-Store</v>
      </c>
      <c r="I153">
        <f>Raw_Data!I153</f>
        <v>3</v>
      </c>
      <c r="J153" s="3">
        <f>Raw_Data!J153</f>
        <v>37.270000000000003</v>
      </c>
      <c r="K153" s="4">
        <f>Raw_Data!K153</f>
        <v>0</v>
      </c>
      <c r="L153" s="3">
        <f>Raw_Data!L153</f>
        <v>111.81</v>
      </c>
      <c r="M153" s="3">
        <f>Raw_Data!M153</f>
        <v>71.760000000000005</v>
      </c>
      <c r="N153" s="3">
        <f>Raw_Data!N153</f>
        <v>40.049999999999997</v>
      </c>
      <c r="O153" t="str">
        <f t="shared" si="6"/>
        <v>2025-02</v>
      </c>
      <c r="P153" s="5">
        <f t="shared" si="7"/>
        <v>0.35819694123960288</v>
      </c>
      <c r="Q153" s="3">
        <f t="shared" si="8"/>
        <v>111.81</v>
      </c>
    </row>
    <row r="154" spans="1:17" x14ac:dyDescent="0.35">
      <c r="A154" t="str">
        <f>Raw_Data!A154</f>
        <v>ORD-0750</v>
      </c>
      <c r="B154" s="2">
        <f>Raw_Data!B154</f>
        <v>45712</v>
      </c>
      <c r="C154" t="str">
        <f>Raw_Data!C154</f>
        <v>East</v>
      </c>
      <c r="D154" t="str">
        <f>Raw_Data!D154</f>
        <v>Bhubaneswar</v>
      </c>
      <c r="E154" t="str">
        <f>Raw_Data!E154</f>
        <v>Technology</v>
      </c>
      <c r="F154" t="str">
        <f>Raw_Data!F154</f>
        <v>Wireless Mouse</v>
      </c>
      <c r="G154" t="str">
        <f>Raw_Data!G154</f>
        <v>Consumer</v>
      </c>
      <c r="H154" t="str">
        <f>Raw_Data!H154</f>
        <v>Marketplace</v>
      </c>
      <c r="I154">
        <f>Raw_Data!I154</f>
        <v>9</v>
      </c>
      <c r="J154" s="3">
        <f>Raw_Data!J154</f>
        <v>15.96</v>
      </c>
      <c r="K154" s="4">
        <f>Raw_Data!K154</f>
        <v>0</v>
      </c>
      <c r="L154" s="3">
        <f>Raw_Data!L154</f>
        <v>143.63999999999999</v>
      </c>
      <c r="M154" s="3">
        <f>Raw_Data!M154</f>
        <v>106.47</v>
      </c>
      <c r="N154" s="3">
        <f>Raw_Data!N154</f>
        <v>37.17</v>
      </c>
      <c r="O154" t="str">
        <f t="shared" si="6"/>
        <v>2025-02</v>
      </c>
      <c r="P154" s="5">
        <f t="shared" si="7"/>
        <v>0.25877192982456143</v>
      </c>
      <c r="Q154" s="3">
        <f t="shared" si="8"/>
        <v>143.63999999999999</v>
      </c>
    </row>
    <row r="155" spans="1:17" x14ac:dyDescent="0.35">
      <c r="A155" t="str">
        <f>Raw_Data!A155</f>
        <v>ORD-0368</v>
      </c>
      <c r="B155" s="2">
        <f>Raw_Data!B155</f>
        <v>45713</v>
      </c>
      <c r="C155" t="str">
        <f>Raw_Data!C155</f>
        <v>East</v>
      </c>
      <c r="D155" t="str">
        <f>Raw_Data!D155</f>
        <v>Kolkata</v>
      </c>
      <c r="E155" t="str">
        <f>Raw_Data!E155</f>
        <v>Technology</v>
      </c>
      <c r="F155" t="str">
        <f>Raw_Data!F155</f>
        <v>Wireless Mouse</v>
      </c>
      <c r="G155" t="str">
        <f>Raw_Data!G155</f>
        <v>Small Business</v>
      </c>
      <c r="H155" t="str">
        <f>Raw_Data!H155</f>
        <v>Marketplace</v>
      </c>
      <c r="I155">
        <f>Raw_Data!I155</f>
        <v>12</v>
      </c>
      <c r="J155" s="3">
        <f>Raw_Data!J155</f>
        <v>16.03</v>
      </c>
      <c r="K155" s="4">
        <f>Raw_Data!K155</f>
        <v>0.1</v>
      </c>
      <c r="L155" s="3">
        <f>Raw_Data!L155</f>
        <v>173.12</v>
      </c>
      <c r="M155" s="3">
        <f>Raw_Data!M155</f>
        <v>114.28</v>
      </c>
      <c r="N155" s="3">
        <f>Raw_Data!N155</f>
        <v>58.84</v>
      </c>
      <c r="O155" t="str">
        <f t="shared" si="6"/>
        <v>2025-02</v>
      </c>
      <c r="P155" s="5">
        <f t="shared" si="7"/>
        <v>0.33987985212569316</v>
      </c>
      <c r="Q155" s="3">
        <f t="shared" si="8"/>
        <v>173.12</v>
      </c>
    </row>
    <row r="156" spans="1:17" x14ac:dyDescent="0.35">
      <c r="A156" t="str">
        <f>Raw_Data!A156</f>
        <v>ORD-0991</v>
      </c>
      <c r="B156" s="2">
        <f>Raw_Data!B156</f>
        <v>45713</v>
      </c>
      <c r="C156" t="str">
        <f>Raw_Data!C156</f>
        <v>West</v>
      </c>
      <c r="D156" t="str">
        <f>Raw_Data!D156</f>
        <v>Ahmedabad</v>
      </c>
      <c r="E156" t="str">
        <f>Raw_Data!E156</f>
        <v>Home &amp; Kitchen</v>
      </c>
      <c r="F156" t="str">
        <f>Raw_Data!F156</f>
        <v>Lunch Box</v>
      </c>
      <c r="G156" t="str">
        <f>Raw_Data!G156</f>
        <v>Consumer</v>
      </c>
      <c r="H156" t="str">
        <f>Raw_Data!H156</f>
        <v>Marketplace</v>
      </c>
      <c r="I156">
        <f>Raw_Data!I156</f>
        <v>4</v>
      </c>
      <c r="J156" s="3">
        <f>Raw_Data!J156</f>
        <v>19.809999999999999</v>
      </c>
      <c r="K156" s="4">
        <f>Raw_Data!K156</f>
        <v>0</v>
      </c>
      <c r="L156" s="3">
        <f>Raw_Data!L156</f>
        <v>79.239999999999995</v>
      </c>
      <c r="M156" s="3">
        <f>Raw_Data!M156</f>
        <v>45.58</v>
      </c>
      <c r="N156" s="3">
        <f>Raw_Data!N156</f>
        <v>33.659999999999997</v>
      </c>
      <c r="O156" t="str">
        <f t="shared" si="6"/>
        <v>2025-02</v>
      </c>
      <c r="P156" s="5">
        <f t="shared" si="7"/>
        <v>0.42478546188793537</v>
      </c>
      <c r="Q156" s="3">
        <f t="shared" si="8"/>
        <v>79.239999999999995</v>
      </c>
    </row>
    <row r="157" spans="1:17" x14ac:dyDescent="0.35">
      <c r="A157" t="str">
        <f>Raw_Data!A157</f>
        <v>ORD-0663</v>
      </c>
      <c r="B157" s="2">
        <f>Raw_Data!B157</f>
        <v>45713</v>
      </c>
      <c r="C157" t="str">
        <f>Raw_Data!C157</f>
        <v>East</v>
      </c>
      <c r="D157" t="str">
        <f>Raw_Data!D157</f>
        <v>Kolkata</v>
      </c>
      <c r="E157" t="str">
        <f>Raw_Data!E157</f>
        <v>Technology</v>
      </c>
      <c r="F157" t="str">
        <f>Raw_Data!F157</f>
        <v>Wireless Mouse</v>
      </c>
      <c r="G157" t="str">
        <f>Raw_Data!G157</f>
        <v>Corporate</v>
      </c>
      <c r="H157" t="str">
        <f>Raw_Data!H157</f>
        <v>Online</v>
      </c>
      <c r="I157">
        <f>Raw_Data!I157</f>
        <v>8</v>
      </c>
      <c r="J157" s="3">
        <f>Raw_Data!J157</f>
        <v>16.05</v>
      </c>
      <c r="K157" s="4">
        <f>Raw_Data!K157</f>
        <v>0.05</v>
      </c>
      <c r="L157" s="3">
        <f>Raw_Data!L157</f>
        <v>121.98</v>
      </c>
      <c r="M157" s="3">
        <f>Raw_Data!M157</f>
        <v>63.3</v>
      </c>
      <c r="N157" s="3">
        <f>Raw_Data!N157</f>
        <v>58.68</v>
      </c>
      <c r="O157" t="str">
        <f t="shared" si="6"/>
        <v>2025-02</v>
      </c>
      <c r="P157" s="5">
        <f t="shared" si="7"/>
        <v>0.48106246925725527</v>
      </c>
      <c r="Q157" s="3">
        <f t="shared" si="8"/>
        <v>121.98</v>
      </c>
    </row>
    <row r="158" spans="1:17" x14ac:dyDescent="0.35">
      <c r="A158" t="str">
        <f>Raw_Data!A158</f>
        <v>ORD-0927</v>
      </c>
      <c r="B158" s="2">
        <f>Raw_Data!B158</f>
        <v>45713</v>
      </c>
      <c r="C158" t="str">
        <f>Raw_Data!C158</f>
        <v>South</v>
      </c>
      <c r="D158" t="str">
        <f>Raw_Data!D158</f>
        <v>Chennai</v>
      </c>
      <c r="E158" t="str">
        <f>Raw_Data!E158</f>
        <v>Home &amp; Kitchen</v>
      </c>
      <c r="F158" t="str">
        <f>Raw_Data!F158</f>
        <v>Lunch Box</v>
      </c>
      <c r="G158" t="str">
        <f>Raw_Data!G158</f>
        <v>Consumer</v>
      </c>
      <c r="H158" t="str">
        <f>Raw_Data!H158</f>
        <v>Online</v>
      </c>
      <c r="I158">
        <f>Raw_Data!I158</f>
        <v>3</v>
      </c>
      <c r="J158" s="3">
        <f>Raw_Data!J158</f>
        <v>17.98</v>
      </c>
      <c r="K158" s="4">
        <f>Raw_Data!K158</f>
        <v>0.1</v>
      </c>
      <c r="L158" s="3">
        <f>Raw_Data!L158</f>
        <v>48.55</v>
      </c>
      <c r="M158" s="3">
        <f>Raw_Data!M158</f>
        <v>25.99</v>
      </c>
      <c r="N158" s="3">
        <f>Raw_Data!N158</f>
        <v>22.56</v>
      </c>
      <c r="O158" t="str">
        <f t="shared" si="6"/>
        <v>2025-02</v>
      </c>
      <c r="P158" s="5">
        <f t="shared" si="7"/>
        <v>0.46467559217301752</v>
      </c>
      <c r="Q158" s="3">
        <f t="shared" si="8"/>
        <v>48.55</v>
      </c>
    </row>
    <row r="159" spans="1:17" x14ac:dyDescent="0.35">
      <c r="A159" t="str">
        <f>Raw_Data!A159</f>
        <v>ORD-0115</v>
      </c>
      <c r="B159" s="2">
        <f>Raw_Data!B159</f>
        <v>45713</v>
      </c>
      <c r="C159" t="str">
        <f>Raw_Data!C159</f>
        <v>North</v>
      </c>
      <c r="D159" t="str">
        <f>Raw_Data!D159</f>
        <v>Jaipur</v>
      </c>
      <c r="E159" t="str">
        <f>Raw_Data!E159</f>
        <v>Home &amp; Kitchen</v>
      </c>
      <c r="F159" t="str">
        <f>Raw_Data!F159</f>
        <v>Lunch Box</v>
      </c>
      <c r="G159" t="str">
        <f>Raw_Data!G159</f>
        <v>Consumer</v>
      </c>
      <c r="H159" t="str">
        <f>Raw_Data!H159</f>
        <v>In-Store</v>
      </c>
      <c r="I159">
        <f>Raw_Data!I159</f>
        <v>2</v>
      </c>
      <c r="J159" s="3">
        <f>Raw_Data!J159</f>
        <v>23.29</v>
      </c>
      <c r="K159" s="4">
        <f>Raw_Data!K159</f>
        <v>0.05</v>
      </c>
      <c r="L159" s="3">
        <f>Raw_Data!L159</f>
        <v>44.25</v>
      </c>
      <c r="M159" s="3">
        <f>Raw_Data!M159</f>
        <v>30.86</v>
      </c>
      <c r="N159" s="3">
        <f>Raw_Data!N159</f>
        <v>13.39</v>
      </c>
      <c r="O159" t="str">
        <f t="shared" si="6"/>
        <v>2025-02</v>
      </c>
      <c r="P159" s="5">
        <f t="shared" si="7"/>
        <v>0.30259887005649722</v>
      </c>
      <c r="Q159" s="3">
        <f t="shared" si="8"/>
        <v>44.25</v>
      </c>
    </row>
    <row r="160" spans="1:17" x14ac:dyDescent="0.35">
      <c r="A160" t="str">
        <f>Raw_Data!A160</f>
        <v>ORD-0705</v>
      </c>
      <c r="B160" s="2">
        <f>Raw_Data!B160</f>
        <v>45714</v>
      </c>
      <c r="C160" t="str">
        <f>Raw_Data!C160</f>
        <v>West</v>
      </c>
      <c r="D160" t="str">
        <f>Raw_Data!D160</f>
        <v>Pune</v>
      </c>
      <c r="E160" t="str">
        <f>Raw_Data!E160</f>
        <v>Office Supplies</v>
      </c>
      <c r="F160" t="str">
        <f>Raw_Data!F160</f>
        <v>Pen Set</v>
      </c>
      <c r="G160" t="str">
        <f>Raw_Data!G160</f>
        <v>Small Business</v>
      </c>
      <c r="H160" t="str">
        <f>Raw_Data!H160</f>
        <v>In-Store</v>
      </c>
      <c r="I160">
        <f>Raw_Data!I160</f>
        <v>9</v>
      </c>
      <c r="J160" s="3">
        <f>Raw_Data!J160</f>
        <v>8.8000000000000007</v>
      </c>
      <c r="K160" s="4">
        <f>Raw_Data!K160</f>
        <v>0</v>
      </c>
      <c r="L160" s="3">
        <f>Raw_Data!L160</f>
        <v>79.2</v>
      </c>
      <c r="M160" s="3">
        <f>Raw_Data!M160</f>
        <v>58.14</v>
      </c>
      <c r="N160" s="3">
        <f>Raw_Data!N160</f>
        <v>21.06</v>
      </c>
      <c r="O160" t="str">
        <f t="shared" si="6"/>
        <v>2025-02</v>
      </c>
      <c r="P160" s="5">
        <f t="shared" si="7"/>
        <v>0.26590909090909087</v>
      </c>
      <c r="Q160" s="3">
        <f t="shared" si="8"/>
        <v>79.2</v>
      </c>
    </row>
    <row r="161" spans="1:17" x14ac:dyDescent="0.35">
      <c r="A161" t="str">
        <f>Raw_Data!A161</f>
        <v>ORD-0833</v>
      </c>
      <c r="B161" s="2">
        <f>Raw_Data!B161</f>
        <v>45714</v>
      </c>
      <c r="C161" t="str">
        <f>Raw_Data!C161</f>
        <v>South</v>
      </c>
      <c r="D161" t="str">
        <f>Raw_Data!D161</f>
        <v>Chennai</v>
      </c>
      <c r="E161" t="str">
        <f>Raw_Data!E161</f>
        <v>Office Supplies</v>
      </c>
      <c r="F161" t="str">
        <f>Raw_Data!F161</f>
        <v>Printer Paper</v>
      </c>
      <c r="G161" t="str">
        <f>Raw_Data!G161</f>
        <v>Consumer</v>
      </c>
      <c r="H161" t="str">
        <f>Raw_Data!H161</f>
        <v>Online</v>
      </c>
      <c r="I161">
        <f>Raw_Data!I161</f>
        <v>8</v>
      </c>
      <c r="J161" s="3">
        <f>Raw_Data!J161</f>
        <v>16.649999999999999</v>
      </c>
      <c r="K161" s="4">
        <f>Raw_Data!K161</f>
        <v>0.1</v>
      </c>
      <c r="L161" s="3">
        <f>Raw_Data!L161</f>
        <v>119.88</v>
      </c>
      <c r="M161" s="3">
        <f>Raw_Data!M161</f>
        <v>102.1</v>
      </c>
      <c r="N161" s="3">
        <f>Raw_Data!N161</f>
        <v>17.78</v>
      </c>
      <c r="O161" t="str">
        <f t="shared" si="6"/>
        <v>2025-02</v>
      </c>
      <c r="P161" s="5">
        <f t="shared" si="7"/>
        <v>0.148314981648315</v>
      </c>
      <c r="Q161" s="3">
        <f t="shared" si="8"/>
        <v>119.88</v>
      </c>
    </row>
    <row r="162" spans="1:17" x14ac:dyDescent="0.35">
      <c r="A162" t="str">
        <f>Raw_Data!A162</f>
        <v>ORD-0320</v>
      </c>
      <c r="B162" s="2">
        <f>Raw_Data!B162</f>
        <v>45714</v>
      </c>
      <c r="C162" t="str">
        <f>Raw_Data!C162</f>
        <v>East</v>
      </c>
      <c r="D162" t="str">
        <f>Raw_Data!D162</f>
        <v>Kolkata</v>
      </c>
      <c r="E162" t="str">
        <f>Raw_Data!E162</f>
        <v>Furniture</v>
      </c>
      <c r="F162" t="str">
        <f>Raw_Data!F162</f>
        <v>Office Chair</v>
      </c>
      <c r="G162" t="str">
        <f>Raw_Data!G162</f>
        <v>Small Business</v>
      </c>
      <c r="H162" t="str">
        <f>Raw_Data!H162</f>
        <v>In-Store</v>
      </c>
      <c r="I162">
        <f>Raw_Data!I162</f>
        <v>6</v>
      </c>
      <c r="J162" s="3">
        <f>Raw_Data!J162</f>
        <v>159.01</v>
      </c>
      <c r="K162" s="4">
        <f>Raw_Data!K162</f>
        <v>0.1</v>
      </c>
      <c r="L162" s="3">
        <f>Raw_Data!L162</f>
        <v>858.65</v>
      </c>
      <c r="M162" s="3">
        <f>Raw_Data!M162</f>
        <v>625.67999999999995</v>
      </c>
      <c r="N162" s="3">
        <f>Raw_Data!N162</f>
        <v>232.97</v>
      </c>
      <c r="O162" t="str">
        <f t="shared" si="6"/>
        <v>2025-02</v>
      </c>
      <c r="P162" s="5">
        <f t="shared" si="7"/>
        <v>0.27132126011762653</v>
      </c>
      <c r="Q162" s="3">
        <f t="shared" si="8"/>
        <v>858.65</v>
      </c>
    </row>
    <row r="163" spans="1:17" x14ac:dyDescent="0.35">
      <c r="A163" t="str">
        <f>Raw_Data!A163</f>
        <v>ORD-0936</v>
      </c>
      <c r="B163" s="2">
        <f>Raw_Data!B163</f>
        <v>45714</v>
      </c>
      <c r="C163" t="str">
        <f>Raw_Data!C163</f>
        <v>North</v>
      </c>
      <c r="D163" t="str">
        <f>Raw_Data!D163</f>
        <v>Delhi</v>
      </c>
      <c r="E163" t="str">
        <f>Raw_Data!E163</f>
        <v>Furniture</v>
      </c>
      <c r="F163" t="str">
        <f>Raw_Data!F163</f>
        <v>Bookshelf</v>
      </c>
      <c r="G163" t="str">
        <f>Raw_Data!G163</f>
        <v>Consumer</v>
      </c>
      <c r="H163" t="str">
        <f>Raw_Data!H163</f>
        <v>Online</v>
      </c>
      <c r="I163">
        <f>Raw_Data!I163</f>
        <v>5</v>
      </c>
      <c r="J163" s="3">
        <f>Raw_Data!J163</f>
        <v>129.81</v>
      </c>
      <c r="K163" s="4">
        <f>Raw_Data!K163</f>
        <v>0.1</v>
      </c>
      <c r="L163" s="3">
        <f>Raw_Data!L163</f>
        <v>584.14</v>
      </c>
      <c r="M163" s="3">
        <f>Raw_Data!M163</f>
        <v>359.63</v>
      </c>
      <c r="N163" s="3">
        <f>Raw_Data!N163</f>
        <v>224.51</v>
      </c>
      <c r="O163" t="str">
        <f t="shared" si="6"/>
        <v>2025-02</v>
      </c>
      <c r="P163" s="5">
        <f t="shared" si="7"/>
        <v>0.38434279453555653</v>
      </c>
      <c r="Q163" s="3">
        <f t="shared" si="8"/>
        <v>584.14</v>
      </c>
    </row>
    <row r="164" spans="1:17" x14ac:dyDescent="0.35">
      <c r="A164" t="str">
        <f>Raw_Data!A164</f>
        <v>ORD-0615</v>
      </c>
      <c r="B164" s="2">
        <f>Raw_Data!B164</f>
        <v>45715</v>
      </c>
      <c r="C164" t="str">
        <f>Raw_Data!C164</f>
        <v>East</v>
      </c>
      <c r="D164" t="str">
        <f>Raw_Data!D164</f>
        <v>Bhubaneswar</v>
      </c>
      <c r="E164" t="str">
        <f>Raw_Data!E164</f>
        <v>Office Supplies</v>
      </c>
      <c r="F164" t="str">
        <f>Raw_Data!F164</f>
        <v>Printer Paper</v>
      </c>
      <c r="G164" t="str">
        <f>Raw_Data!G164</f>
        <v>Small Business</v>
      </c>
      <c r="H164" t="str">
        <f>Raw_Data!H164</f>
        <v>Online</v>
      </c>
      <c r="I164">
        <f>Raw_Data!I164</f>
        <v>8</v>
      </c>
      <c r="J164" s="3">
        <f>Raw_Data!J164</f>
        <v>13.68</v>
      </c>
      <c r="K164" s="4">
        <f>Raw_Data!K164</f>
        <v>0</v>
      </c>
      <c r="L164" s="3">
        <f>Raw_Data!L164</f>
        <v>109.44</v>
      </c>
      <c r="M164" s="3">
        <f>Raw_Data!M164</f>
        <v>54.31</v>
      </c>
      <c r="N164" s="3">
        <f>Raw_Data!N164</f>
        <v>55.13</v>
      </c>
      <c r="O164" t="str">
        <f t="shared" si="6"/>
        <v>2025-02</v>
      </c>
      <c r="P164" s="5">
        <f t="shared" si="7"/>
        <v>0.50374634502923976</v>
      </c>
      <c r="Q164" s="3">
        <f t="shared" si="8"/>
        <v>109.44</v>
      </c>
    </row>
    <row r="165" spans="1:17" x14ac:dyDescent="0.35">
      <c r="A165" t="str">
        <f>Raw_Data!A165</f>
        <v>ORD-0584</v>
      </c>
      <c r="B165" s="2">
        <f>Raw_Data!B165</f>
        <v>45715</v>
      </c>
      <c r="C165" t="str">
        <f>Raw_Data!C165</f>
        <v>South</v>
      </c>
      <c r="D165" t="str">
        <f>Raw_Data!D165</f>
        <v>Hyderabad</v>
      </c>
      <c r="E165" t="str">
        <f>Raw_Data!E165</f>
        <v>Office Supplies</v>
      </c>
      <c r="F165" t="str">
        <f>Raw_Data!F165</f>
        <v>Pen Set</v>
      </c>
      <c r="G165" t="str">
        <f>Raw_Data!G165</f>
        <v>Small Business</v>
      </c>
      <c r="H165" t="str">
        <f>Raw_Data!H165</f>
        <v>Online</v>
      </c>
      <c r="I165">
        <f>Raw_Data!I165</f>
        <v>11</v>
      </c>
      <c r="J165" s="3">
        <f>Raw_Data!J165</f>
        <v>8.0500000000000007</v>
      </c>
      <c r="K165" s="4">
        <f>Raw_Data!K165</f>
        <v>0</v>
      </c>
      <c r="L165" s="3">
        <f>Raw_Data!L165</f>
        <v>88.55</v>
      </c>
      <c r="M165" s="3">
        <f>Raw_Data!M165</f>
        <v>49.44</v>
      </c>
      <c r="N165" s="3">
        <f>Raw_Data!N165</f>
        <v>39.11</v>
      </c>
      <c r="O165" t="str">
        <f t="shared" si="6"/>
        <v>2025-02</v>
      </c>
      <c r="P165" s="5">
        <f t="shared" si="7"/>
        <v>0.4416713721061547</v>
      </c>
      <c r="Q165" s="3">
        <f t="shared" si="8"/>
        <v>88.55</v>
      </c>
    </row>
    <row r="166" spans="1:17" x14ac:dyDescent="0.35">
      <c r="A166" t="str">
        <f>Raw_Data!A166</f>
        <v>ORD-0126</v>
      </c>
      <c r="B166" s="2">
        <f>Raw_Data!B166</f>
        <v>45716</v>
      </c>
      <c r="C166" t="str">
        <f>Raw_Data!C166</f>
        <v>East</v>
      </c>
      <c r="D166" t="str">
        <f>Raw_Data!D166</f>
        <v>Bhubaneswar</v>
      </c>
      <c r="E166" t="str">
        <f>Raw_Data!E166</f>
        <v>Furniture</v>
      </c>
      <c r="F166" t="str">
        <f>Raw_Data!F166</f>
        <v>Standing Desk</v>
      </c>
      <c r="G166" t="str">
        <f>Raw_Data!G166</f>
        <v>Consumer</v>
      </c>
      <c r="H166" t="str">
        <f>Raw_Data!H166</f>
        <v>Online</v>
      </c>
      <c r="I166">
        <f>Raw_Data!I166</f>
        <v>2</v>
      </c>
      <c r="J166" s="3">
        <f>Raw_Data!J166</f>
        <v>246.78</v>
      </c>
      <c r="K166" s="4">
        <f>Raw_Data!K166</f>
        <v>0.15</v>
      </c>
      <c r="L166" s="3">
        <f>Raw_Data!L166</f>
        <v>419.53</v>
      </c>
      <c r="M166" s="3">
        <f>Raw_Data!M166</f>
        <v>308.95999999999998</v>
      </c>
      <c r="N166" s="3">
        <f>Raw_Data!N166</f>
        <v>110.57</v>
      </c>
      <c r="O166" t="str">
        <f t="shared" si="6"/>
        <v>2025-02</v>
      </c>
      <c r="P166" s="5">
        <f t="shared" si="7"/>
        <v>0.26355683741329583</v>
      </c>
      <c r="Q166" s="3">
        <f t="shared" si="8"/>
        <v>419.53</v>
      </c>
    </row>
    <row r="167" spans="1:17" x14ac:dyDescent="0.35">
      <c r="A167" t="str">
        <f>Raw_Data!A167</f>
        <v>ORD-0058</v>
      </c>
      <c r="B167" s="2">
        <f>Raw_Data!B167</f>
        <v>45716</v>
      </c>
      <c r="C167" t="str">
        <f>Raw_Data!C167</f>
        <v>North</v>
      </c>
      <c r="D167" t="str">
        <f>Raw_Data!D167</f>
        <v>Delhi</v>
      </c>
      <c r="E167" t="str">
        <f>Raw_Data!E167</f>
        <v>Office Supplies</v>
      </c>
      <c r="F167" t="str">
        <f>Raw_Data!F167</f>
        <v>Printer Paper</v>
      </c>
      <c r="G167" t="str">
        <f>Raw_Data!G167</f>
        <v>Consumer</v>
      </c>
      <c r="H167" t="str">
        <f>Raw_Data!H167</f>
        <v>In-Store</v>
      </c>
      <c r="I167">
        <f>Raw_Data!I167</f>
        <v>12</v>
      </c>
      <c r="J167" s="3">
        <f>Raw_Data!J167</f>
        <v>14.1</v>
      </c>
      <c r="K167" s="4">
        <f>Raw_Data!K167</f>
        <v>0.05</v>
      </c>
      <c r="L167" s="3">
        <f>Raw_Data!L167</f>
        <v>160.74</v>
      </c>
      <c r="M167" s="3">
        <f>Raw_Data!M167</f>
        <v>89.73</v>
      </c>
      <c r="N167" s="3">
        <f>Raw_Data!N167</f>
        <v>71.010000000000005</v>
      </c>
      <c r="O167" t="str">
        <f t="shared" si="6"/>
        <v>2025-02</v>
      </c>
      <c r="P167" s="5">
        <f t="shared" si="7"/>
        <v>0.4417693169092945</v>
      </c>
      <c r="Q167" s="3">
        <f t="shared" si="8"/>
        <v>160.74</v>
      </c>
    </row>
    <row r="168" spans="1:17" x14ac:dyDescent="0.35">
      <c r="A168" t="str">
        <f>Raw_Data!A168</f>
        <v>ORD-0660</v>
      </c>
      <c r="B168" s="2">
        <f>Raw_Data!B168</f>
        <v>45717</v>
      </c>
      <c r="C168" t="str">
        <f>Raw_Data!C168</f>
        <v>West</v>
      </c>
      <c r="D168" t="str">
        <f>Raw_Data!D168</f>
        <v>Pune</v>
      </c>
      <c r="E168" t="str">
        <f>Raw_Data!E168</f>
        <v>Office Supplies</v>
      </c>
      <c r="F168" t="str">
        <f>Raw_Data!F168</f>
        <v>Notebook Pack</v>
      </c>
      <c r="G168" t="str">
        <f>Raw_Data!G168</f>
        <v>Corporate</v>
      </c>
      <c r="H168" t="str">
        <f>Raw_Data!H168</f>
        <v>Marketplace</v>
      </c>
      <c r="I168">
        <f>Raw_Data!I168</f>
        <v>8</v>
      </c>
      <c r="J168" s="3">
        <f>Raw_Data!J168</f>
        <v>11.66</v>
      </c>
      <c r="K168" s="4">
        <f>Raw_Data!K168</f>
        <v>0.05</v>
      </c>
      <c r="L168" s="3">
        <f>Raw_Data!L168</f>
        <v>88.62</v>
      </c>
      <c r="M168" s="3">
        <f>Raw_Data!M168</f>
        <v>48.66</v>
      </c>
      <c r="N168" s="3">
        <f>Raw_Data!N168</f>
        <v>39.96</v>
      </c>
      <c r="O168" t="str">
        <f t="shared" si="6"/>
        <v>2025-03</v>
      </c>
      <c r="P168" s="5">
        <f t="shared" si="7"/>
        <v>0.45091401489505756</v>
      </c>
      <c r="Q168" s="3">
        <f t="shared" si="8"/>
        <v>88.62</v>
      </c>
    </row>
    <row r="169" spans="1:17" x14ac:dyDescent="0.35">
      <c r="A169" t="str">
        <f>Raw_Data!A169</f>
        <v>ORD-0886</v>
      </c>
      <c r="B169" s="2">
        <f>Raw_Data!B169</f>
        <v>45717</v>
      </c>
      <c r="C169" t="str">
        <f>Raw_Data!C169</f>
        <v>North</v>
      </c>
      <c r="D169" t="str">
        <f>Raw_Data!D169</f>
        <v>Delhi</v>
      </c>
      <c r="E169" t="str">
        <f>Raw_Data!E169</f>
        <v>Furniture</v>
      </c>
      <c r="F169" t="str">
        <f>Raw_Data!F169</f>
        <v>Office Chair</v>
      </c>
      <c r="G169" t="str">
        <f>Raw_Data!G169</f>
        <v>Corporate</v>
      </c>
      <c r="H169" t="str">
        <f>Raw_Data!H169</f>
        <v>In-Store</v>
      </c>
      <c r="I169">
        <f>Raw_Data!I169</f>
        <v>2</v>
      </c>
      <c r="J169" s="3">
        <f>Raw_Data!J169</f>
        <v>127.77</v>
      </c>
      <c r="K169" s="4">
        <f>Raw_Data!K169</f>
        <v>0.15</v>
      </c>
      <c r="L169" s="3">
        <f>Raw_Data!L169</f>
        <v>217.21</v>
      </c>
      <c r="M169" s="3">
        <f>Raw_Data!M169</f>
        <v>194.51</v>
      </c>
      <c r="N169" s="3">
        <f>Raw_Data!N169</f>
        <v>22.7</v>
      </c>
      <c r="O169" t="str">
        <f t="shared" si="6"/>
        <v>2025-03</v>
      </c>
      <c r="P169" s="5">
        <f t="shared" si="7"/>
        <v>0.10450715897058145</v>
      </c>
      <c r="Q169" s="3">
        <f t="shared" si="8"/>
        <v>217.21</v>
      </c>
    </row>
    <row r="170" spans="1:17" x14ac:dyDescent="0.35">
      <c r="A170" t="str">
        <f>Raw_Data!A170</f>
        <v>ORD-0929</v>
      </c>
      <c r="B170" s="2">
        <f>Raw_Data!B170</f>
        <v>45718</v>
      </c>
      <c r="C170" t="str">
        <f>Raw_Data!C170</f>
        <v>West</v>
      </c>
      <c r="D170" t="str">
        <f>Raw_Data!D170</f>
        <v>Ahmedabad</v>
      </c>
      <c r="E170" t="str">
        <f>Raw_Data!E170</f>
        <v>Home &amp; Kitchen</v>
      </c>
      <c r="F170" t="str">
        <f>Raw_Data!F170</f>
        <v>Lunch Box</v>
      </c>
      <c r="G170" t="str">
        <f>Raw_Data!G170</f>
        <v>Corporate</v>
      </c>
      <c r="H170" t="str">
        <f>Raw_Data!H170</f>
        <v>Marketplace</v>
      </c>
      <c r="I170">
        <f>Raw_Data!I170</f>
        <v>9</v>
      </c>
      <c r="J170" s="3">
        <f>Raw_Data!J170</f>
        <v>20.47</v>
      </c>
      <c r="K170" s="4">
        <f>Raw_Data!K170</f>
        <v>0</v>
      </c>
      <c r="L170" s="3">
        <f>Raw_Data!L170</f>
        <v>184.23</v>
      </c>
      <c r="M170" s="3">
        <f>Raw_Data!M170</f>
        <v>106.39</v>
      </c>
      <c r="N170" s="3">
        <f>Raw_Data!N170</f>
        <v>77.84</v>
      </c>
      <c r="O170" t="str">
        <f t="shared" si="6"/>
        <v>2025-03</v>
      </c>
      <c r="P170" s="5">
        <f t="shared" si="7"/>
        <v>0.42251533409325304</v>
      </c>
      <c r="Q170" s="3">
        <f t="shared" si="8"/>
        <v>184.23</v>
      </c>
    </row>
    <row r="171" spans="1:17" x14ac:dyDescent="0.35">
      <c r="A171" t="str">
        <f>Raw_Data!A171</f>
        <v>ORD-0709</v>
      </c>
      <c r="B171" s="2">
        <f>Raw_Data!B171</f>
        <v>45718</v>
      </c>
      <c r="C171" t="str">
        <f>Raw_Data!C171</f>
        <v>South</v>
      </c>
      <c r="D171" t="str">
        <f>Raw_Data!D171</f>
        <v>Chennai</v>
      </c>
      <c r="E171" t="str">
        <f>Raw_Data!E171</f>
        <v>Technology</v>
      </c>
      <c r="F171" t="str">
        <f>Raw_Data!F171</f>
        <v>USB Hub</v>
      </c>
      <c r="G171" t="str">
        <f>Raw_Data!G171</f>
        <v>Consumer</v>
      </c>
      <c r="H171" t="str">
        <f>Raw_Data!H171</f>
        <v>In-Store</v>
      </c>
      <c r="I171">
        <f>Raw_Data!I171</f>
        <v>8</v>
      </c>
      <c r="J171" s="3">
        <f>Raw_Data!J171</f>
        <v>27.35</v>
      </c>
      <c r="K171" s="4">
        <f>Raw_Data!K171</f>
        <v>0.1</v>
      </c>
      <c r="L171" s="3">
        <f>Raw_Data!L171</f>
        <v>196.92</v>
      </c>
      <c r="M171" s="3">
        <f>Raw_Data!M171</f>
        <v>112.8</v>
      </c>
      <c r="N171" s="3">
        <f>Raw_Data!N171</f>
        <v>84.12</v>
      </c>
      <c r="O171" t="str">
        <f t="shared" si="6"/>
        <v>2025-03</v>
      </c>
      <c r="P171" s="5">
        <f t="shared" si="7"/>
        <v>0.42717854966483854</v>
      </c>
      <c r="Q171" s="3">
        <f t="shared" si="8"/>
        <v>196.92</v>
      </c>
    </row>
    <row r="172" spans="1:17" x14ac:dyDescent="0.35">
      <c r="A172" t="str">
        <f>Raw_Data!A172</f>
        <v>ORD-0614</v>
      </c>
      <c r="B172" s="2">
        <f>Raw_Data!B172</f>
        <v>45718</v>
      </c>
      <c r="C172" t="str">
        <f>Raw_Data!C172</f>
        <v>South</v>
      </c>
      <c r="D172" t="str">
        <f>Raw_Data!D172</f>
        <v>Bengaluru</v>
      </c>
      <c r="E172" t="str">
        <f>Raw_Data!E172</f>
        <v>Technology</v>
      </c>
      <c r="F172" t="str">
        <f>Raw_Data!F172</f>
        <v>Headphones</v>
      </c>
      <c r="G172" t="str">
        <f>Raw_Data!G172</f>
        <v>Small Business</v>
      </c>
      <c r="H172" t="str">
        <f>Raw_Data!H172</f>
        <v>Online</v>
      </c>
      <c r="I172">
        <f>Raw_Data!I172</f>
        <v>9</v>
      </c>
      <c r="J172" s="3">
        <f>Raw_Data!J172</f>
        <v>56.52</v>
      </c>
      <c r="K172" s="4">
        <f>Raw_Data!K172</f>
        <v>0.1</v>
      </c>
      <c r="L172" s="3">
        <f>Raw_Data!L172</f>
        <v>457.81</v>
      </c>
      <c r="M172" s="3">
        <f>Raw_Data!M172</f>
        <v>361.72</v>
      </c>
      <c r="N172" s="3">
        <f>Raw_Data!N172</f>
        <v>96.09</v>
      </c>
      <c r="O172" t="str">
        <f t="shared" si="6"/>
        <v>2025-03</v>
      </c>
      <c r="P172" s="5">
        <f t="shared" si="7"/>
        <v>0.20989056595530897</v>
      </c>
      <c r="Q172" s="3">
        <f t="shared" si="8"/>
        <v>457.81</v>
      </c>
    </row>
    <row r="173" spans="1:17" x14ac:dyDescent="0.35">
      <c r="A173" t="str">
        <f>Raw_Data!A173</f>
        <v>ORD-0823</v>
      </c>
      <c r="B173" s="2">
        <f>Raw_Data!B173</f>
        <v>45718</v>
      </c>
      <c r="C173" t="str">
        <f>Raw_Data!C173</f>
        <v>East</v>
      </c>
      <c r="D173" t="str">
        <f>Raw_Data!D173</f>
        <v>Guwahati</v>
      </c>
      <c r="E173" t="str">
        <f>Raw_Data!E173</f>
        <v>Technology</v>
      </c>
      <c r="F173" t="str">
        <f>Raw_Data!F173</f>
        <v>Headphones</v>
      </c>
      <c r="G173" t="str">
        <f>Raw_Data!G173</f>
        <v>Small Business</v>
      </c>
      <c r="H173" t="str">
        <f>Raw_Data!H173</f>
        <v>In-Store</v>
      </c>
      <c r="I173">
        <f>Raw_Data!I173</f>
        <v>1</v>
      </c>
      <c r="J173" s="3">
        <f>Raw_Data!J173</f>
        <v>57.26</v>
      </c>
      <c r="K173" s="4">
        <f>Raw_Data!K173</f>
        <v>0.05</v>
      </c>
      <c r="L173" s="3">
        <f>Raw_Data!L173</f>
        <v>54.4</v>
      </c>
      <c r="M173" s="3">
        <f>Raw_Data!M173</f>
        <v>30.86</v>
      </c>
      <c r="N173" s="3">
        <f>Raw_Data!N173</f>
        <v>23.54</v>
      </c>
      <c r="O173" t="str">
        <f t="shared" si="6"/>
        <v>2025-03</v>
      </c>
      <c r="P173" s="5">
        <f t="shared" si="7"/>
        <v>0.43272058823529413</v>
      </c>
      <c r="Q173" s="3">
        <f t="shared" si="8"/>
        <v>54.4</v>
      </c>
    </row>
    <row r="174" spans="1:17" x14ac:dyDescent="0.35">
      <c r="A174" t="str">
        <f>Raw_Data!A174</f>
        <v>ORD-0280</v>
      </c>
      <c r="B174" s="2">
        <f>Raw_Data!B174</f>
        <v>45719</v>
      </c>
      <c r="C174" t="str">
        <f>Raw_Data!C174</f>
        <v>North</v>
      </c>
      <c r="D174" t="str">
        <f>Raw_Data!D174</f>
        <v>Chandigarh</v>
      </c>
      <c r="E174" t="str">
        <f>Raw_Data!E174</f>
        <v>Home &amp; Kitchen</v>
      </c>
      <c r="F174" t="str">
        <f>Raw_Data!F174</f>
        <v>Storage Box</v>
      </c>
      <c r="G174" t="str">
        <f>Raw_Data!G174</f>
        <v>Consumer</v>
      </c>
      <c r="H174" t="str">
        <f>Raw_Data!H174</f>
        <v>In-Store</v>
      </c>
      <c r="I174">
        <f>Raw_Data!I174</f>
        <v>8</v>
      </c>
      <c r="J174" s="3">
        <f>Raw_Data!J174</f>
        <v>12.25</v>
      </c>
      <c r="K174" s="4">
        <f>Raw_Data!K174</f>
        <v>0.1</v>
      </c>
      <c r="L174" s="3">
        <f>Raw_Data!L174</f>
        <v>88.2</v>
      </c>
      <c r="M174" s="3">
        <f>Raw_Data!M174</f>
        <v>49.67</v>
      </c>
      <c r="N174" s="3">
        <f>Raw_Data!N174</f>
        <v>38.53</v>
      </c>
      <c r="O174" t="str">
        <f t="shared" si="6"/>
        <v>2025-03</v>
      </c>
      <c r="P174" s="5">
        <f t="shared" si="7"/>
        <v>0.4368480725623583</v>
      </c>
      <c r="Q174" s="3">
        <f t="shared" si="8"/>
        <v>88.2</v>
      </c>
    </row>
    <row r="175" spans="1:17" x14ac:dyDescent="0.35">
      <c r="A175" t="str">
        <f>Raw_Data!A175</f>
        <v>ORD-0359</v>
      </c>
      <c r="B175" s="2">
        <f>Raw_Data!B175</f>
        <v>45719</v>
      </c>
      <c r="C175" t="str">
        <f>Raw_Data!C175</f>
        <v>South</v>
      </c>
      <c r="D175" t="str">
        <f>Raw_Data!D175</f>
        <v>Hyderabad</v>
      </c>
      <c r="E175" t="str">
        <f>Raw_Data!E175</f>
        <v>Home &amp; Kitchen</v>
      </c>
      <c r="F175" t="str">
        <f>Raw_Data!F175</f>
        <v>Coffee Maker</v>
      </c>
      <c r="G175" t="str">
        <f>Raw_Data!G175</f>
        <v>Small Business</v>
      </c>
      <c r="H175" t="str">
        <f>Raw_Data!H175</f>
        <v>In-Store</v>
      </c>
      <c r="I175">
        <f>Raw_Data!I175</f>
        <v>7</v>
      </c>
      <c r="J175" s="3">
        <f>Raw_Data!J175</f>
        <v>62.56</v>
      </c>
      <c r="K175" s="4">
        <f>Raw_Data!K175</f>
        <v>0</v>
      </c>
      <c r="L175" s="3">
        <f>Raw_Data!L175</f>
        <v>437.92</v>
      </c>
      <c r="M175" s="3">
        <f>Raw_Data!M175</f>
        <v>228.25</v>
      </c>
      <c r="N175" s="3">
        <f>Raw_Data!N175</f>
        <v>209.67</v>
      </c>
      <c r="O175" t="str">
        <f t="shared" si="6"/>
        <v>2025-03</v>
      </c>
      <c r="P175" s="5">
        <f t="shared" si="7"/>
        <v>0.47878607964925096</v>
      </c>
      <c r="Q175" s="3">
        <f t="shared" si="8"/>
        <v>437.92</v>
      </c>
    </row>
    <row r="176" spans="1:17" x14ac:dyDescent="0.35">
      <c r="A176" t="str">
        <f>Raw_Data!A176</f>
        <v>ORD-0674</v>
      </c>
      <c r="B176" s="2">
        <f>Raw_Data!B176</f>
        <v>45720</v>
      </c>
      <c r="C176" t="str">
        <f>Raw_Data!C176</f>
        <v>North</v>
      </c>
      <c r="D176" t="str">
        <f>Raw_Data!D176</f>
        <v>Jaipur</v>
      </c>
      <c r="E176" t="str">
        <f>Raw_Data!E176</f>
        <v>Furniture</v>
      </c>
      <c r="F176" t="str">
        <f>Raw_Data!F176</f>
        <v>Standing Desk</v>
      </c>
      <c r="G176" t="str">
        <f>Raw_Data!G176</f>
        <v>Consumer</v>
      </c>
      <c r="H176" t="str">
        <f>Raw_Data!H176</f>
        <v>In-Store</v>
      </c>
      <c r="I176">
        <f>Raw_Data!I176</f>
        <v>8</v>
      </c>
      <c r="J176" s="3">
        <f>Raw_Data!J176</f>
        <v>242</v>
      </c>
      <c r="K176" s="4">
        <f>Raw_Data!K176</f>
        <v>0</v>
      </c>
      <c r="L176" s="3">
        <f>Raw_Data!L176</f>
        <v>1936</v>
      </c>
      <c r="M176" s="3">
        <f>Raw_Data!M176</f>
        <v>946.54</v>
      </c>
      <c r="N176" s="3">
        <f>Raw_Data!N176</f>
        <v>989.46</v>
      </c>
      <c r="O176" t="str">
        <f t="shared" si="6"/>
        <v>2025-03</v>
      </c>
      <c r="P176" s="5">
        <f t="shared" si="7"/>
        <v>0.51108471074380168</v>
      </c>
      <c r="Q176" s="3">
        <f t="shared" si="8"/>
        <v>1936</v>
      </c>
    </row>
    <row r="177" spans="1:17" x14ac:dyDescent="0.35">
      <c r="A177" t="str">
        <f>Raw_Data!A177</f>
        <v>ORD-0794</v>
      </c>
      <c r="B177" s="2">
        <f>Raw_Data!B177</f>
        <v>45720</v>
      </c>
      <c r="C177" t="str">
        <f>Raw_Data!C177</f>
        <v>South</v>
      </c>
      <c r="D177" t="str">
        <f>Raw_Data!D177</f>
        <v>Chennai</v>
      </c>
      <c r="E177" t="str">
        <f>Raw_Data!E177</f>
        <v>Home &amp; Kitchen</v>
      </c>
      <c r="F177" t="str">
        <f>Raw_Data!F177</f>
        <v>Lunch Box</v>
      </c>
      <c r="G177" t="str">
        <f>Raw_Data!G177</f>
        <v>Consumer</v>
      </c>
      <c r="H177" t="str">
        <f>Raw_Data!H177</f>
        <v>In-Store</v>
      </c>
      <c r="I177">
        <f>Raw_Data!I177</f>
        <v>6</v>
      </c>
      <c r="J177" s="3">
        <f>Raw_Data!J177</f>
        <v>20.62</v>
      </c>
      <c r="K177" s="4">
        <f>Raw_Data!K177</f>
        <v>0</v>
      </c>
      <c r="L177" s="3">
        <f>Raw_Data!L177</f>
        <v>123.72</v>
      </c>
      <c r="M177" s="3">
        <f>Raw_Data!M177</f>
        <v>92.19</v>
      </c>
      <c r="N177" s="3">
        <f>Raw_Data!N177</f>
        <v>31.53</v>
      </c>
      <c r="O177" t="str">
        <f t="shared" si="6"/>
        <v>2025-03</v>
      </c>
      <c r="P177" s="5">
        <f t="shared" si="7"/>
        <v>0.25484966052376334</v>
      </c>
      <c r="Q177" s="3">
        <f t="shared" si="8"/>
        <v>123.72</v>
      </c>
    </row>
    <row r="178" spans="1:17" x14ac:dyDescent="0.35">
      <c r="A178" t="str">
        <f>Raw_Data!A178</f>
        <v>ORD-0367</v>
      </c>
      <c r="B178" s="2">
        <f>Raw_Data!B178</f>
        <v>45721</v>
      </c>
      <c r="C178" t="str">
        <f>Raw_Data!C178</f>
        <v>North</v>
      </c>
      <c r="D178" t="str">
        <f>Raw_Data!D178</f>
        <v>Jaipur</v>
      </c>
      <c r="E178" t="str">
        <f>Raw_Data!E178</f>
        <v>Furniture</v>
      </c>
      <c r="F178" t="str">
        <f>Raw_Data!F178</f>
        <v>Office Chair</v>
      </c>
      <c r="G178" t="str">
        <f>Raw_Data!G178</f>
        <v>Corporate</v>
      </c>
      <c r="H178" t="str">
        <f>Raw_Data!H178</f>
        <v>Online</v>
      </c>
      <c r="I178">
        <f>Raw_Data!I178</f>
        <v>7</v>
      </c>
      <c r="J178" s="3">
        <f>Raw_Data!J178</f>
        <v>167.73</v>
      </c>
      <c r="K178" s="4">
        <f>Raw_Data!K178</f>
        <v>0.05</v>
      </c>
      <c r="L178" s="3">
        <f>Raw_Data!L178</f>
        <v>1115.4000000000001</v>
      </c>
      <c r="M178" s="3">
        <f>Raw_Data!M178</f>
        <v>835.23</v>
      </c>
      <c r="N178" s="3">
        <f>Raw_Data!N178</f>
        <v>280.17</v>
      </c>
      <c r="O178" t="str">
        <f t="shared" si="6"/>
        <v>2025-03</v>
      </c>
      <c r="P178" s="5">
        <f t="shared" si="7"/>
        <v>0.25118343195266274</v>
      </c>
      <c r="Q178" s="3">
        <f t="shared" si="8"/>
        <v>1115.4000000000001</v>
      </c>
    </row>
    <row r="179" spans="1:17" x14ac:dyDescent="0.35">
      <c r="A179" t="str">
        <f>Raw_Data!A179</f>
        <v>ORD-0664</v>
      </c>
      <c r="B179" s="2">
        <f>Raw_Data!B179</f>
        <v>45721</v>
      </c>
      <c r="C179" t="str">
        <f>Raw_Data!C179</f>
        <v>East</v>
      </c>
      <c r="D179" t="str">
        <f>Raw_Data!D179</f>
        <v>Bhubaneswar</v>
      </c>
      <c r="E179" t="str">
        <f>Raw_Data!E179</f>
        <v>Office Supplies</v>
      </c>
      <c r="F179" t="str">
        <f>Raw_Data!F179</f>
        <v>Pen Set</v>
      </c>
      <c r="G179" t="str">
        <f>Raw_Data!G179</f>
        <v>Corporate</v>
      </c>
      <c r="H179" t="str">
        <f>Raw_Data!H179</f>
        <v>In-Store</v>
      </c>
      <c r="I179">
        <f>Raw_Data!I179</f>
        <v>3</v>
      </c>
      <c r="J179" s="3">
        <f>Raw_Data!J179</f>
        <v>8.68</v>
      </c>
      <c r="K179" s="4">
        <f>Raw_Data!K179</f>
        <v>0</v>
      </c>
      <c r="L179" s="3">
        <f>Raw_Data!L179</f>
        <v>26.04</v>
      </c>
      <c r="M179" s="3">
        <f>Raw_Data!M179</f>
        <v>13.21</v>
      </c>
      <c r="N179" s="3">
        <f>Raw_Data!N179</f>
        <v>12.83</v>
      </c>
      <c r="O179" t="str">
        <f t="shared" si="6"/>
        <v>2025-03</v>
      </c>
      <c r="P179" s="5">
        <f t="shared" si="7"/>
        <v>0.49270353302611369</v>
      </c>
      <c r="Q179" s="3">
        <f t="shared" si="8"/>
        <v>26.04</v>
      </c>
    </row>
    <row r="180" spans="1:17" x14ac:dyDescent="0.35">
      <c r="A180" t="str">
        <f>Raw_Data!A180</f>
        <v>ORD-0113</v>
      </c>
      <c r="B180" s="2">
        <f>Raw_Data!B180</f>
        <v>45722</v>
      </c>
      <c r="C180" t="str">
        <f>Raw_Data!C180</f>
        <v>North</v>
      </c>
      <c r="D180" t="str">
        <f>Raw_Data!D180</f>
        <v>Delhi</v>
      </c>
      <c r="E180" t="str">
        <f>Raw_Data!E180</f>
        <v>Home &amp; Kitchen</v>
      </c>
      <c r="F180" t="str">
        <f>Raw_Data!F180</f>
        <v>Water Bottle</v>
      </c>
      <c r="G180" t="str">
        <f>Raw_Data!G180</f>
        <v>Small Business</v>
      </c>
      <c r="H180" t="str">
        <f>Raw_Data!H180</f>
        <v>Marketplace</v>
      </c>
      <c r="I180">
        <f>Raw_Data!I180</f>
        <v>12</v>
      </c>
      <c r="J180" s="3">
        <f>Raw_Data!J180</f>
        <v>13.96</v>
      </c>
      <c r="K180" s="4">
        <f>Raw_Data!K180</f>
        <v>0.1</v>
      </c>
      <c r="L180" s="3">
        <f>Raw_Data!L180</f>
        <v>150.77000000000001</v>
      </c>
      <c r="M180" s="3">
        <f>Raw_Data!M180</f>
        <v>119.51</v>
      </c>
      <c r="N180" s="3">
        <f>Raw_Data!N180</f>
        <v>31.26</v>
      </c>
      <c r="O180" t="str">
        <f t="shared" si="6"/>
        <v>2025-03</v>
      </c>
      <c r="P180" s="5">
        <f t="shared" si="7"/>
        <v>0.20733567685879153</v>
      </c>
      <c r="Q180" s="3">
        <f t="shared" si="8"/>
        <v>150.77000000000001</v>
      </c>
    </row>
    <row r="181" spans="1:17" x14ac:dyDescent="0.35">
      <c r="A181" t="str">
        <f>Raw_Data!A181</f>
        <v>ORD-0662</v>
      </c>
      <c r="B181" s="2">
        <f>Raw_Data!B181</f>
        <v>45722</v>
      </c>
      <c r="C181" t="str">
        <f>Raw_Data!C181</f>
        <v>West</v>
      </c>
      <c r="D181" t="str">
        <f>Raw_Data!D181</f>
        <v>Mumbai</v>
      </c>
      <c r="E181" t="str">
        <f>Raw_Data!E181</f>
        <v>Office Supplies</v>
      </c>
      <c r="F181" t="str">
        <f>Raw_Data!F181</f>
        <v>Pen Set</v>
      </c>
      <c r="G181" t="str">
        <f>Raw_Data!G181</f>
        <v>Small Business</v>
      </c>
      <c r="H181" t="str">
        <f>Raw_Data!H181</f>
        <v>Online</v>
      </c>
      <c r="I181">
        <f>Raw_Data!I181</f>
        <v>2</v>
      </c>
      <c r="J181" s="3">
        <f>Raw_Data!J181</f>
        <v>7.99</v>
      </c>
      <c r="K181" s="4">
        <f>Raw_Data!K181</f>
        <v>0</v>
      </c>
      <c r="L181" s="3">
        <f>Raw_Data!L181</f>
        <v>15.98</v>
      </c>
      <c r="M181" s="3">
        <f>Raw_Data!M181</f>
        <v>8.0399999999999991</v>
      </c>
      <c r="N181" s="3">
        <f>Raw_Data!N181</f>
        <v>7.94</v>
      </c>
      <c r="O181" t="str">
        <f t="shared" si="6"/>
        <v>2025-03</v>
      </c>
      <c r="P181" s="5">
        <f t="shared" si="7"/>
        <v>0.49687108886107634</v>
      </c>
      <c r="Q181" s="3">
        <f t="shared" si="8"/>
        <v>15.98</v>
      </c>
    </row>
    <row r="182" spans="1:17" x14ac:dyDescent="0.35">
      <c r="A182" t="str">
        <f>Raw_Data!A182</f>
        <v>ORD-0612</v>
      </c>
      <c r="B182" s="2">
        <f>Raw_Data!B182</f>
        <v>45722</v>
      </c>
      <c r="C182" t="str">
        <f>Raw_Data!C182</f>
        <v>South</v>
      </c>
      <c r="D182" t="str">
        <f>Raw_Data!D182</f>
        <v>Bengaluru</v>
      </c>
      <c r="E182" t="str">
        <f>Raw_Data!E182</f>
        <v>Office Supplies</v>
      </c>
      <c r="F182" t="str">
        <f>Raw_Data!F182</f>
        <v>Pen Set</v>
      </c>
      <c r="G182" t="str">
        <f>Raw_Data!G182</f>
        <v>Corporate</v>
      </c>
      <c r="H182" t="str">
        <f>Raw_Data!H182</f>
        <v>Marketplace</v>
      </c>
      <c r="I182">
        <f>Raw_Data!I182</f>
        <v>11</v>
      </c>
      <c r="J182" s="3">
        <f>Raw_Data!J182</f>
        <v>7.56</v>
      </c>
      <c r="K182" s="4">
        <f>Raw_Data!K182</f>
        <v>0.1</v>
      </c>
      <c r="L182" s="3">
        <f>Raw_Data!L182</f>
        <v>74.84</v>
      </c>
      <c r="M182" s="3">
        <f>Raw_Data!M182</f>
        <v>50.2</v>
      </c>
      <c r="N182" s="3">
        <f>Raw_Data!N182</f>
        <v>24.64</v>
      </c>
      <c r="O182" t="str">
        <f t="shared" si="6"/>
        <v>2025-03</v>
      </c>
      <c r="P182" s="5">
        <f t="shared" si="7"/>
        <v>0.32923570283270975</v>
      </c>
      <c r="Q182" s="3">
        <f t="shared" si="8"/>
        <v>74.84</v>
      </c>
    </row>
    <row r="183" spans="1:17" x14ac:dyDescent="0.35">
      <c r="A183" t="str">
        <f>Raw_Data!A183</f>
        <v>ORD-0908</v>
      </c>
      <c r="B183" s="2">
        <f>Raw_Data!B183</f>
        <v>45723</v>
      </c>
      <c r="C183" t="str">
        <f>Raw_Data!C183</f>
        <v>South</v>
      </c>
      <c r="D183" t="str">
        <f>Raw_Data!D183</f>
        <v>Bengaluru</v>
      </c>
      <c r="E183" t="str">
        <f>Raw_Data!E183</f>
        <v>Home &amp; Kitchen</v>
      </c>
      <c r="F183" t="str">
        <f>Raw_Data!F183</f>
        <v>Water Bottle</v>
      </c>
      <c r="G183" t="str">
        <f>Raw_Data!G183</f>
        <v>Small Business</v>
      </c>
      <c r="H183" t="str">
        <f>Raw_Data!H183</f>
        <v>In-Store</v>
      </c>
      <c r="I183">
        <f>Raw_Data!I183</f>
        <v>9</v>
      </c>
      <c r="J183" s="3">
        <f>Raw_Data!J183</f>
        <v>15.03</v>
      </c>
      <c r="K183" s="4">
        <f>Raw_Data!K183</f>
        <v>0.1</v>
      </c>
      <c r="L183" s="3">
        <f>Raw_Data!L183</f>
        <v>121.74</v>
      </c>
      <c r="M183" s="3">
        <f>Raw_Data!M183</f>
        <v>91.3</v>
      </c>
      <c r="N183" s="3">
        <f>Raw_Data!N183</f>
        <v>30.44</v>
      </c>
      <c r="O183" t="str">
        <f t="shared" si="6"/>
        <v>2025-03</v>
      </c>
      <c r="P183" s="5">
        <f t="shared" si="7"/>
        <v>0.25004107113520618</v>
      </c>
      <c r="Q183" s="3">
        <f t="shared" si="8"/>
        <v>121.74</v>
      </c>
    </row>
    <row r="184" spans="1:17" x14ac:dyDescent="0.35">
      <c r="A184" t="str">
        <f>Raw_Data!A184</f>
        <v>ORD-0572</v>
      </c>
      <c r="B184" s="2">
        <f>Raw_Data!B184</f>
        <v>45723</v>
      </c>
      <c r="C184" t="str">
        <f>Raw_Data!C184</f>
        <v>East</v>
      </c>
      <c r="D184" t="str">
        <f>Raw_Data!D184</f>
        <v>Kolkata</v>
      </c>
      <c r="E184" t="str">
        <f>Raw_Data!E184</f>
        <v>Furniture</v>
      </c>
      <c r="F184" t="str">
        <f>Raw_Data!F184</f>
        <v>Office Chair</v>
      </c>
      <c r="G184" t="str">
        <f>Raw_Data!G184</f>
        <v>Consumer</v>
      </c>
      <c r="H184" t="str">
        <f>Raw_Data!H184</f>
        <v>In-Store</v>
      </c>
      <c r="I184">
        <f>Raw_Data!I184</f>
        <v>6</v>
      </c>
      <c r="J184" s="3">
        <f>Raw_Data!J184</f>
        <v>168.98</v>
      </c>
      <c r="K184" s="4">
        <f>Raw_Data!K184</f>
        <v>0</v>
      </c>
      <c r="L184" s="3">
        <f>Raw_Data!L184</f>
        <v>1013.88</v>
      </c>
      <c r="M184" s="3">
        <f>Raw_Data!M184</f>
        <v>486.92</v>
      </c>
      <c r="N184" s="3">
        <f>Raw_Data!N184</f>
        <v>526.96</v>
      </c>
      <c r="O184" t="str">
        <f t="shared" si="6"/>
        <v>2025-03</v>
      </c>
      <c r="P184" s="5">
        <f t="shared" si="7"/>
        <v>0.51974592653962992</v>
      </c>
      <c r="Q184" s="3">
        <f t="shared" si="8"/>
        <v>1013.88</v>
      </c>
    </row>
    <row r="185" spans="1:17" x14ac:dyDescent="0.35">
      <c r="A185" t="str">
        <f>Raw_Data!A185</f>
        <v>ORD-0310</v>
      </c>
      <c r="B185" s="2">
        <f>Raw_Data!B185</f>
        <v>45723</v>
      </c>
      <c r="C185" t="str">
        <f>Raw_Data!C185</f>
        <v>West</v>
      </c>
      <c r="D185" t="str">
        <f>Raw_Data!D185</f>
        <v>Pune</v>
      </c>
      <c r="E185" t="str">
        <f>Raw_Data!E185</f>
        <v>Technology</v>
      </c>
      <c r="F185" t="str">
        <f>Raw_Data!F185</f>
        <v>Headphones</v>
      </c>
      <c r="G185" t="str">
        <f>Raw_Data!G185</f>
        <v>Corporate</v>
      </c>
      <c r="H185" t="str">
        <f>Raw_Data!H185</f>
        <v>In-Store</v>
      </c>
      <c r="I185">
        <f>Raw_Data!I185</f>
        <v>2</v>
      </c>
      <c r="J185" s="3">
        <f>Raw_Data!J185</f>
        <v>47.57</v>
      </c>
      <c r="K185" s="4">
        <f>Raw_Data!K185</f>
        <v>0.1</v>
      </c>
      <c r="L185" s="3">
        <f>Raw_Data!L185</f>
        <v>85.63</v>
      </c>
      <c r="M185" s="3">
        <f>Raw_Data!M185</f>
        <v>47.11</v>
      </c>
      <c r="N185" s="3">
        <f>Raw_Data!N185</f>
        <v>38.520000000000003</v>
      </c>
      <c r="O185" t="str">
        <f t="shared" si="6"/>
        <v>2025-03</v>
      </c>
      <c r="P185" s="5">
        <f t="shared" si="7"/>
        <v>0.44984234497255643</v>
      </c>
      <c r="Q185" s="3">
        <f t="shared" si="8"/>
        <v>85.63</v>
      </c>
    </row>
    <row r="186" spans="1:17" x14ac:dyDescent="0.35">
      <c r="A186" t="str">
        <f>Raw_Data!A186</f>
        <v>ORD-0804</v>
      </c>
      <c r="B186" s="2">
        <f>Raw_Data!B186</f>
        <v>45723</v>
      </c>
      <c r="C186" t="str">
        <f>Raw_Data!C186</f>
        <v>South</v>
      </c>
      <c r="D186" t="str">
        <f>Raw_Data!D186</f>
        <v>Chennai</v>
      </c>
      <c r="E186" t="str">
        <f>Raw_Data!E186</f>
        <v>Furniture</v>
      </c>
      <c r="F186" t="str">
        <f>Raw_Data!F186</f>
        <v>Standing Desk</v>
      </c>
      <c r="G186" t="str">
        <f>Raw_Data!G186</f>
        <v>Consumer</v>
      </c>
      <c r="H186" t="str">
        <f>Raw_Data!H186</f>
        <v>In-Store</v>
      </c>
      <c r="I186">
        <f>Raw_Data!I186</f>
        <v>9</v>
      </c>
      <c r="J186" s="3">
        <f>Raw_Data!J186</f>
        <v>308.33999999999997</v>
      </c>
      <c r="K186" s="4">
        <f>Raw_Data!K186</f>
        <v>0.05</v>
      </c>
      <c r="L186" s="3">
        <f>Raw_Data!L186</f>
        <v>2636.31</v>
      </c>
      <c r="M186" s="3">
        <f>Raw_Data!M186</f>
        <v>1591.1</v>
      </c>
      <c r="N186" s="3">
        <f>Raw_Data!N186</f>
        <v>1045.21</v>
      </c>
      <c r="O186" t="str">
        <f t="shared" si="6"/>
        <v>2025-03</v>
      </c>
      <c r="P186" s="5">
        <f t="shared" si="7"/>
        <v>0.39646703157064234</v>
      </c>
      <c r="Q186" s="3">
        <f t="shared" si="8"/>
        <v>2636.31</v>
      </c>
    </row>
    <row r="187" spans="1:17" x14ac:dyDescent="0.35">
      <c r="A187" t="str">
        <f>Raw_Data!A187</f>
        <v>ORD-0178</v>
      </c>
      <c r="B187" s="2">
        <f>Raw_Data!B187</f>
        <v>45724</v>
      </c>
      <c r="C187" t="str">
        <f>Raw_Data!C187</f>
        <v>South</v>
      </c>
      <c r="D187" t="str">
        <f>Raw_Data!D187</f>
        <v>Bengaluru</v>
      </c>
      <c r="E187" t="str">
        <f>Raw_Data!E187</f>
        <v>Furniture</v>
      </c>
      <c r="F187" t="str">
        <f>Raw_Data!F187</f>
        <v>Office Chair</v>
      </c>
      <c r="G187" t="str">
        <f>Raw_Data!G187</f>
        <v>Consumer</v>
      </c>
      <c r="H187" t="str">
        <f>Raw_Data!H187</f>
        <v>Online</v>
      </c>
      <c r="I187">
        <f>Raw_Data!I187</f>
        <v>6</v>
      </c>
      <c r="J187" s="3">
        <f>Raw_Data!J187</f>
        <v>135.52000000000001</v>
      </c>
      <c r="K187" s="4">
        <f>Raw_Data!K187</f>
        <v>0</v>
      </c>
      <c r="L187" s="3">
        <f>Raw_Data!L187</f>
        <v>813.12</v>
      </c>
      <c r="M187" s="3">
        <f>Raw_Data!M187</f>
        <v>455.54</v>
      </c>
      <c r="N187" s="3">
        <f>Raw_Data!N187</f>
        <v>357.58</v>
      </c>
      <c r="O187" t="str">
        <f t="shared" si="6"/>
        <v>2025-03</v>
      </c>
      <c r="P187" s="5">
        <f t="shared" si="7"/>
        <v>0.43976288862652496</v>
      </c>
      <c r="Q187" s="3">
        <f t="shared" si="8"/>
        <v>813.12</v>
      </c>
    </row>
    <row r="188" spans="1:17" x14ac:dyDescent="0.35">
      <c r="A188" t="str">
        <f>Raw_Data!A188</f>
        <v>ORD-0638</v>
      </c>
      <c r="B188" s="2">
        <f>Raw_Data!B188</f>
        <v>45725</v>
      </c>
      <c r="C188" t="str">
        <f>Raw_Data!C188</f>
        <v>North</v>
      </c>
      <c r="D188" t="str">
        <f>Raw_Data!D188</f>
        <v>Chandigarh</v>
      </c>
      <c r="E188" t="str">
        <f>Raw_Data!E188</f>
        <v>Furniture</v>
      </c>
      <c r="F188" t="str">
        <f>Raw_Data!F188</f>
        <v>Desk Lamp</v>
      </c>
      <c r="G188" t="str">
        <f>Raw_Data!G188</f>
        <v>Consumer</v>
      </c>
      <c r="H188" t="str">
        <f>Raw_Data!H188</f>
        <v>In-Store</v>
      </c>
      <c r="I188">
        <f>Raw_Data!I188</f>
        <v>5</v>
      </c>
      <c r="J188" s="3">
        <f>Raw_Data!J188</f>
        <v>35.32</v>
      </c>
      <c r="K188" s="4">
        <f>Raw_Data!K188</f>
        <v>0.05</v>
      </c>
      <c r="L188" s="3">
        <f>Raw_Data!L188</f>
        <v>167.77</v>
      </c>
      <c r="M188" s="3">
        <f>Raw_Data!M188</f>
        <v>136.19999999999999</v>
      </c>
      <c r="N188" s="3">
        <f>Raw_Data!N188</f>
        <v>31.57</v>
      </c>
      <c r="O188" t="str">
        <f t="shared" si="6"/>
        <v>2025-03</v>
      </c>
      <c r="P188" s="5">
        <f t="shared" si="7"/>
        <v>0.18817428622518922</v>
      </c>
      <c r="Q188" s="3">
        <f t="shared" si="8"/>
        <v>167.77</v>
      </c>
    </row>
    <row r="189" spans="1:17" x14ac:dyDescent="0.35">
      <c r="A189" t="str">
        <f>Raw_Data!A189</f>
        <v>ORD-0144</v>
      </c>
      <c r="B189" s="2">
        <f>Raw_Data!B189</f>
        <v>45725</v>
      </c>
      <c r="C189" t="str">
        <f>Raw_Data!C189</f>
        <v>South</v>
      </c>
      <c r="D189" t="str">
        <f>Raw_Data!D189</f>
        <v>Bengaluru</v>
      </c>
      <c r="E189" t="str">
        <f>Raw_Data!E189</f>
        <v>Home &amp; Kitchen</v>
      </c>
      <c r="F189" t="str">
        <f>Raw_Data!F189</f>
        <v>Storage Box</v>
      </c>
      <c r="G189" t="str">
        <f>Raw_Data!G189</f>
        <v>Corporate</v>
      </c>
      <c r="H189" t="str">
        <f>Raw_Data!H189</f>
        <v>In-Store</v>
      </c>
      <c r="I189">
        <f>Raw_Data!I189</f>
        <v>3</v>
      </c>
      <c r="J189" s="3">
        <f>Raw_Data!J189</f>
        <v>12.79</v>
      </c>
      <c r="K189" s="4">
        <f>Raw_Data!K189</f>
        <v>0.15</v>
      </c>
      <c r="L189" s="3">
        <f>Raw_Data!L189</f>
        <v>32.61</v>
      </c>
      <c r="M189" s="3">
        <f>Raw_Data!M189</f>
        <v>27.73</v>
      </c>
      <c r="N189" s="3">
        <f>Raw_Data!N189</f>
        <v>4.88</v>
      </c>
      <c r="O189" t="str">
        <f t="shared" si="6"/>
        <v>2025-03</v>
      </c>
      <c r="P189" s="5">
        <f t="shared" si="7"/>
        <v>0.14964734743943575</v>
      </c>
      <c r="Q189" s="3">
        <f t="shared" si="8"/>
        <v>32.61</v>
      </c>
    </row>
    <row r="190" spans="1:17" x14ac:dyDescent="0.35">
      <c r="A190" t="str">
        <f>Raw_Data!A190</f>
        <v>ORD-0272</v>
      </c>
      <c r="B190" s="2">
        <f>Raw_Data!B190</f>
        <v>45725</v>
      </c>
      <c r="C190" t="str">
        <f>Raw_Data!C190</f>
        <v>West</v>
      </c>
      <c r="D190" t="str">
        <f>Raw_Data!D190</f>
        <v>Ahmedabad</v>
      </c>
      <c r="E190" t="str">
        <f>Raw_Data!E190</f>
        <v>Office Supplies</v>
      </c>
      <c r="F190" t="str">
        <f>Raw_Data!F190</f>
        <v>Pen Set</v>
      </c>
      <c r="G190" t="str">
        <f>Raw_Data!G190</f>
        <v>Small Business</v>
      </c>
      <c r="H190" t="str">
        <f>Raw_Data!H190</f>
        <v>Online</v>
      </c>
      <c r="I190">
        <f>Raw_Data!I190</f>
        <v>12</v>
      </c>
      <c r="J190" s="3">
        <f>Raw_Data!J190</f>
        <v>7.7</v>
      </c>
      <c r="K190" s="4">
        <f>Raw_Data!K190</f>
        <v>0</v>
      </c>
      <c r="L190" s="3">
        <f>Raw_Data!L190</f>
        <v>92.4</v>
      </c>
      <c r="M190" s="3">
        <f>Raw_Data!M190</f>
        <v>65.459999999999994</v>
      </c>
      <c r="N190" s="3">
        <f>Raw_Data!N190</f>
        <v>26.94</v>
      </c>
      <c r="O190" t="str">
        <f t="shared" si="6"/>
        <v>2025-03</v>
      </c>
      <c r="P190" s="5">
        <f t="shared" si="7"/>
        <v>0.29155844155844157</v>
      </c>
      <c r="Q190" s="3">
        <f t="shared" si="8"/>
        <v>92.4</v>
      </c>
    </row>
    <row r="191" spans="1:17" x14ac:dyDescent="0.35">
      <c r="A191" t="str">
        <f>Raw_Data!A191</f>
        <v>ORD-0434</v>
      </c>
      <c r="B191" s="2">
        <f>Raw_Data!B191</f>
        <v>45725</v>
      </c>
      <c r="C191" t="str">
        <f>Raw_Data!C191</f>
        <v>South</v>
      </c>
      <c r="D191" t="str">
        <f>Raw_Data!D191</f>
        <v>Bengaluru</v>
      </c>
      <c r="E191" t="str">
        <f>Raw_Data!E191</f>
        <v>Technology</v>
      </c>
      <c r="F191" t="str">
        <f>Raw_Data!F191</f>
        <v>Wireless Mouse</v>
      </c>
      <c r="G191" t="str">
        <f>Raw_Data!G191</f>
        <v>Corporate</v>
      </c>
      <c r="H191" t="str">
        <f>Raw_Data!H191</f>
        <v>Online</v>
      </c>
      <c r="I191">
        <f>Raw_Data!I191</f>
        <v>4</v>
      </c>
      <c r="J191" s="3">
        <f>Raw_Data!J191</f>
        <v>18.59</v>
      </c>
      <c r="K191" s="4">
        <f>Raw_Data!K191</f>
        <v>0.15</v>
      </c>
      <c r="L191" s="3">
        <f>Raw_Data!L191</f>
        <v>63.21</v>
      </c>
      <c r="M191" s="3">
        <f>Raw_Data!M191</f>
        <v>50.96</v>
      </c>
      <c r="N191" s="3">
        <f>Raw_Data!N191</f>
        <v>12.25</v>
      </c>
      <c r="O191" t="str">
        <f t="shared" si="6"/>
        <v>2025-03</v>
      </c>
      <c r="P191" s="5">
        <f t="shared" si="7"/>
        <v>0.19379844961240311</v>
      </c>
      <c r="Q191" s="3">
        <f t="shared" si="8"/>
        <v>63.21</v>
      </c>
    </row>
    <row r="192" spans="1:17" x14ac:dyDescent="0.35">
      <c r="A192" t="str">
        <f>Raw_Data!A192</f>
        <v>ORD-0156</v>
      </c>
      <c r="B192" s="2">
        <f>Raw_Data!B192</f>
        <v>45726</v>
      </c>
      <c r="C192" t="str">
        <f>Raw_Data!C192</f>
        <v>West</v>
      </c>
      <c r="D192" t="str">
        <f>Raw_Data!D192</f>
        <v>Ahmedabad</v>
      </c>
      <c r="E192" t="str">
        <f>Raw_Data!E192</f>
        <v>Technology</v>
      </c>
      <c r="F192" t="str">
        <f>Raw_Data!F192</f>
        <v>Headphones</v>
      </c>
      <c r="G192" t="str">
        <f>Raw_Data!G192</f>
        <v>Corporate</v>
      </c>
      <c r="H192" t="str">
        <f>Raw_Data!H192</f>
        <v>In-Store</v>
      </c>
      <c r="I192">
        <f>Raw_Data!I192</f>
        <v>9</v>
      </c>
      <c r="J192" s="3">
        <f>Raw_Data!J192</f>
        <v>53.27</v>
      </c>
      <c r="K192" s="4">
        <f>Raw_Data!K192</f>
        <v>0</v>
      </c>
      <c r="L192" s="3">
        <f>Raw_Data!L192</f>
        <v>479.43</v>
      </c>
      <c r="M192" s="3">
        <f>Raw_Data!M192</f>
        <v>349.56</v>
      </c>
      <c r="N192" s="3">
        <f>Raw_Data!N192</f>
        <v>129.87</v>
      </c>
      <c r="O192" t="str">
        <f t="shared" si="6"/>
        <v>2025-03</v>
      </c>
      <c r="P192" s="5">
        <f t="shared" si="7"/>
        <v>0.27088417495776235</v>
      </c>
      <c r="Q192" s="3">
        <f t="shared" si="8"/>
        <v>479.43</v>
      </c>
    </row>
    <row r="193" spans="1:17" x14ac:dyDescent="0.35">
      <c r="A193" t="str">
        <f>Raw_Data!A193</f>
        <v>ORD-0706</v>
      </c>
      <c r="B193" s="2">
        <f>Raw_Data!B193</f>
        <v>45726</v>
      </c>
      <c r="C193" t="str">
        <f>Raw_Data!C193</f>
        <v>South</v>
      </c>
      <c r="D193" t="str">
        <f>Raw_Data!D193</f>
        <v>Chennai</v>
      </c>
      <c r="E193" t="str">
        <f>Raw_Data!E193</f>
        <v>Furniture</v>
      </c>
      <c r="F193" t="str">
        <f>Raw_Data!F193</f>
        <v>Desk Lamp</v>
      </c>
      <c r="G193" t="str">
        <f>Raw_Data!G193</f>
        <v>Consumer</v>
      </c>
      <c r="H193" t="str">
        <f>Raw_Data!H193</f>
        <v>In-Store</v>
      </c>
      <c r="I193">
        <f>Raw_Data!I193</f>
        <v>11</v>
      </c>
      <c r="J193" s="3">
        <f>Raw_Data!J193</f>
        <v>40.19</v>
      </c>
      <c r="K193" s="4">
        <f>Raw_Data!K193</f>
        <v>0.05</v>
      </c>
      <c r="L193" s="3">
        <f>Raw_Data!L193</f>
        <v>419.99</v>
      </c>
      <c r="M193" s="3">
        <f>Raw_Data!M193</f>
        <v>318.24</v>
      </c>
      <c r="N193" s="3">
        <f>Raw_Data!N193</f>
        <v>101.75</v>
      </c>
      <c r="O193" t="str">
        <f t="shared" si="6"/>
        <v>2025-03</v>
      </c>
      <c r="P193" s="5">
        <f t="shared" si="7"/>
        <v>0.24226767303983426</v>
      </c>
      <c r="Q193" s="3">
        <f t="shared" si="8"/>
        <v>419.99</v>
      </c>
    </row>
    <row r="194" spans="1:17" x14ac:dyDescent="0.35">
      <c r="A194" t="str">
        <f>Raw_Data!A194</f>
        <v>ORD-0303</v>
      </c>
      <c r="B194" s="2">
        <f>Raw_Data!B194</f>
        <v>45726</v>
      </c>
      <c r="C194" t="str">
        <f>Raw_Data!C194</f>
        <v>South</v>
      </c>
      <c r="D194" t="str">
        <f>Raw_Data!D194</f>
        <v>Chennai</v>
      </c>
      <c r="E194" t="str">
        <f>Raw_Data!E194</f>
        <v>Home &amp; Kitchen</v>
      </c>
      <c r="F194" t="str">
        <f>Raw_Data!F194</f>
        <v>Water Bottle</v>
      </c>
      <c r="G194" t="str">
        <f>Raw_Data!G194</f>
        <v>Consumer</v>
      </c>
      <c r="H194" t="str">
        <f>Raw_Data!H194</f>
        <v>In-Store</v>
      </c>
      <c r="I194">
        <f>Raw_Data!I194</f>
        <v>10</v>
      </c>
      <c r="J194" s="3">
        <f>Raw_Data!J194</f>
        <v>16.78</v>
      </c>
      <c r="K194" s="4">
        <f>Raw_Data!K194</f>
        <v>0.1</v>
      </c>
      <c r="L194" s="3">
        <f>Raw_Data!L194</f>
        <v>151.02000000000001</v>
      </c>
      <c r="M194" s="3">
        <f>Raw_Data!M194</f>
        <v>113.89</v>
      </c>
      <c r="N194" s="3">
        <f>Raw_Data!N194</f>
        <v>37.130000000000003</v>
      </c>
      <c r="O194" t="str">
        <f t="shared" ref="O194:O257" si="9">TEXT(B194,"yyyy-mm")</f>
        <v>2025-03</v>
      </c>
      <c r="P194" s="5">
        <f t="shared" ref="P194:P257" si="10">IFERROR(N194/L194,0)</f>
        <v>0.2458614753012846</v>
      </c>
      <c r="Q194" s="3">
        <f t="shared" ref="Q194:Q257" si="11">IFERROR(L194,0)</f>
        <v>151.02000000000001</v>
      </c>
    </row>
    <row r="195" spans="1:17" x14ac:dyDescent="0.35">
      <c r="A195" t="str">
        <f>Raw_Data!A195</f>
        <v>ORD-0575</v>
      </c>
      <c r="B195" s="2">
        <f>Raw_Data!B195</f>
        <v>45726</v>
      </c>
      <c r="C195" t="str">
        <f>Raw_Data!C195</f>
        <v>South</v>
      </c>
      <c r="D195" t="str">
        <f>Raw_Data!D195</f>
        <v>Hyderabad</v>
      </c>
      <c r="E195" t="str">
        <f>Raw_Data!E195</f>
        <v>Technology</v>
      </c>
      <c r="F195" t="str">
        <f>Raw_Data!F195</f>
        <v>Wireless Mouse</v>
      </c>
      <c r="G195" t="str">
        <f>Raw_Data!G195</f>
        <v>Consumer</v>
      </c>
      <c r="H195" t="str">
        <f>Raw_Data!H195</f>
        <v>Online</v>
      </c>
      <c r="I195">
        <f>Raw_Data!I195</f>
        <v>11</v>
      </c>
      <c r="J195" s="3">
        <f>Raw_Data!J195</f>
        <v>15.4</v>
      </c>
      <c r="K195" s="4">
        <f>Raw_Data!K195</f>
        <v>0.1</v>
      </c>
      <c r="L195" s="3">
        <f>Raw_Data!L195</f>
        <v>152.46</v>
      </c>
      <c r="M195" s="3">
        <f>Raw_Data!M195</f>
        <v>114.75</v>
      </c>
      <c r="N195" s="3">
        <f>Raw_Data!N195</f>
        <v>37.71</v>
      </c>
      <c r="O195" t="str">
        <f t="shared" si="9"/>
        <v>2025-03</v>
      </c>
      <c r="P195" s="5">
        <f t="shared" si="10"/>
        <v>0.2473435655253837</v>
      </c>
      <c r="Q195" s="3">
        <f t="shared" si="11"/>
        <v>152.46</v>
      </c>
    </row>
    <row r="196" spans="1:17" x14ac:dyDescent="0.35">
      <c r="A196" t="str">
        <f>Raw_Data!A196</f>
        <v>ORD-0462</v>
      </c>
      <c r="B196" s="2">
        <f>Raw_Data!B196</f>
        <v>45726</v>
      </c>
      <c r="C196" t="str">
        <f>Raw_Data!C196</f>
        <v>North</v>
      </c>
      <c r="D196" t="str">
        <f>Raw_Data!D196</f>
        <v>Delhi</v>
      </c>
      <c r="E196" t="str">
        <f>Raw_Data!E196</f>
        <v>Furniture</v>
      </c>
      <c r="F196" t="str">
        <f>Raw_Data!F196</f>
        <v>Standing Desk</v>
      </c>
      <c r="G196" t="str">
        <f>Raw_Data!G196</f>
        <v>Corporate</v>
      </c>
      <c r="H196" t="str">
        <f>Raw_Data!H196</f>
        <v>Online</v>
      </c>
      <c r="I196">
        <f>Raw_Data!I196</f>
        <v>5</v>
      </c>
      <c r="J196" s="3">
        <f>Raw_Data!J196</f>
        <v>243.84</v>
      </c>
      <c r="K196" s="4">
        <f>Raw_Data!K196</f>
        <v>0.15</v>
      </c>
      <c r="L196" s="3">
        <f>Raw_Data!L196</f>
        <v>1036.32</v>
      </c>
      <c r="M196" s="3">
        <f>Raw_Data!M196</f>
        <v>602.66999999999996</v>
      </c>
      <c r="N196" s="3">
        <f>Raw_Data!N196</f>
        <v>433.65</v>
      </c>
      <c r="O196" t="str">
        <f t="shared" si="9"/>
        <v>2025-03</v>
      </c>
      <c r="P196" s="5">
        <f t="shared" si="10"/>
        <v>0.41845182955071791</v>
      </c>
      <c r="Q196" s="3">
        <f t="shared" si="11"/>
        <v>1036.32</v>
      </c>
    </row>
    <row r="197" spans="1:17" x14ac:dyDescent="0.35">
      <c r="A197" t="str">
        <f>Raw_Data!A197</f>
        <v>ORD-0820</v>
      </c>
      <c r="B197" s="2">
        <f>Raw_Data!B197</f>
        <v>45726</v>
      </c>
      <c r="C197" t="str">
        <f>Raw_Data!C197</f>
        <v>West</v>
      </c>
      <c r="D197" t="str">
        <f>Raw_Data!D197</f>
        <v>Pune</v>
      </c>
      <c r="E197" t="str">
        <f>Raw_Data!E197</f>
        <v>Technology</v>
      </c>
      <c r="F197" t="str">
        <f>Raw_Data!F197</f>
        <v>Headphones</v>
      </c>
      <c r="G197" t="str">
        <f>Raw_Data!G197</f>
        <v>Corporate</v>
      </c>
      <c r="H197" t="str">
        <f>Raw_Data!H197</f>
        <v>Marketplace</v>
      </c>
      <c r="I197">
        <f>Raw_Data!I197</f>
        <v>8</v>
      </c>
      <c r="J197" s="3">
        <f>Raw_Data!J197</f>
        <v>56.74</v>
      </c>
      <c r="K197" s="4">
        <f>Raw_Data!K197</f>
        <v>0</v>
      </c>
      <c r="L197" s="3">
        <f>Raw_Data!L197</f>
        <v>453.92</v>
      </c>
      <c r="M197" s="3">
        <f>Raw_Data!M197</f>
        <v>297.39999999999998</v>
      </c>
      <c r="N197" s="3">
        <f>Raw_Data!N197</f>
        <v>156.52000000000001</v>
      </c>
      <c r="O197" t="str">
        <f t="shared" si="9"/>
        <v>2025-03</v>
      </c>
      <c r="P197" s="5">
        <f t="shared" si="10"/>
        <v>0.34481847021501588</v>
      </c>
      <c r="Q197" s="3">
        <f t="shared" si="11"/>
        <v>453.92</v>
      </c>
    </row>
    <row r="198" spans="1:17" x14ac:dyDescent="0.35">
      <c r="A198" t="str">
        <f>Raw_Data!A198</f>
        <v>ORD-0055</v>
      </c>
      <c r="B198" s="2">
        <f>Raw_Data!B198</f>
        <v>45727</v>
      </c>
      <c r="C198" t="str">
        <f>Raw_Data!C198</f>
        <v>East</v>
      </c>
      <c r="D198" t="str">
        <f>Raw_Data!D198</f>
        <v>Bhubaneswar</v>
      </c>
      <c r="E198" t="str">
        <f>Raw_Data!E198</f>
        <v>Home &amp; Kitchen</v>
      </c>
      <c r="F198" t="str">
        <f>Raw_Data!F198</f>
        <v>Storage Box</v>
      </c>
      <c r="G198" t="str">
        <f>Raw_Data!G198</f>
        <v>Small Business</v>
      </c>
      <c r="H198" t="str">
        <f>Raw_Data!H198</f>
        <v>In-Store</v>
      </c>
      <c r="I198">
        <f>Raw_Data!I198</f>
        <v>1</v>
      </c>
      <c r="J198" s="3">
        <f>Raw_Data!J198</f>
        <v>13.17</v>
      </c>
      <c r="K198" s="4">
        <f>Raw_Data!K198</f>
        <v>0.05</v>
      </c>
      <c r="L198" s="3">
        <f>Raw_Data!L198</f>
        <v>12.51</v>
      </c>
      <c r="M198" s="3">
        <f>Raw_Data!M198</f>
        <v>7.16</v>
      </c>
      <c r="N198" s="3">
        <f>Raw_Data!N198</f>
        <v>5.35</v>
      </c>
      <c r="O198" t="str">
        <f t="shared" si="9"/>
        <v>2025-03</v>
      </c>
      <c r="P198" s="5">
        <f t="shared" si="10"/>
        <v>0.42765787370103914</v>
      </c>
      <c r="Q198" s="3">
        <f t="shared" si="11"/>
        <v>12.51</v>
      </c>
    </row>
    <row r="199" spans="1:17" x14ac:dyDescent="0.35">
      <c r="A199" t="str">
        <f>Raw_Data!A199</f>
        <v>ORD-0107</v>
      </c>
      <c r="B199" s="2">
        <f>Raw_Data!B199</f>
        <v>45727</v>
      </c>
      <c r="C199" t="str">
        <f>Raw_Data!C199</f>
        <v>South</v>
      </c>
      <c r="D199" t="str">
        <f>Raw_Data!D199</f>
        <v>Bengaluru</v>
      </c>
      <c r="E199" t="str">
        <f>Raw_Data!E199</f>
        <v>Home &amp; Kitchen</v>
      </c>
      <c r="F199" t="str">
        <f>Raw_Data!F199</f>
        <v>Lunch Box</v>
      </c>
      <c r="G199" t="str">
        <f>Raw_Data!G199</f>
        <v>Small Business</v>
      </c>
      <c r="H199" t="str">
        <f>Raw_Data!H199</f>
        <v>Marketplace</v>
      </c>
      <c r="I199">
        <f>Raw_Data!I199</f>
        <v>6</v>
      </c>
      <c r="J199" s="3">
        <f>Raw_Data!J199</f>
        <v>21.69</v>
      </c>
      <c r="K199" s="4">
        <f>Raw_Data!K199</f>
        <v>0.15</v>
      </c>
      <c r="L199" s="3">
        <f>Raw_Data!L199</f>
        <v>110.62</v>
      </c>
      <c r="M199" s="3">
        <f>Raw_Data!M199</f>
        <v>78.83</v>
      </c>
      <c r="N199" s="3">
        <f>Raw_Data!N199</f>
        <v>31.79</v>
      </c>
      <c r="O199" t="str">
        <f t="shared" si="9"/>
        <v>2025-03</v>
      </c>
      <c r="P199" s="5">
        <f t="shared" si="10"/>
        <v>0.28738022057494123</v>
      </c>
      <c r="Q199" s="3">
        <f t="shared" si="11"/>
        <v>110.62</v>
      </c>
    </row>
    <row r="200" spans="1:17" x14ac:dyDescent="0.35">
      <c r="A200" t="str">
        <f>Raw_Data!A200</f>
        <v>ORD-0502</v>
      </c>
      <c r="B200" s="2">
        <f>Raw_Data!B200</f>
        <v>45727</v>
      </c>
      <c r="C200" t="str">
        <f>Raw_Data!C200</f>
        <v>North</v>
      </c>
      <c r="D200" t="str">
        <f>Raw_Data!D200</f>
        <v>Jaipur</v>
      </c>
      <c r="E200" t="str">
        <f>Raw_Data!E200</f>
        <v>Furniture</v>
      </c>
      <c r="F200" t="str">
        <f>Raw_Data!F200</f>
        <v>Office Chair</v>
      </c>
      <c r="G200" t="str">
        <f>Raw_Data!G200</f>
        <v>Corporate</v>
      </c>
      <c r="H200" t="str">
        <f>Raw_Data!H200</f>
        <v>In-Store</v>
      </c>
      <c r="I200">
        <f>Raw_Data!I200</f>
        <v>5</v>
      </c>
      <c r="J200" s="3">
        <f>Raw_Data!J200</f>
        <v>173.21</v>
      </c>
      <c r="K200" s="4">
        <f>Raw_Data!K200</f>
        <v>0</v>
      </c>
      <c r="L200" s="3">
        <f>Raw_Data!L200</f>
        <v>866.05</v>
      </c>
      <c r="M200" s="3">
        <f>Raw_Data!M200</f>
        <v>638.03</v>
      </c>
      <c r="N200" s="3">
        <f>Raw_Data!N200</f>
        <v>228.02</v>
      </c>
      <c r="O200" t="str">
        <f t="shared" si="9"/>
        <v>2025-03</v>
      </c>
      <c r="P200" s="5">
        <f t="shared" si="10"/>
        <v>0.26328733906818313</v>
      </c>
      <c r="Q200" s="3">
        <f t="shared" si="11"/>
        <v>866.05</v>
      </c>
    </row>
    <row r="201" spans="1:17" x14ac:dyDescent="0.35">
      <c r="A201" t="str">
        <f>Raw_Data!A201</f>
        <v>ORD-0957</v>
      </c>
      <c r="B201" s="2">
        <f>Raw_Data!B201</f>
        <v>45729</v>
      </c>
      <c r="C201" t="str">
        <f>Raw_Data!C201</f>
        <v>North</v>
      </c>
      <c r="D201" t="str">
        <f>Raw_Data!D201</f>
        <v>Chandigarh</v>
      </c>
      <c r="E201" t="str">
        <f>Raw_Data!E201</f>
        <v>Home &amp; Kitchen</v>
      </c>
      <c r="F201" t="str">
        <f>Raw_Data!F201</f>
        <v>Lunch Box</v>
      </c>
      <c r="G201" t="str">
        <f>Raw_Data!G201</f>
        <v>Corporate</v>
      </c>
      <c r="H201" t="str">
        <f>Raw_Data!H201</f>
        <v>Marketplace</v>
      </c>
      <c r="I201">
        <f>Raw_Data!I201</f>
        <v>3</v>
      </c>
      <c r="J201" s="3">
        <f>Raw_Data!J201</f>
        <v>19.149999999999999</v>
      </c>
      <c r="K201" s="4">
        <f>Raw_Data!K201</f>
        <v>0.1</v>
      </c>
      <c r="L201" s="3">
        <f>Raw_Data!L201</f>
        <v>51.7</v>
      </c>
      <c r="M201" s="3">
        <f>Raw_Data!M201</f>
        <v>30.24</v>
      </c>
      <c r="N201" s="3">
        <f>Raw_Data!N201</f>
        <v>21.46</v>
      </c>
      <c r="O201" t="str">
        <f t="shared" si="9"/>
        <v>2025-03</v>
      </c>
      <c r="P201" s="5">
        <f t="shared" si="10"/>
        <v>0.41508704061895552</v>
      </c>
      <c r="Q201" s="3">
        <f t="shared" si="11"/>
        <v>51.7</v>
      </c>
    </row>
    <row r="202" spans="1:17" x14ac:dyDescent="0.35">
      <c r="A202" t="str">
        <f>Raw_Data!A202</f>
        <v>ORD-0906</v>
      </c>
      <c r="B202" s="2">
        <f>Raw_Data!B202</f>
        <v>45729</v>
      </c>
      <c r="C202" t="str">
        <f>Raw_Data!C202</f>
        <v>South</v>
      </c>
      <c r="D202" t="str">
        <f>Raw_Data!D202</f>
        <v>Hyderabad</v>
      </c>
      <c r="E202" t="str">
        <f>Raw_Data!E202</f>
        <v>Home &amp; Kitchen</v>
      </c>
      <c r="F202" t="str">
        <f>Raw_Data!F202</f>
        <v>Coffee Maker</v>
      </c>
      <c r="G202" t="str">
        <f>Raw_Data!G202</f>
        <v>Corporate</v>
      </c>
      <c r="H202" t="str">
        <f>Raw_Data!H202</f>
        <v>Online</v>
      </c>
      <c r="I202">
        <f>Raw_Data!I202</f>
        <v>9</v>
      </c>
      <c r="J202" s="3">
        <f>Raw_Data!J202</f>
        <v>84.15</v>
      </c>
      <c r="K202" s="4">
        <f>Raw_Data!K202</f>
        <v>0.05</v>
      </c>
      <c r="L202" s="3">
        <f>Raw_Data!L202</f>
        <v>719.48</v>
      </c>
      <c r="M202" s="3">
        <f>Raw_Data!M202</f>
        <v>501.25</v>
      </c>
      <c r="N202" s="3">
        <f>Raw_Data!N202</f>
        <v>218.23</v>
      </c>
      <c r="O202" t="str">
        <f t="shared" si="9"/>
        <v>2025-03</v>
      </c>
      <c r="P202" s="5">
        <f t="shared" si="10"/>
        <v>0.30331628398287652</v>
      </c>
      <c r="Q202" s="3">
        <f t="shared" si="11"/>
        <v>719.48</v>
      </c>
    </row>
    <row r="203" spans="1:17" x14ac:dyDescent="0.35">
      <c r="A203" t="str">
        <f>Raw_Data!A203</f>
        <v>ORD-0987</v>
      </c>
      <c r="B203" s="2">
        <f>Raw_Data!B203</f>
        <v>45729</v>
      </c>
      <c r="C203" t="str">
        <f>Raw_Data!C203</f>
        <v>South</v>
      </c>
      <c r="D203" t="str">
        <f>Raw_Data!D203</f>
        <v>Hyderabad</v>
      </c>
      <c r="E203" t="str">
        <f>Raw_Data!E203</f>
        <v>Technology</v>
      </c>
      <c r="F203" t="str">
        <f>Raw_Data!F203</f>
        <v>USB Hub</v>
      </c>
      <c r="G203" t="str">
        <f>Raw_Data!G203</f>
        <v>Small Business</v>
      </c>
      <c r="H203" t="str">
        <f>Raw_Data!H203</f>
        <v>In-Store</v>
      </c>
      <c r="I203">
        <f>Raw_Data!I203</f>
        <v>1</v>
      </c>
      <c r="J203" s="3">
        <f>Raw_Data!J203</f>
        <v>23.45</v>
      </c>
      <c r="K203" s="4">
        <f>Raw_Data!K203</f>
        <v>0.05</v>
      </c>
      <c r="L203" s="3">
        <f>Raw_Data!L203</f>
        <v>22.28</v>
      </c>
      <c r="M203" s="3">
        <f>Raw_Data!M203</f>
        <v>14.08</v>
      </c>
      <c r="N203" s="3">
        <f>Raw_Data!N203</f>
        <v>8.1999999999999993</v>
      </c>
      <c r="O203" t="str">
        <f t="shared" si="9"/>
        <v>2025-03</v>
      </c>
      <c r="P203" s="5">
        <f t="shared" si="10"/>
        <v>0.36804308797127466</v>
      </c>
      <c r="Q203" s="3">
        <f t="shared" si="11"/>
        <v>22.28</v>
      </c>
    </row>
    <row r="204" spans="1:17" x14ac:dyDescent="0.35">
      <c r="A204" t="str">
        <f>Raw_Data!A204</f>
        <v>ORD-0354</v>
      </c>
      <c r="B204" s="2">
        <f>Raw_Data!B204</f>
        <v>45729</v>
      </c>
      <c r="C204" t="str">
        <f>Raw_Data!C204</f>
        <v>North</v>
      </c>
      <c r="D204" t="str">
        <f>Raw_Data!D204</f>
        <v>Jaipur</v>
      </c>
      <c r="E204" t="str">
        <f>Raw_Data!E204</f>
        <v>Technology</v>
      </c>
      <c r="F204" t="str">
        <f>Raw_Data!F204</f>
        <v>USB Hub</v>
      </c>
      <c r="G204" t="str">
        <f>Raw_Data!G204</f>
        <v>Corporate</v>
      </c>
      <c r="H204" t="str">
        <f>Raw_Data!H204</f>
        <v>Marketplace</v>
      </c>
      <c r="I204">
        <f>Raw_Data!I204</f>
        <v>5</v>
      </c>
      <c r="J204" s="3">
        <f>Raw_Data!J204</f>
        <v>22.58</v>
      </c>
      <c r="K204" s="4">
        <f>Raw_Data!K204</f>
        <v>0.1</v>
      </c>
      <c r="L204" s="3">
        <f>Raw_Data!L204</f>
        <v>101.61</v>
      </c>
      <c r="M204" s="3">
        <f>Raw_Data!M204</f>
        <v>67.900000000000006</v>
      </c>
      <c r="N204" s="3">
        <f>Raw_Data!N204</f>
        <v>33.71</v>
      </c>
      <c r="O204" t="str">
        <f t="shared" si="9"/>
        <v>2025-03</v>
      </c>
      <c r="P204" s="5">
        <f t="shared" si="10"/>
        <v>0.3317586851687826</v>
      </c>
      <c r="Q204" s="3">
        <f t="shared" si="11"/>
        <v>101.61</v>
      </c>
    </row>
    <row r="205" spans="1:17" x14ac:dyDescent="0.35">
      <c r="A205" t="str">
        <f>Raw_Data!A205</f>
        <v>ORD-0644</v>
      </c>
      <c r="B205" s="2">
        <f>Raw_Data!B205</f>
        <v>45729</v>
      </c>
      <c r="C205" t="str">
        <f>Raw_Data!C205</f>
        <v>North</v>
      </c>
      <c r="D205" t="str">
        <f>Raw_Data!D205</f>
        <v>Jaipur</v>
      </c>
      <c r="E205" t="str">
        <f>Raw_Data!E205</f>
        <v>Technology</v>
      </c>
      <c r="F205" t="str">
        <f>Raw_Data!F205</f>
        <v>Headphones</v>
      </c>
      <c r="G205" t="str">
        <f>Raw_Data!G205</f>
        <v>Small Business</v>
      </c>
      <c r="H205" t="str">
        <f>Raw_Data!H205</f>
        <v>Online</v>
      </c>
      <c r="I205">
        <f>Raw_Data!I205</f>
        <v>1</v>
      </c>
      <c r="J205" s="3">
        <f>Raw_Data!J205</f>
        <v>54.48</v>
      </c>
      <c r="K205" s="4">
        <f>Raw_Data!K205</f>
        <v>0</v>
      </c>
      <c r="L205" s="3">
        <f>Raw_Data!L205</f>
        <v>54.48</v>
      </c>
      <c r="M205" s="3">
        <f>Raw_Data!M205</f>
        <v>33.44</v>
      </c>
      <c r="N205" s="3">
        <f>Raw_Data!N205</f>
        <v>21.04</v>
      </c>
      <c r="O205" t="str">
        <f t="shared" si="9"/>
        <v>2025-03</v>
      </c>
      <c r="P205" s="5">
        <f t="shared" si="10"/>
        <v>0.38619676945668135</v>
      </c>
      <c r="Q205" s="3">
        <f t="shared" si="11"/>
        <v>54.48</v>
      </c>
    </row>
    <row r="206" spans="1:17" x14ac:dyDescent="0.35">
      <c r="A206" t="str">
        <f>Raw_Data!A206</f>
        <v>ORD-0244</v>
      </c>
      <c r="B206" s="2">
        <f>Raw_Data!B206</f>
        <v>45729</v>
      </c>
      <c r="C206" t="str">
        <f>Raw_Data!C206</f>
        <v>East</v>
      </c>
      <c r="D206" t="str">
        <f>Raw_Data!D206</f>
        <v>Bhubaneswar</v>
      </c>
      <c r="E206" t="str">
        <f>Raw_Data!E206</f>
        <v>Furniture</v>
      </c>
      <c r="F206" t="str">
        <f>Raw_Data!F206</f>
        <v>Bookshelf</v>
      </c>
      <c r="G206" t="str">
        <f>Raw_Data!G206</f>
        <v>Small Business</v>
      </c>
      <c r="H206" t="str">
        <f>Raw_Data!H206</f>
        <v>In-Store</v>
      </c>
      <c r="I206">
        <f>Raw_Data!I206</f>
        <v>5</v>
      </c>
      <c r="J206" s="3">
        <f>Raw_Data!J206</f>
        <v>112.49</v>
      </c>
      <c r="K206" s="4">
        <f>Raw_Data!K206</f>
        <v>0</v>
      </c>
      <c r="L206" s="3">
        <f>Raw_Data!L206</f>
        <v>562.45000000000005</v>
      </c>
      <c r="M206" s="3">
        <f>Raw_Data!M206</f>
        <v>298.19</v>
      </c>
      <c r="N206" s="3">
        <f>Raw_Data!N206</f>
        <v>264.26</v>
      </c>
      <c r="O206" t="str">
        <f t="shared" si="9"/>
        <v>2025-03</v>
      </c>
      <c r="P206" s="5">
        <f t="shared" si="10"/>
        <v>0.46983731887278862</v>
      </c>
      <c r="Q206" s="3">
        <f t="shared" si="11"/>
        <v>562.45000000000005</v>
      </c>
    </row>
    <row r="207" spans="1:17" x14ac:dyDescent="0.35">
      <c r="A207" t="str">
        <f>Raw_Data!A207</f>
        <v>ORD-0968</v>
      </c>
      <c r="B207" s="2">
        <f>Raw_Data!B207</f>
        <v>45729</v>
      </c>
      <c r="C207" t="str">
        <f>Raw_Data!C207</f>
        <v>West</v>
      </c>
      <c r="D207" t="str">
        <f>Raw_Data!D207</f>
        <v>Mumbai</v>
      </c>
      <c r="E207" t="str">
        <f>Raw_Data!E207</f>
        <v>Furniture</v>
      </c>
      <c r="F207" t="str">
        <f>Raw_Data!F207</f>
        <v>Standing Desk</v>
      </c>
      <c r="G207" t="str">
        <f>Raw_Data!G207</f>
        <v>Consumer</v>
      </c>
      <c r="H207" t="str">
        <f>Raw_Data!H207</f>
        <v>Online</v>
      </c>
      <c r="I207">
        <f>Raw_Data!I207</f>
        <v>3</v>
      </c>
      <c r="J207" s="3">
        <f>Raw_Data!J207</f>
        <v>297.01</v>
      </c>
      <c r="K207" s="4">
        <f>Raw_Data!K207</f>
        <v>0.15</v>
      </c>
      <c r="L207" s="3">
        <f>Raw_Data!L207</f>
        <v>757.38</v>
      </c>
      <c r="M207" s="3">
        <f>Raw_Data!M207</f>
        <v>687.47</v>
      </c>
      <c r="N207" s="3">
        <f>Raw_Data!N207</f>
        <v>69.91</v>
      </c>
      <c r="O207" t="str">
        <f t="shared" si="9"/>
        <v>2025-03</v>
      </c>
      <c r="P207" s="5">
        <f t="shared" si="10"/>
        <v>9.2305051625339987E-2</v>
      </c>
      <c r="Q207" s="3">
        <f t="shared" si="11"/>
        <v>757.38</v>
      </c>
    </row>
    <row r="208" spans="1:17" x14ac:dyDescent="0.35">
      <c r="A208" t="str">
        <f>Raw_Data!A208</f>
        <v>ORD-0250</v>
      </c>
      <c r="B208" s="2">
        <f>Raw_Data!B208</f>
        <v>45729</v>
      </c>
      <c r="C208" t="str">
        <f>Raw_Data!C208</f>
        <v>North</v>
      </c>
      <c r="D208" t="str">
        <f>Raw_Data!D208</f>
        <v>Chandigarh</v>
      </c>
      <c r="E208" t="str">
        <f>Raw_Data!E208</f>
        <v>Furniture</v>
      </c>
      <c r="F208" t="str">
        <f>Raw_Data!F208</f>
        <v>Desk Lamp</v>
      </c>
      <c r="G208" t="str">
        <f>Raw_Data!G208</f>
        <v>Small Business</v>
      </c>
      <c r="H208" t="str">
        <f>Raw_Data!H208</f>
        <v>Marketplace</v>
      </c>
      <c r="I208">
        <f>Raw_Data!I208</f>
        <v>5</v>
      </c>
      <c r="J208" s="3">
        <f>Raw_Data!J208</f>
        <v>41.06</v>
      </c>
      <c r="K208" s="4">
        <f>Raw_Data!K208</f>
        <v>0.1</v>
      </c>
      <c r="L208" s="3">
        <f>Raw_Data!L208</f>
        <v>184.77</v>
      </c>
      <c r="M208" s="3">
        <f>Raw_Data!M208</f>
        <v>147.13999999999999</v>
      </c>
      <c r="N208" s="3">
        <f>Raw_Data!N208</f>
        <v>37.630000000000003</v>
      </c>
      <c r="O208" t="str">
        <f t="shared" si="9"/>
        <v>2025-03</v>
      </c>
      <c r="P208" s="5">
        <f t="shared" si="10"/>
        <v>0.20365860258700005</v>
      </c>
      <c r="Q208" s="3">
        <f t="shared" si="11"/>
        <v>184.77</v>
      </c>
    </row>
    <row r="209" spans="1:17" x14ac:dyDescent="0.35">
      <c r="A209" t="str">
        <f>Raw_Data!A209</f>
        <v>ORD-0283</v>
      </c>
      <c r="B209" s="2">
        <f>Raw_Data!B209</f>
        <v>45729</v>
      </c>
      <c r="C209" t="str">
        <f>Raw_Data!C209</f>
        <v>South</v>
      </c>
      <c r="D209" t="str">
        <f>Raw_Data!D209</f>
        <v>Bengaluru</v>
      </c>
      <c r="E209" t="str">
        <f>Raw_Data!E209</f>
        <v>Technology</v>
      </c>
      <c r="F209" t="str">
        <f>Raw_Data!F209</f>
        <v>USB Hub</v>
      </c>
      <c r="G209" t="str">
        <f>Raw_Data!G209</f>
        <v>Small Business</v>
      </c>
      <c r="H209" t="str">
        <f>Raw_Data!H209</f>
        <v>Marketplace</v>
      </c>
      <c r="I209">
        <f>Raw_Data!I209</f>
        <v>6</v>
      </c>
      <c r="J209" s="3">
        <f>Raw_Data!J209</f>
        <v>28.49</v>
      </c>
      <c r="K209" s="4">
        <f>Raw_Data!K209</f>
        <v>0.05</v>
      </c>
      <c r="L209" s="3">
        <f>Raw_Data!L209</f>
        <v>162.38999999999999</v>
      </c>
      <c r="M209" s="3">
        <f>Raw_Data!M209</f>
        <v>122.62</v>
      </c>
      <c r="N209" s="3">
        <f>Raw_Data!N209</f>
        <v>39.770000000000003</v>
      </c>
      <c r="O209" t="str">
        <f t="shared" si="9"/>
        <v>2025-03</v>
      </c>
      <c r="P209" s="5">
        <f t="shared" si="10"/>
        <v>0.24490424287209808</v>
      </c>
      <c r="Q209" s="3">
        <f t="shared" si="11"/>
        <v>162.38999999999999</v>
      </c>
    </row>
    <row r="210" spans="1:17" x14ac:dyDescent="0.35">
      <c r="A210" t="str">
        <f>Raw_Data!A210</f>
        <v>ORD-0835</v>
      </c>
      <c r="B210" s="2">
        <f>Raw_Data!B210</f>
        <v>45731</v>
      </c>
      <c r="C210" t="str">
        <f>Raw_Data!C210</f>
        <v>West</v>
      </c>
      <c r="D210" t="str">
        <f>Raw_Data!D210</f>
        <v>Ahmedabad</v>
      </c>
      <c r="E210" t="str">
        <f>Raw_Data!E210</f>
        <v>Home &amp; Kitchen</v>
      </c>
      <c r="F210" t="str">
        <f>Raw_Data!F210</f>
        <v>Water Bottle</v>
      </c>
      <c r="G210" t="str">
        <f>Raw_Data!G210</f>
        <v>Small Business</v>
      </c>
      <c r="H210" t="str">
        <f>Raw_Data!H210</f>
        <v>In-Store</v>
      </c>
      <c r="I210">
        <f>Raw_Data!I210</f>
        <v>7</v>
      </c>
      <c r="J210" s="3">
        <f>Raw_Data!J210</f>
        <v>16.989999999999998</v>
      </c>
      <c r="K210" s="4">
        <f>Raw_Data!K210</f>
        <v>0</v>
      </c>
      <c r="L210" s="3">
        <f>Raw_Data!L210</f>
        <v>118.93</v>
      </c>
      <c r="M210" s="3">
        <f>Raw_Data!M210</f>
        <v>75.849999999999994</v>
      </c>
      <c r="N210" s="3">
        <f>Raw_Data!N210</f>
        <v>43.08</v>
      </c>
      <c r="O210" t="str">
        <f t="shared" si="9"/>
        <v>2025-03</v>
      </c>
      <c r="P210" s="5">
        <f t="shared" si="10"/>
        <v>0.36222988312452697</v>
      </c>
      <c r="Q210" s="3">
        <f t="shared" si="11"/>
        <v>118.93</v>
      </c>
    </row>
    <row r="211" spans="1:17" x14ac:dyDescent="0.35">
      <c r="A211" t="str">
        <f>Raw_Data!A211</f>
        <v>ORD-0776</v>
      </c>
      <c r="B211" s="2">
        <f>Raw_Data!B211</f>
        <v>45731</v>
      </c>
      <c r="C211" t="str">
        <f>Raw_Data!C211</f>
        <v>North</v>
      </c>
      <c r="D211" t="str">
        <f>Raw_Data!D211</f>
        <v>Delhi</v>
      </c>
      <c r="E211" t="str">
        <f>Raw_Data!E211</f>
        <v>Office Supplies</v>
      </c>
      <c r="F211" t="str">
        <f>Raw_Data!F211</f>
        <v>Desk Organizer</v>
      </c>
      <c r="G211" t="str">
        <f>Raw_Data!G211</f>
        <v>Corporate</v>
      </c>
      <c r="H211" t="str">
        <f>Raw_Data!H211</f>
        <v>In-Store</v>
      </c>
      <c r="I211">
        <f>Raw_Data!I211</f>
        <v>2</v>
      </c>
      <c r="J211" s="3">
        <f>Raw_Data!J211</f>
        <v>18.98</v>
      </c>
      <c r="K211" s="4">
        <f>Raw_Data!K211</f>
        <v>0.1</v>
      </c>
      <c r="L211" s="3">
        <f>Raw_Data!L211</f>
        <v>34.159999999999997</v>
      </c>
      <c r="M211" s="3">
        <f>Raw_Data!M211</f>
        <v>25.95</v>
      </c>
      <c r="N211" s="3">
        <f>Raw_Data!N211</f>
        <v>8.2100000000000009</v>
      </c>
      <c r="O211" t="str">
        <f t="shared" si="9"/>
        <v>2025-03</v>
      </c>
      <c r="P211" s="5">
        <f t="shared" si="10"/>
        <v>0.2403395784543326</v>
      </c>
      <c r="Q211" s="3">
        <f t="shared" si="11"/>
        <v>34.159999999999997</v>
      </c>
    </row>
    <row r="212" spans="1:17" x14ac:dyDescent="0.35">
      <c r="A212" t="str">
        <f>Raw_Data!A212</f>
        <v>ORD-0433</v>
      </c>
      <c r="B212" s="2">
        <f>Raw_Data!B212</f>
        <v>45731</v>
      </c>
      <c r="C212" t="str">
        <f>Raw_Data!C212</f>
        <v>North</v>
      </c>
      <c r="D212" t="str">
        <f>Raw_Data!D212</f>
        <v>Chandigarh</v>
      </c>
      <c r="E212" t="str">
        <f>Raw_Data!E212</f>
        <v>Office Supplies</v>
      </c>
      <c r="F212" t="str">
        <f>Raw_Data!F212</f>
        <v>Desk Organizer</v>
      </c>
      <c r="G212" t="str">
        <f>Raw_Data!G212</f>
        <v>Consumer</v>
      </c>
      <c r="H212" t="str">
        <f>Raw_Data!H212</f>
        <v>In-Store</v>
      </c>
      <c r="I212">
        <f>Raw_Data!I212</f>
        <v>3</v>
      </c>
      <c r="J212" s="3">
        <f>Raw_Data!J212</f>
        <v>23.17</v>
      </c>
      <c r="K212" s="4">
        <f>Raw_Data!K212</f>
        <v>0.05</v>
      </c>
      <c r="L212" s="3">
        <f>Raw_Data!L212</f>
        <v>66.03</v>
      </c>
      <c r="M212" s="3">
        <f>Raw_Data!M212</f>
        <v>52.6</v>
      </c>
      <c r="N212" s="3">
        <f>Raw_Data!N212</f>
        <v>13.43</v>
      </c>
      <c r="O212" t="str">
        <f t="shared" si="9"/>
        <v>2025-03</v>
      </c>
      <c r="P212" s="5">
        <f t="shared" si="10"/>
        <v>0.20339239739512341</v>
      </c>
      <c r="Q212" s="3">
        <f t="shared" si="11"/>
        <v>66.03</v>
      </c>
    </row>
    <row r="213" spans="1:17" x14ac:dyDescent="0.35">
      <c r="A213" t="str">
        <f>Raw_Data!A213</f>
        <v>ORD-0765</v>
      </c>
      <c r="B213" s="2">
        <f>Raw_Data!B213</f>
        <v>45731</v>
      </c>
      <c r="C213" t="str">
        <f>Raw_Data!C213</f>
        <v>North</v>
      </c>
      <c r="D213" t="str">
        <f>Raw_Data!D213</f>
        <v>Chandigarh</v>
      </c>
      <c r="E213" t="str">
        <f>Raw_Data!E213</f>
        <v>Office Supplies</v>
      </c>
      <c r="F213" t="str">
        <f>Raw_Data!F213</f>
        <v>Printer Paper</v>
      </c>
      <c r="G213" t="str">
        <f>Raw_Data!G213</f>
        <v>Corporate</v>
      </c>
      <c r="H213" t="str">
        <f>Raw_Data!H213</f>
        <v>Online</v>
      </c>
      <c r="I213">
        <f>Raw_Data!I213</f>
        <v>12</v>
      </c>
      <c r="J213" s="3">
        <f>Raw_Data!J213</f>
        <v>15.15</v>
      </c>
      <c r="K213" s="4">
        <f>Raw_Data!K213</f>
        <v>0.15</v>
      </c>
      <c r="L213" s="3">
        <f>Raw_Data!L213</f>
        <v>154.53</v>
      </c>
      <c r="M213" s="3">
        <f>Raw_Data!M213</f>
        <v>134.35</v>
      </c>
      <c r="N213" s="3">
        <f>Raw_Data!N213</f>
        <v>20.18</v>
      </c>
      <c r="O213" t="str">
        <f t="shared" si="9"/>
        <v>2025-03</v>
      </c>
      <c r="P213" s="5">
        <f t="shared" si="10"/>
        <v>0.13058952954118941</v>
      </c>
      <c r="Q213" s="3">
        <f t="shared" si="11"/>
        <v>154.53</v>
      </c>
    </row>
    <row r="214" spans="1:17" x14ac:dyDescent="0.35">
      <c r="A214" t="str">
        <f>Raw_Data!A214</f>
        <v>ORD-0597</v>
      </c>
      <c r="B214" s="2">
        <f>Raw_Data!B214</f>
        <v>45731</v>
      </c>
      <c r="C214" t="str">
        <f>Raw_Data!C214</f>
        <v>North</v>
      </c>
      <c r="D214" t="str">
        <f>Raw_Data!D214</f>
        <v>Delhi</v>
      </c>
      <c r="E214" t="str">
        <f>Raw_Data!E214</f>
        <v>Home &amp; Kitchen</v>
      </c>
      <c r="F214" t="str">
        <f>Raw_Data!F214</f>
        <v>Storage Box</v>
      </c>
      <c r="G214" t="str">
        <f>Raw_Data!G214</f>
        <v>Consumer</v>
      </c>
      <c r="H214" t="str">
        <f>Raw_Data!H214</f>
        <v>Online</v>
      </c>
      <c r="I214">
        <f>Raw_Data!I214</f>
        <v>10</v>
      </c>
      <c r="J214" s="3">
        <f>Raw_Data!J214</f>
        <v>15.05</v>
      </c>
      <c r="K214" s="4">
        <f>Raw_Data!K214</f>
        <v>0.1</v>
      </c>
      <c r="L214" s="3">
        <f>Raw_Data!L214</f>
        <v>135.44999999999999</v>
      </c>
      <c r="M214" s="3">
        <f>Raw_Data!M214</f>
        <v>104.54</v>
      </c>
      <c r="N214" s="3">
        <f>Raw_Data!N214</f>
        <v>30.91</v>
      </c>
      <c r="O214" t="str">
        <f t="shared" si="9"/>
        <v>2025-03</v>
      </c>
      <c r="P214" s="5">
        <f t="shared" si="10"/>
        <v>0.22820228866740497</v>
      </c>
      <c r="Q214" s="3">
        <f t="shared" si="11"/>
        <v>135.44999999999999</v>
      </c>
    </row>
    <row r="215" spans="1:17" x14ac:dyDescent="0.35">
      <c r="A215" t="str">
        <f>Raw_Data!A215</f>
        <v>ORD-0396</v>
      </c>
      <c r="B215" s="2">
        <f>Raw_Data!B215</f>
        <v>45732</v>
      </c>
      <c r="C215" t="str">
        <f>Raw_Data!C215</f>
        <v>West</v>
      </c>
      <c r="D215" t="str">
        <f>Raw_Data!D215</f>
        <v>Ahmedabad</v>
      </c>
      <c r="E215" t="str">
        <f>Raw_Data!E215</f>
        <v>Technology</v>
      </c>
      <c r="F215" t="str">
        <f>Raw_Data!F215</f>
        <v>Headphones</v>
      </c>
      <c r="G215" t="str">
        <f>Raw_Data!G215</f>
        <v>Consumer</v>
      </c>
      <c r="H215" t="str">
        <f>Raw_Data!H215</f>
        <v>Marketplace</v>
      </c>
      <c r="I215">
        <f>Raw_Data!I215</f>
        <v>4</v>
      </c>
      <c r="J215" s="3">
        <f>Raw_Data!J215</f>
        <v>61.26</v>
      </c>
      <c r="K215" s="4">
        <f>Raw_Data!K215</f>
        <v>0</v>
      </c>
      <c r="L215" s="3">
        <f>Raw_Data!L215</f>
        <v>245.04</v>
      </c>
      <c r="M215" s="3">
        <f>Raw_Data!M215</f>
        <v>143.99</v>
      </c>
      <c r="N215" s="3">
        <f>Raw_Data!N215</f>
        <v>101.05</v>
      </c>
      <c r="O215" t="str">
        <f t="shared" si="9"/>
        <v>2025-03</v>
      </c>
      <c r="P215" s="5">
        <f t="shared" si="10"/>
        <v>0.41238165197518772</v>
      </c>
      <c r="Q215" s="3">
        <f t="shared" si="11"/>
        <v>245.04</v>
      </c>
    </row>
    <row r="216" spans="1:17" x14ac:dyDescent="0.35">
      <c r="A216" t="str">
        <f>Raw_Data!A216</f>
        <v>ORD-0133</v>
      </c>
      <c r="B216" s="2">
        <f>Raw_Data!B216</f>
        <v>45733</v>
      </c>
      <c r="C216" t="str">
        <f>Raw_Data!C216</f>
        <v>North</v>
      </c>
      <c r="D216" t="str">
        <f>Raw_Data!D216</f>
        <v>Chandigarh</v>
      </c>
      <c r="E216" t="str">
        <f>Raw_Data!E216</f>
        <v>Office Supplies</v>
      </c>
      <c r="F216" t="str">
        <f>Raw_Data!F216</f>
        <v>Notebook Pack</v>
      </c>
      <c r="G216" t="str">
        <f>Raw_Data!G216</f>
        <v>Consumer</v>
      </c>
      <c r="H216" t="str">
        <f>Raw_Data!H216</f>
        <v>Marketplace</v>
      </c>
      <c r="I216">
        <f>Raw_Data!I216</f>
        <v>3</v>
      </c>
      <c r="J216" s="3">
        <f>Raw_Data!J216</f>
        <v>11.28</v>
      </c>
      <c r="K216" s="4">
        <f>Raw_Data!K216</f>
        <v>0</v>
      </c>
      <c r="L216" s="3">
        <f>Raw_Data!L216</f>
        <v>33.840000000000003</v>
      </c>
      <c r="M216" s="3">
        <f>Raw_Data!M216</f>
        <v>22.36</v>
      </c>
      <c r="N216" s="3">
        <f>Raw_Data!N216</f>
        <v>11.48</v>
      </c>
      <c r="O216" t="str">
        <f t="shared" si="9"/>
        <v>2025-03</v>
      </c>
      <c r="P216" s="5">
        <f t="shared" si="10"/>
        <v>0.33924349881796689</v>
      </c>
      <c r="Q216" s="3">
        <f t="shared" si="11"/>
        <v>33.840000000000003</v>
      </c>
    </row>
    <row r="217" spans="1:17" x14ac:dyDescent="0.35">
      <c r="A217" t="str">
        <f>Raw_Data!A217</f>
        <v>ORD-0570</v>
      </c>
      <c r="B217" s="2">
        <f>Raw_Data!B217</f>
        <v>45733</v>
      </c>
      <c r="C217" t="str">
        <f>Raw_Data!C217</f>
        <v>South</v>
      </c>
      <c r="D217" t="str">
        <f>Raw_Data!D217</f>
        <v>Chennai</v>
      </c>
      <c r="E217" t="str">
        <f>Raw_Data!E217</f>
        <v>Office Supplies</v>
      </c>
      <c r="F217" t="str">
        <f>Raw_Data!F217</f>
        <v>Printer Paper</v>
      </c>
      <c r="G217" t="str">
        <f>Raw_Data!G217</f>
        <v>Consumer</v>
      </c>
      <c r="H217" t="str">
        <f>Raw_Data!H217</f>
        <v>Marketplace</v>
      </c>
      <c r="I217">
        <f>Raw_Data!I217</f>
        <v>9</v>
      </c>
      <c r="J217" s="3">
        <f>Raw_Data!J217</f>
        <v>14.28</v>
      </c>
      <c r="K217" s="4">
        <f>Raw_Data!K217</f>
        <v>0.15</v>
      </c>
      <c r="L217" s="3">
        <f>Raw_Data!L217</f>
        <v>109.24</v>
      </c>
      <c r="M217" s="3">
        <f>Raw_Data!M217</f>
        <v>83.97</v>
      </c>
      <c r="N217" s="3">
        <f>Raw_Data!N217</f>
        <v>25.27</v>
      </c>
      <c r="O217" t="str">
        <f t="shared" si="9"/>
        <v>2025-03</v>
      </c>
      <c r="P217" s="5">
        <f t="shared" si="10"/>
        <v>0.23132552178689125</v>
      </c>
      <c r="Q217" s="3">
        <f t="shared" si="11"/>
        <v>109.24</v>
      </c>
    </row>
    <row r="218" spans="1:17" x14ac:dyDescent="0.35">
      <c r="A218" t="str">
        <f>Raw_Data!A218</f>
        <v>ORD-0763</v>
      </c>
      <c r="B218" s="2">
        <f>Raw_Data!B218</f>
        <v>45733</v>
      </c>
      <c r="C218" t="str">
        <f>Raw_Data!C218</f>
        <v>West</v>
      </c>
      <c r="D218" t="str">
        <f>Raw_Data!D218</f>
        <v>Mumbai</v>
      </c>
      <c r="E218" t="str">
        <f>Raw_Data!E218</f>
        <v>Home &amp; Kitchen</v>
      </c>
      <c r="F218" t="str">
        <f>Raw_Data!F218</f>
        <v>Lunch Box</v>
      </c>
      <c r="G218" t="str">
        <f>Raw_Data!G218</f>
        <v>Consumer</v>
      </c>
      <c r="H218" t="str">
        <f>Raw_Data!H218</f>
        <v>In-Store</v>
      </c>
      <c r="I218">
        <f>Raw_Data!I218</f>
        <v>2</v>
      </c>
      <c r="J218" s="3">
        <f>Raw_Data!J218</f>
        <v>17.649999999999999</v>
      </c>
      <c r="K218" s="4">
        <f>Raw_Data!K218</f>
        <v>0.1</v>
      </c>
      <c r="L218" s="3">
        <f>Raw_Data!L218</f>
        <v>31.77</v>
      </c>
      <c r="M218" s="3">
        <f>Raw_Data!M218</f>
        <v>26.35</v>
      </c>
      <c r="N218" s="3">
        <f>Raw_Data!N218</f>
        <v>5.42</v>
      </c>
      <c r="O218" t="str">
        <f t="shared" si="9"/>
        <v>2025-03</v>
      </c>
      <c r="P218" s="5">
        <f t="shared" si="10"/>
        <v>0.17060119609694679</v>
      </c>
      <c r="Q218" s="3">
        <f t="shared" si="11"/>
        <v>31.77</v>
      </c>
    </row>
    <row r="219" spans="1:17" x14ac:dyDescent="0.35">
      <c r="A219" t="str">
        <f>Raw_Data!A219</f>
        <v>ORD-0647</v>
      </c>
      <c r="B219" s="2">
        <f>Raw_Data!B219</f>
        <v>45733</v>
      </c>
      <c r="C219" t="str">
        <f>Raw_Data!C219</f>
        <v>East</v>
      </c>
      <c r="D219" t="str">
        <f>Raw_Data!D219</f>
        <v>Kolkata</v>
      </c>
      <c r="E219" t="str">
        <f>Raw_Data!E219</f>
        <v>Home &amp; Kitchen</v>
      </c>
      <c r="F219" t="str">
        <f>Raw_Data!F219</f>
        <v>Coffee Maker</v>
      </c>
      <c r="G219" t="str">
        <f>Raw_Data!G219</f>
        <v>Small Business</v>
      </c>
      <c r="H219" t="str">
        <f>Raw_Data!H219</f>
        <v>Marketplace</v>
      </c>
      <c r="I219">
        <f>Raw_Data!I219</f>
        <v>7</v>
      </c>
      <c r="J219" s="3">
        <f>Raw_Data!J219</f>
        <v>70.599999999999994</v>
      </c>
      <c r="K219" s="4">
        <f>Raw_Data!K219</f>
        <v>0.05</v>
      </c>
      <c r="L219" s="3">
        <f>Raw_Data!L219</f>
        <v>469.49</v>
      </c>
      <c r="M219" s="3">
        <f>Raw_Data!M219</f>
        <v>288.35000000000002</v>
      </c>
      <c r="N219" s="3">
        <f>Raw_Data!N219</f>
        <v>181.14</v>
      </c>
      <c r="O219" t="str">
        <f t="shared" si="9"/>
        <v>2025-03</v>
      </c>
      <c r="P219" s="5">
        <f t="shared" si="10"/>
        <v>0.38582291422607506</v>
      </c>
      <c r="Q219" s="3">
        <f t="shared" si="11"/>
        <v>469.49</v>
      </c>
    </row>
    <row r="220" spans="1:17" x14ac:dyDescent="0.35">
      <c r="A220" t="str">
        <f>Raw_Data!A220</f>
        <v>ORD-0047</v>
      </c>
      <c r="B220" s="2">
        <f>Raw_Data!B220</f>
        <v>45733</v>
      </c>
      <c r="C220" t="str">
        <f>Raw_Data!C220</f>
        <v>South</v>
      </c>
      <c r="D220" t="str">
        <f>Raw_Data!D220</f>
        <v>Bengaluru</v>
      </c>
      <c r="E220" t="str">
        <f>Raw_Data!E220</f>
        <v>Technology</v>
      </c>
      <c r="F220" t="str">
        <f>Raw_Data!F220</f>
        <v>Wireless Mouse</v>
      </c>
      <c r="G220" t="str">
        <f>Raw_Data!G220</f>
        <v>Consumer</v>
      </c>
      <c r="H220" t="str">
        <f>Raw_Data!H220</f>
        <v>In-Store</v>
      </c>
      <c r="I220">
        <f>Raw_Data!I220</f>
        <v>7</v>
      </c>
      <c r="J220" s="3">
        <f>Raw_Data!J220</f>
        <v>16.68</v>
      </c>
      <c r="K220" s="4">
        <f>Raw_Data!K220</f>
        <v>0.15</v>
      </c>
      <c r="L220" s="3">
        <f>Raw_Data!L220</f>
        <v>99.25</v>
      </c>
      <c r="M220" s="3">
        <f>Raw_Data!M220</f>
        <v>72.319999999999993</v>
      </c>
      <c r="N220" s="3">
        <f>Raw_Data!N220</f>
        <v>26.93</v>
      </c>
      <c r="O220" t="str">
        <f t="shared" si="9"/>
        <v>2025-03</v>
      </c>
      <c r="P220" s="5">
        <f t="shared" si="10"/>
        <v>0.27133501259445841</v>
      </c>
      <c r="Q220" s="3">
        <f t="shared" si="11"/>
        <v>99.25</v>
      </c>
    </row>
    <row r="221" spans="1:17" x14ac:dyDescent="0.35">
      <c r="A221" t="str">
        <f>Raw_Data!A221</f>
        <v>ORD-0641</v>
      </c>
      <c r="B221" s="2">
        <f>Raw_Data!B221</f>
        <v>45733</v>
      </c>
      <c r="C221" t="str">
        <f>Raw_Data!C221</f>
        <v>North</v>
      </c>
      <c r="D221" t="str">
        <f>Raw_Data!D221</f>
        <v>Delhi</v>
      </c>
      <c r="E221" t="str">
        <f>Raw_Data!E221</f>
        <v>Furniture</v>
      </c>
      <c r="F221" t="str">
        <f>Raw_Data!F221</f>
        <v>Standing Desk</v>
      </c>
      <c r="G221" t="str">
        <f>Raw_Data!G221</f>
        <v>Small Business</v>
      </c>
      <c r="H221" t="str">
        <f>Raw_Data!H221</f>
        <v>In-Store</v>
      </c>
      <c r="I221">
        <f>Raw_Data!I221</f>
        <v>9</v>
      </c>
      <c r="J221" s="3">
        <f>Raw_Data!J221</f>
        <v>309.77</v>
      </c>
      <c r="K221" s="4">
        <f>Raw_Data!K221</f>
        <v>0.15</v>
      </c>
      <c r="L221" s="3">
        <f>Raw_Data!L221</f>
        <v>2369.7399999999998</v>
      </c>
      <c r="M221" s="3">
        <f>Raw_Data!M221</f>
        <v>1590.42</v>
      </c>
      <c r="N221" s="3">
        <f>Raw_Data!N221</f>
        <v>779.32</v>
      </c>
      <c r="O221" t="str">
        <f t="shared" si="9"/>
        <v>2025-03</v>
      </c>
      <c r="P221" s="5">
        <f t="shared" si="10"/>
        <v>0.32886308202587633</v>
      </c>
      <c r="Q221" s="3">
        <f t="shared" si="11"/>
        <v>2369.7399999999998</v>
      </c>
    </row>
    <row r="222" spans="1:17" x14ac:dyDescent="0.35">
      <c r="A222" t="str">
        <f>Raw_Data!A222</f>
        <v>ORD-0232</v>
      </c>
      <c r="B222" s="2">
        <f>Raw_Data!B222</f>
        <v>45734</v>
      </c>
      <c r="C222" t="str">
        <f>Raw_Data!C222</f>
        <v>West</v>
      </c>
      <c r="D222" t="str">
        <f>Raw_Data!D222</f>
        <v>Pune</v>
      </c>
      <c r="E222" t="str">
        <f>Raw_Data!E222</f>
        <v>Office Supplies</v>
      </c>
      <c r="F222" t="str">
        <f>Raw_Data!F222</f>
        <v>Pen Set</v>
      </c>
      <c r="G222" t="str">
        <f>Raw_Data!G222</f>
        <v>Consumer</v>
      </c>
      <c r="H222" t="str">
        <f>Raw_Data!H222</f>
        <v>In-Store</v>
      </c>
      <c r="I222">
        <f>Raw_Data!I222</f>
        <v>10</v>
      </c>
      <c r="J222" s="3">
        <f>Raw_Data!J222</f>
        <v>8.27</v>
      </c>
      <c r="K222" s="4">
        <f>Raw_Data!K222</f>
        <v>0.05</v>
      </c>
      <c r="L222" s="3">
        <f>Raw_Data!L222</f>
        <v>78.56</v>
      </c>
      <c r="M222" s="3">
        <f>Raw_Data!M222</f>
        <v>46.33</v>
      </c>
      <c r="N222" s="3">
        <f>Raw_Data!N222</f>
        <v>32.229999999999997</v>
      </c>
      <c r="O222" t="str">
        <f t="shared" si="9"/>
        <v>2025-03</v>
      </c>
      <c r="P222" s="5">
        <f t="shared" si="10"/>
        <v>0.41025967413441949</v>
      </c>
      <c r="Q222" s="3">
        <f t="shared" si="11"/>
        <v>78.56</v>
      </c>
    </row>
    <row r="223" spans="1:17" x14ac:dyDescent="0.35">
      <c r="A223" t="str">
        <f>Raw_Data!A223</f>
        <v>ORD-0558</v>
      </c>
      <c r="B223" s="2">
        <f>Raw_Data!B223</f>
        <v>45734</v>
      </c>
      <c r="C223" t="str">
        <f>Raw_Data!C223</f>
        <v>North</v>
      </c>
      <c r="D223" t="str">
        <f>Raw_Data!D223</f>
        <v>Chandigarh</v>
      </c>
      <c r="E223" t="str">
        <f>Raw_Data!E223</f>
        <v>Office Supplies</v>
      </c>
      <c r="F223" t="str">
        <f>Raw_Data!F223</f>
        <v>Desk Organizer</v>
      </c>
      <c r="G223" t="str">
        <f>Raw_Data!G223</f>
        <v>Consumer</v>
      </c>
      <c r="H223" t="str">
        <f>Raw_Data!H223</f>
        <v>Marketplace</v>
      </c>
      <c r="I223">
        <f>Raw_Data!I223</f>
        <v>2</v>
      </c>
      <c r="J223" s="3">
        <f>Raw_Data!J223</f>
        <v>17.96</v>
      </c>
      <c r="K223" s="4">
        <f>Raw_Data!K223</f>
        <v>0.15</v>
      </c>
      <c r="L223" s="3">
        <f>Raw_Data!L223</f>
        <v>30.53</v>
      </c>
      <c r="M223" s="3">
        <f>Raw_Data!M223</f>
        <v>23.27</v>
      </c>
      <c r="N223" s="3">
        <f>Raw_Data!N223</f>
        <v>7.26</v>
      </c>
      <c r="O223" t="str">
        <f t="shared" si="9"/>
        <v>2025-03</v>
      </c>
      <c r="P223" s="5">
        <f t="shared" si="10"/>
        <v>0.23779888634130361</v>
      </c>
      <c r="Q223" s="3">
        <f t="shared" si="11"/>
        <v>30.53</v>
      </c>
    </row>
    <row r="224" spans="1:17" x14ac:dyDescent="0.35">
      <c r="A224" t="str">
        <f>Raw_Data!A224</f>
        <v>ORD-0963</v>
      </c>
      <c r="B224" s="2">
        <f>Raw_Data!B224</f>
        <v>45734</v>
      </c>
      <c r="C224" t="str">
        <f>Raw_Data!C224</f>
        <v>North</v>
      </c>
      <c r="D224" t="str">
        <f>Raw_Data!D224</f>
        <v>Jaipur</v>
      </c>
      <c r="E224" t="str">
        <f>Raw_Data!E224</f>
        <v>Office Supplies</v>
      </c>
      <c r="F224" t="str">
        <f>Raw_Data!F224</f>
        <v>Desk Organizer</v>
      </c>
      <c r="G224" t="str">
        <f>Raw_Data!G224</f>
        <v>Corporate</v>
      </c>
      <c r="H224" t="str">
        <f>Raw_Data!H224</f>
        <v>In-Store</v>
      </c>
      <c r="I224">
        <f>Raw_Data!I224</f>
        <v>3</v>
      </c>
      <c r="J224" s="3">
        <f>Raw_Data!J224</f>
        <v>20.72</v>
      </c>
      <c r="K224" s="4">
        <f>Raw_Data!K224</f>
        <v>0.1</v>
      </c>
      <c r="L224" s="3">
        <f>Raw_Data!L224</f>
        <v>55.94</v>
      </c>
      <c r="M224" s="3">
        <f>Raw_Data!M224</f>
        <v>45.03</v>
      </c>
      <c r="N224" s="3">
        <f>Raw_Data!N224</f>
        <v>10.91</v>
      </c>
      <c r="O224" t="str">
        <f t="shared" si="9"/>
        <v>2025-03</v>
      </c>
      <c r="P224" s="5">
        <f t="shared" si="10"/>
        <v>0.19503038970325351</v>
      </c>
      <c r="Q224" s="3">
        <f t="shared" si="11"/>
        <v>55.94</v>
      </c>
    </row>
    <row r="225" spans="1:17" x14ac:dyDescent="0.35">
      <c r="A225" t="str">
        <f>Raw_Data!A225</f>
        <v>ORD-0051</v>
      </c>
      <c r="B225" s="2">
        <f>Raw_Data!B225</f>
        <v>45736</v>
      </c>
      <c r="C225" t="str">
        <f>Raw_Data!C225</f>
        <v>North</v>
      </c>
      <c r="D225" t="str">
        <f>Raw_Data!D225</f>
        <v>Chandigarh</v>
      </c>
      <c r="E225" t="str">
        <f>Raw_Data!E225</f>
        <v>Office Supplies</v>
      </c>
      <c r="F225" t="str">
        <f>Raw_Data!F225</f>
        <v>Notebook Pack</v>
      </c>
      <c r="G225" t="str">
        <f>Raw_Data!G225</f>
        <v>Consumer</v>
      </c>
      <c r="H225" t="str">
        <f>Raw_Data!H225</f>
        <v>In-Store</v>
      </c>
      <c r="I225">
        <f>Raw_Data!I225</f>
        <v>7</v>
      </c>
      <c r="J225" s="3">
        <f>Raw_Data!J225</f>
        <v>11.91</v>
      </c>
      <c r="K225" s="4">
        <f>Raw_Data!K225</f>
        <v>0.15</v>
      </c>
      <c r="L225" s="3">
        <f>Raw_Data!L225</f>
        <v>70.86</v>
      </c>
      <c r="M225" s="3">
        <f>Raw_Data!M225</f>
        <v>51.67</v>
      </c>
      <c r="N225" s="3">
        <f>Raw_Data!N225</f>
        <v>19.190000000000001</v>
      </c>
      <c r="O225" t="str">
        <f t="shared" si="9"/>
        <v>2025-03</v>
      </c>
      <c r="P225" s="5">
        <f t="shared" si="10"/>
        <v>0.27081569291560825</v>
      </c>
      <c r="Q225" s="3">
        <f t="shared" si="11"/>
        <v>70.86</v>
      </c>
    </row>
    <row r="226" spans="1:17" x14ac:dyDescent="0.35">
      <c r="A226" t="str">
        <f>Raw_Data!A226</f>
        <v>ORD-0862</v>
      </c>
      <c r="B226" s="2">
        <f>Raw_Data!B226</f>
        <v>45736</v>
      </c>
      <c r="C226" t="str">
        <f>Raw_Data!C226</f>
        <v>West</v>
      </c>
      <c r="D226" t="str">
        <f>Raw_Data!D226</f>
        <v>Mumbai</v>
      </c>
      <c r="E226" t="str">
        <f>Raw_Data!E226</f>
        <v>Office Supplies</v>
      </c>
      <c r="F226" t="str">
        <f>Raw_Data!F226</f>
        <v>Desk Organizer</v>
      </c>
      <c r="G226" t="str">
        <f>Raw_Data!G226</f>
        <v>Consumer</v>
      </c>
      <c r="H226" t="str">
        <f>Raw_Data!H226</f>
        <v>In-Store</v>
      </c>
      <c r="I226">
        <f>Raw_Data!I226</f>
        <v>7</v>
      </c>
      <c r="J226" s="3">
        <f>Raw_Data!J226</f>
        <v>21.26</v>
      </c>
      <c r="K226" s="4">
        <f>Raw_Data!K226</f>
        <v>0.1</v>
      </c>
      <c r="L226" s="3">
        <f>Raw_Data!L226</f>
        <v>133.94</v>
      </c>
      <c r="M226" s="3">
        <f>Raw_Data!M226</f>
        <v>84.08</v>
      </c>
      <c r="N226" s="3">
        <f>Raw_Data!N226</f>
        <v>49.86</v>
      </c>
      <c r="O226" t="str">
        <f t="shared" si="9"/>
        <v>2025-03</v>
      </c>
      <c r="P226" s="5">
        <f t="shared" si="10"/>
        <v>0.37225623413468717</v>
      </c>
      <c r="Q226" s="3">
        <f t="shared" si="11"/>
        <v>133.94</v>
      </c>
    </row>
    <row r="227" spans="1:17" x14ac:dyDescent="0.35">
      <c r="A227" t="str">
        <f>Raw_Data!A227</f>
        <v>ORD-0652</v>
      </c>
      <c r="B227" s="2">
        <f>Raw_Data!B227</f>
        <v>45736</v>
      </c>
      <c r="C227" t="str">
        <f>Raw_Data!C227</f>
        <v>East</v>
      </c>
      <c r="D227" t="str">
        <f>Raw_Data!D227</f>
        <v>Bhubaneswar</v>
      </c>
      <c r="E227" t="str">
        <f>Raw_Data!E227</f>
        <v>Furniture</v>
      </c>
      <c r="F227" t="str">
        <f>Raw_Data!F227</f>
        <v>Bookshelf</v>
      </c>
      <c r="G227" t="str">
        <f>Raw_Data!G227</f>
        <v>Small Business</v>
      </c>
      <c r="H227" t="str">
        <f>Raw_Data!H227</f>
        <v>Online</v>
      </c>
      <c r="I227">
        <f>Raw_Data!I227</f>
        <v>11</v>
      </c>
      <c r="J227" s="3">
        <f>Raw_Data!J227</f>
        <v>125.62</v>
      </c>
      <c r="K227" s="4">
        <f>Raw_Data!K227</f>
        <v>0.1</v>
      </c>
      <c r="L227" s="3">
        <f>Raw_Data!L227</f>
        <v>1243.6400000000001</v>
      </c>
      <c r="M227" s="3">
        <f>Raw_Data!M227</f>
        <v>714.75</v>
      </c>
      <c r="N227" s="3">
        <f>Raw_Data!N227</f>
        <v>528.89</v>
      </c>
      <c r="O227" t="str">
        <f t="shared" si="9"/>
        <v>2025-03</v>
      </c>
      <c r="P227" s="5">
        <f t="shared" si="10"/>
        <v>0.42527580328712483</v>
      </c>
      <c r="Q227" s="3">
        <f t="shared" si="11"/>
        <v>1243.6400000000001</v>
      </c>
    </row>
    <row r="228" spans="1:17" x14ac:dyDescent="0.35">
      <c r="A228" t="str">
        <f>Raw_Data!A228</f>
        <v>ORD-0206</v>
      </c>
      <c r="B228" s="2">
        <f>Raw_Data!B228</f>
        <v>45736</v>
      </c>
      <c r="C228" t="str">
        <f>Raw_Data!C228</f>
        <v>South</v>
      </c>
      <c r="D228" t="str">
        <f>Raw_Data!D228</f>
        <v>Hyderabad</v>
      </c>
      <c r="E228" t="str">
        <f>Raw_Data!E228</f>
        <v>Home &amp; Kitchen</v>
      </c>
      <c r="F228" t="str">
        <f>Raw_Data!F228</f>
        <v>Coffee Maker</v>
      </c>
      <c r="G228" t="str">
        <f>Raw_Data!G228</f>
        <v>Consumer</v>
      </c>
      <c r="H228" t="str">
        <f>Raw_Data!H228</f>
        <v>Marketplace</v>
      </c>
      <c r="I228">
        <f>Raw_Data!I228</f>
        <v>7</v>
      </c>
      <c r="J228" s="3">
        <f>Raw_Data!J228</f>
        <v>78.89</v>
      </c>
      <c r="K228" s="4">
        <f>Raw_Data!K228</f>
        <v>0.1</v>
      </c>
      <c r="L228" s="3">
        <f>Raw_Data!L228</f>
        <v>497.01</v>
      </c>
      <c r="M228" s="3">
        <f>Raw_Data!M228</f>
        <v>390.54</v>
      </c>
      <c r="N228" s="3">
        <f>Raw_Data!N228</f>
        <v>106.47</v>
      </c>
      <c r="O228" t="str">
        <f t="shared" si="9"/>
        <v>2025-03</v>
      </c>
      <c r="P228" s="5">
        <f t="shared" si="10"/>
        <v>0.21422104183014426</v>
      </c>
      <c r="Q228" s="3">
        <f t="shared" si="11"/>
        <v>497.01</v>
      </c>
    </row>
    <row r="229" spans="1:17" x14ac:dyDescent="0.35">
      <c r="A229" t="str">
        <f>Raw_Data!A229</f>
        <v>ORD-0143</v>
      </c>
      <c r="B229" s="2">
        <f>Raw_Data!B229</f>
        <v>45737</v>
      </c>
      <c r="C229" t="str">
        <f>Raw_Data!C229</f>
        <v>North</v>
      </c>
      <c r="D229" t="str">
        <f>Raw_Data!D229</f>
        <v>Jaipur</v>
      </c>
      <c r="E229" t="str">
        <f>Raw_Data!E229</f>
        <v>Technology</v>
      </c>
      <c r="F229" t="str">
        <f>Raw_Data!F229</f>
        <v>Headphones</v>
      </c>
      <c r="G229" t="str">
        <f>Raw_Data!G229</f>
        <v>Corporate</v>
      </c>
      <c r="H229" t="str">
        <f>Raw_Data!H229</f>
        <v>In-Store</v>
      </c>
      <c r="I229">
        <f>Raw_Data!I229</f>
        <v>2</v>
      </c>
      <c r="J229" s="3">
        <f>Raw_Data!J229</f>
        <v>56.52</v>
      </c>
      <c r="K229" s="4">
        <f>Raw_Data!K229</f>
        <v>0.15</v>
      </c>
      <c r="L229" s="3">
        <f>Raw_Data!L229</f>
        <v>96.08</v>
      </c>
      <c r="M229" s="3">
        <f>Raw_Data!M229</f>
        <v>82.58</v>
      </c>
      <c r="N229" s="3">
        <f>Raw_Data!N229</f>
        <v>13.5</v>
      </c>
      <c r="O229" t="str">
        <f t="shared" si="9"/>
        <v>2025-03</v>
      </c>
      <c r="P229" s="5">
        <f t="shared" si="10"/>
        <v>0.14050791007493754</v>
      </c>
      <c r="Q229" s="3">
        <f t="shared" si="11"/>
        <v>96.08</v>
      </c>
    </row>
    <row r="230" spans="1:17" x14ac:dyDescent="0.35">
      <c r="A230" t="str">
        <f>Raw_Data!A230</f>
        <v>ORD-0305</v>
      </c>
      <c r="B230" s="2">
        <f>Raw_Data!B230</f>
        <v>45737</v>
      </c>
      <c r="C230" t="str">
        <f>Raw_Data!C230</f>
        <v>East</v>
      </c>
      <c r="D230" t="str">
        <f>Raw_Data!D230</f>
        <v>Bhubaneswar</v>
      </c>
      <c r="E230" t="str">
        <f>Raw_Data!E230</f>
        <v>Technology</v>
      </c>
      <c r="F230" t="str">
        <f>Raw_Data!F230</f>
        <v>Keyboard</v>
      </c>
      <c r="G230" t="str">
        <f>Raw_Data!G230</f>
        <v>Consumer</v>
      </c>
      <c r="H230" t="str">
        <f>Raw_Data!H230</f>
        <v>In-Store</v>
      </c>
      <c r="I230">
        <f>Raw_Data!I230</f>
        <v>8</v>
      </c>
      <c r="J230" s="3">
        <f>Raw_Data!J230</f>
        <v>32.42</v>
      </c>
      <c r="K230" s="4">
        <f>Raw_Data!K230</f>
        <v>0.1</v>
      </c>
      <c r="L230" s="3">
        <f>Raw_Data!L230</f>
        <v>233.42</v>
      </c>
      <c r="M230" s="3">
        <f>Raw_Data!M230</f>
        <v>133.88999999999999</v>
      </c>
      <c r="N230" s="3">
        <f>Raw_Data!N230</f>
        <v>99.53</v>
      </c>
      <c r="O230" t="str">
        <f t="shared" si="9"/>
        <v>2025-03</v>
      </c>
      <c r="P230" s="5">
        <f t="shared" si="10"/>
        <v>0.4263987661725645</v>
      </c>
      <c r="Q230" s="3">
        <f t="shared" si="11"/>
        <v>233.42</v>
      </c>
    </row>
    <row r="231" spans="1:17" x14ac:dyDescent="0.35">
      <c r="A231" t="str">
        <f>Raw_Data!A231</f>
        <v>ORD-0321</v>
      </c>
      <c r="B231" s="2">
        <f>Raw_Data!B231</f>
        <v>45738</v>
      </c>
      <c r="C231" t="str">
        <f>Raw_Data!C231</f>
        <v>East</v>
      </c>
      <c r="D231" t="str">
        <f>Raw_Data!D231</f>
        <v>Guwahati</v>
      </c>
      <c r="E231" t="str">
        <f>Raw_Data!E231</f>
        <v>Home &amp; Kitchen</v>
      </c>
      <c r="F231" t="str">
        <f>Raw_Data!F231</f>
        <v>Lunch Box</v>
      </c>
      <c r="G231" t="str">
        <f>Raw_Data!G231</f>
        <v>Consumer</v>
      </c>
      <c r="H231" t="str">
        <f>Raw_Data!H231</f>
        <v>Marketplace</v>
      </c>
      <c r="I231">
        <f>Raw_Data!I231</f>
        <v>11</v>
      </c>
      <c r="J231" s="3">
        <f>Raw_Data!J231</f>
        <v>19.22</v>
      </c>
      <c r="K231" s="4">
        <f>Raw_Data!K231</f>
        <v>0.15</v>
      </c>
      <c r="L231" s="3">
        <f>Raw_Data!L231</f>
        <v>179.71</v>
      </c>
      <c r="M231" s="3">
        <f>Raw_Data!M231</f>
        <v>145.47</v>
      </c>
      <c r="N231" s="3">
        <f>Raw_Data!N231</f>
        <v>34.24</v>
      </c>
      <c r="O231" t="str">
        <f t="shared" si="9"/>
        <v>2025-03</v>
      </c>
      <c r="P231" s="5">
        <f t="shared" si="10"/>
        <v>0.19052918591063381</v>
      </c>
      <c r="Q231" s="3">
        <f t="shared" si="11"/>
        <v>179.71</v>
      </c>
    </row>
    <row r="232" spans="1:17" x14ac:dyDescent="0.35">
      <c r="A232" t="str">
        <f>Raw_Data!A232</f>
        <v>ORD-0429</v>
      </c>
      <c r="B232" s="2">
        <f>Raw_Data!B232</f>
        <v>45738</v>
      </c>
      <c r="C232" t="str">
        <f>Raw_Data!C232</f>
        <v>West</v>
      </c>
      <c r="D232" t="str">
        <f>Raw_Data!D232</f>
        <v>Pune</v>
      </c>
      <c r="E232" t="str">
        <f>Raw_Data!E232</f>
        <v>Furniture</v>
      </c>
      <c r="F232" t="str">
        <f>Raw_Data!F232</f>
        <v>Office Chair</v>
      </c>
      <c r="G232" t="str">
        <f>Raw_Data!G232</f>
        <v>Corporate</v>
      </c>
      <c r="H232" t="str">
        <f>Raw_Data!H232</f>
        <v>In-Store</v>
      </c>
      <c r="I232">
        <f>Raw_Data!I232</f>
        <v>11</v>
      </c>
      <c r="J232" s="3">
        <f>Raw_Data!J232</f>
        <v>134.94</v>
      </c>
      <c r="K232" s="4">
        <f>Raw_Data!K232</f>
        <v>0.05</v>
      </c>
      <c r="L232" s="3">
        <f>Raw_Data!L232</f>
        <v>1410.12</v>
      </c>
      <c r="M232" s="3">
        <f>Raw_Data!M232</f>
        <v>1033.21</v>
      </c>
      <c r="N232" s="3">
        <f>Raw_Data!N232</f>
        <v>376.91</v>
      </c>
      <c r="O232" t="str">
        <f t="shared" si="9"/>
        <v>2025-03</v>
      </c>
      <c r="P232" s="5">
        <f t="shared" si="10"/>
        <v>0.2672893087113154</v>
      </c>
      <c r="Q232" s="3">
        <f t="shared" si="11"/>
        <v>1410.12</v>
      </c>
    </row>
    <row r="233" spans="1:17" x14ac:dyDescent="0.35">
      <c r="A233" t="str">
        <f>Raw_Data!A233</f>
        <v>ORD-0097</v>
      </c>
      <c r="B233" s="2">
        <f>Raw_Data!B233</f>
        <v>45738</v>
      </c>
      <c r="C233" t="str">
        <f>Raw_Data!C233</f>
        <v>West</v>
      </c>
      <c r="D233" t="str">
        <f>Raw_Data!D233</f>
        <v>Pune</v>
      </c>
      <c r="E233" t="str">
        <f>Raw_Data!E233</f>
        <v>Technology</v>
      </c>
      <c r="F233" t="str">
        <f>Raw_Data!F233</f>
        <v>USB Hub</v>
      </c>
      <c r="G233" t="str">
        <f>Raw_Data!G233</f>
        <v>Corporate</v>
      </c>
      <c r="H233" t="str">
        <f>Raw_Data!H233</f>
        <v>In-Store</v>
      </c>
      <c r="I233">
        <f>Raw_Data!I233</f>
        <v>6</v>
      </c>
      <c r="J233" s="3">
        <f>Raw_Data!J233</f>
        <v>28.7</v>
      </c>
      <c r="K233" s="4">
        <f>Raw_Data!K233</f>
        <v>0.05</v>
      </c>
      <c r="L233" s="3">
        <f>Raw_Data!L233</f>
        <v>163.59</v>
      </c>
      <c r="M233" s="3">
        <f>Raw_Data!M233</f>
        <v>115.66</v>
      </c>
      <c r="N233" s="3">
        <f>Raw_Data!N233</f>
        <v>47.93</v>
      </c>
      <c r="O233" t="str">
        <f t="shared" si="9"/>
        <v>2025-03</v>
      </c>
      <c r="P233" s="5">
        <f t="shared" si="10"/>
        <v>0.29298856898343417</v>
      </c>
      <c r="Q233" s="3">
        <f t="shared" si="11"/>
        <v>163.59</v>
      </c>
    </row>
    <row r="234" spans="1:17" x14ac:dyDescent="0.35">
      <c r="A234" t="str">
        <f>Raw_Data!A234</f>
        <v>ORD-0524</v>
      </c>
      <c r="B234" s="2">
        <f>Raw_Data!B234</f>
        <v>45738</v>
      </c>
      <c r="C234" t="str">
        <f>Raw_Data!C234</f>
        <v>South</v>
      </c>
      <c r="D234" t="str">
        <f>Raw_Data!D234</f>
        <v>Chennai</v>
      </c>
      <c r="E234" t="str">
        <f>Raw_Data!E234</f>
        <v>Furniture</v>
      </c>
      <c r="F234" t="str">
        <f>Raw_Data!F234</f>
        <v>Office Chair</v>
      </c>
      <c r="G234" t="str">
        <f>Raw_Data!G234</f>
        <v>Corporate</v>
      </c>
      <c r="H234" t="str">
        <f>Raw_Data!H234</f>
        <v>Online</v>
      </c>
      <c r="I234">
        <f>Raw_Data!I234</f>
        <v>9</v>
      </c>
      <c r="J234" s="3">
        <f>Raw_Data!J234</f>
        <v>150.30000000000001</v>
      </c>
      <c r="K234" s="4">
        <f>Raw_Data!K234</f>
        <v>0</v>
      </c>
      <c r="L234" s="3">
        <f>Raw_Data!L234</f>
        <v>1352.7</v>
      </c>
      <c r="M234" s="3">
        <f>Raw_Data!M234</f>
        <v>724.02</v>
      </c>
      <c r="N234" s="3">
        <f>Raw_Data!N234</f>
        <v>628.67999999999995</v>
      </c>
      <c r="O234" t="str">
        <f t="shared" si="9"/>
        <v>2025-03</v>
      </c>
      <c r="P234" s="5">
        <f t="shared" si="10"/>
        <v>0.46475937014859164</v>
      </c>
      <c r="Q234" s="3">
        <f t="shared" si="11"/>
        <v>1352.7</v>
      </c>
    </row>
    <row r="235" spans="1:17" x14ac:dyDescent="0.35">
      <c r="A235" t="str">
        <f>Raw_Data!A235</f>
        <v>ORD-0424</v>
      </c>
      <c r="B235" s="2">
        <f>Raw_Data!B235</f>
        <v>45739</v>
      </c>
      <c r="C235" t="str">
        <f>Raw_Data!C235</f>
        <v>West</v>
      </c>
      <c r="D235" t="str">
        <f>Raw_Data!D235</f>
        <v>Pune</v>
      </c>
      <c r="E235" t="str">
        <f>Raw_Data!E235</f>
        <v>Office Supplies</v>
      </c>
      <c r="F235" t="str">
        <f>Raw_Data!F235</f>
        <v>Pen Set</v>
      </c>
      <c r="G235" t="str">
        <f>Raw_Data!G235</f>
        <v>Consumer</v>
      </c>
      <c r="H235" t="str">
        <f>Raw_Data!H235</f>
        <v>Online</v>
      </c>
      <c r="I235">
        <f>Raw_Data!I235</f>
        <v>12</v>
      </c>
      <c r="J235" s="3">
        <f>Raw_Data!J235</f>
        <v>8.85</v>
      </c>
      <c r="K235" s="4">
        <f>Raw_Data!K235</f>
        <v>0.05</v>
      </c>
      <c r="L235" s="3">
        <f>Raw_Data!L235</f>
        <v>100.89</v>
      </c>
      <c r="M235" s="3">
        <f>Raw_Data!M235</f>
        <v>52.26</v>
      </c>
      <c r="N235" s="3">
        <f>Raw_Data!N235</f>
        <v>48.63</v>
      </c>
      <c r="O235" t="str">
        <f t="shared" si="9"/>
        <v>2025-03</v>
      </c>
      <c r="P235" s="5">
        <f t="shared" si="10"/>
        <v>0.48201011002081479</v>
      </c>
      <c r="Q235" s="3">
        <f t="shared" si="11"/>
        <v>100.89</v>
      </c>
    </row>
    <row r="236" spans="1:17" x14ac:dyDescent="0.35">
      <c r="A236" t="str">
        <f>Raw_Data!A236</f>
        <v>ORD-0973</v>
      </c>
      <c r="B236" s="2">
        <f>Raw_Data!B236</f>
        <v>45740</v>
      </c>
      <c r="C236" t="str">
        <f>Raw_Data!C236</f>
        <v>East</v>
      </c>
      <c r="D236" t="str">
        <f>Raw_Data!D236</f>
        <v>Bhubaneswar</v>
      </c>
      <c r="E236" t="str">
        <f>Raw_Data!E236</f>
        <v>Technology</v>
      </c>
      <c r="F236" t="str">
        <f>Raw_Data!F236</f>
        <v>USB Hub</v>
      </c>
      <c r="G236" t="str">
        <f>Raw_Data!G236</f>
        <v>Corporate</v>
      </c>
      <c r="H236" t="str">
        <f>Raw_Data!H236</f>
        <v>Marketplace</v>
      </c>
      <c r="I236">
        <f>Raw_Data!I236</f>
        <v>7</v>
      </c>
      <c r="J236" s="3">
        <f>Raw_Data!J236</f>
        <v>26.11</v>
      </c>
      <c r="K236" s="4">
        <f>Raw_Data!K236</f>
        <v>0.1</v>
      </c>
      <c r="L236" s="3">
        <f>Raw_Data!L236</f>
        <v>164.49</v>
      </c>
      <c r="M236" s="3">
        <f>Raw_Data!M236</f>
        <v>118.11</v>
      </c>
      <c r="N236" s="3">
        <f>Raw_Data!N236</f>
        <v>46.38</v>
      </c>
      <c r="O236" t="str">
        <f t="shared" si="9"/>
        <v>2025-03</v>
      </c>
      <c r="P236" s="5">
        <f t="shared" si="10"/>
        <v>0.28196242932701077</v>
      </c>
      <c r="Q236" s="3">
        <f t="shared" si="11"/>
        <v>164.49</v>
      </c>
    </row>
    <row r="237" spans="1:17" x14ac:dyDescent="0.35">
      <c r="A237" t="str">
        <f>Raw_Data!A237</f>
        <v>ORD-0843</v>
      </c>
      <c r="B237" s="2">
        <f>Raw_Data!B237</f>
        <v>45740</v>
      </c>
      <c r="C237" t="str">
        <f>Raw_Data!C237</f>
        <v>West</v>
      </c>
      <c r="D237" t="str">
        <f>Raw_Data!D237</f>
        <v>Ahmedabad</v>
      </c>
      <c r="E237" t="str">
        <f>Raw_Data!E237</f>
        <v>Office Supplies</v>
      </c>
      <c r="F237" t="str">
        <f>Raw_Data!F237</f>
        <v>Notebook Pack</v>
      </c>
      <c r="G237" t="str">
        <f>Raw_Data!G237</f>
        <v>Consumer</v>
      </c>
      <c r="H237" t="str">
        <f>Raw_Data!H237</f>
        <v>Online</v>
      </c>
      <c r="I237">
        <f>Raw_Data!I237</f>
        <v>10</v>
      </c>
      <c r="J237" s="3">
        <f>Raw_Data!J237</f>
        <v>10.62</v>
      </c>
      <c r="K237" s="4">
        <f>Raw_Data!K237</f>
        <v>0.05</v>
      </c>
      <c r="L237" s="3">
        <f>Raw_Data!L237</f>
        <v>100.89</v>
      </c>
      <c r="M237" s="3">
        <f>Raw_Data!M237</f>
        <v>54.93</v>
      </c>
      <c r="N237" s="3">
        <f>Raw_Data!N237</f>
        <v>45.96</v>
      </c>
      <c r="O237" t="str">
        <f t="shared" si="9"/>
        <v>2025-03</v>
      </c>
      <c r="P237" s="5">
        <f t="shared" si="10"/>
        <v>0.45554564377044304</v>
      </c>
      <c r="Q237" s="3">
        <f t="shared" si="11"/>
        <v>100.89</v>
      </c>
    </row>
    <row r="238" spans="1:17" x14ac:dyDescent="0.35">
      <c r="A238" t="str">
        <f>Raw_Data!A238</f>
        <v>ORD-0665</v>
      </c>
      <c r="B238" s="2">
        <f>Raw_Data!B238</f>
        <v>45740</v>
      </c>
      <c r="C238" t="str">
        <f>Raw_Data!C238</f>
        <v>South</v>
      </c>
      <c r="D238" t="str">
        <f>Raw_Data!D238</f>
        <v>Hyderabad</v>
      </c>
      <c r="E238" t="str">
        <f>Raw_Data!E238</f>
        <v>Office Supplies</v>
      </c>
      <c r="F238" t="str">
        <f>Raw_Data!F238</f>
        <v>Notebook Pack</v>
      </c>
      <c r="G238" t="str">
        <f>Raw_Data!G238</f>
        <v>Small Business</v>
      </c>
      <c r="H238" t="str">
        <f>Raw_Data!H238</f>
        <v>Online</v>
      </c>
      <c r="I238">
        <f>Raw_Data!I238</f>
        <v>2</v>
      </c>
      <c r="J238" s="3">
        <f>Raw_Data!J238</f>
        <v>13.64</v>
      </c>
      <c r="K238" s="4">
        <f>Raw_Data!K238</f>
        <v>0</v>
      </c>
      <c r="L238" s="3">
        <f>Raw_Data!L238</f>
        <v>27.28</v>
      </c>
      <c r="M238" s="3">
        <f>Raw_Data!M238</f>
        <v>17.420000000000002</v>
      </c>
      <c r="N238" s="3">
        <f>Raw_Data!N238</f>
        <v>9.86</v>
      </c>
      <c r="O238" t="str">
        <f t="shared" si="9"/>
        <v>2025-03</v>
      </c>
      <c r="P238" s="5">
        <f t="shared" si="10"/>
        <v>0.36143695014662752</v>
      </c>
      <c r="Q238" s="3">
        <f t="shared" si="11"/>
        <v>27.28</v>
      </c>
    </row>
    <row r="239" spans="1:17" x14ac:dyDescent="0.35">
      <c r="A239" t="str">
        <f>Raw_Data!A239</f>
        <v>ORD-0904</v>
      </c>
      <c r="B239" s="2">
        <f>Raw_Data!B239</f>
        <v>45740</v>
      </c>
      <c r="C239" t="str">
        <f>Raw_Data!C239</f>
        <v>East</v>
      </c>
      <c r="D239" t="str">
        <f>Raw_Data!D239</f>
        <v>Bhubaneswar</v>
      </c>
      <c r="E239" t="str">
        <f>Raw_Data!E239</f>
        <v>Technology</v>
      </c>
      <c r="F239" t="str">
        <f>Raw_Data!F239</f>
        <v>Headphones</v>
      </c>
      <c r="G239" t="str">
        <f>Raw_Data!G239</f>
        <v>Corporate</v>
      </c>
      <c r="H239" t="str">
        <f>Raw_Data!H239</f>
        <v>Online</v>
      </c>
      <c r="I239">
        <f>Raw_Data!I239</f>
        <v>1</v>
      </c>
      <c r="J239" s="3">
        <f>Raw_Data!J239</f>
        <v>48.38</v>
      </c>
      <c r="K239" s="4">
        <f>Raw_Data!K239</f>
        <v>0</v>
      </c>
      <c r="L239" s="3">
        <f>Raw_Data!L239</f>
        <v>48.38</v>
      </c>
      <c r="M239" s="3">
        <f>Raw_Data!M239</f>
        <v>30.57</v>
      </c>
      <c r="N239" s="3">
        <f>Raw_Data!N239</f>
        <v>17.809999999999999</v>
      </c>
      <c r="O239" t="str">
        <f t="shared" si="9"/>
        <v>2025-03</v>
      </c>
      <c r="P239" s="5">
        <f t="shared" si="10"/>
        <v>0.36812732534104997</v>
      </c>
      <c r="Q239" s="3">
        <f t="shared" si="11"/>
        <v>48.38</v>
      </c>
    </row>
    <row r="240" spans="1:17" x14ac:dyDescent="0.35">
      <c r="A240" t="str">
        <f>Raw_Data!A240</f>
        <v>ORD-0490</v>
      </c>
      <c r="B240" s="2">
        <f>Raw_Data!B240</f>
        <v>45740</v>
      </c>
      <c r="C240" t="str">
        <f>Raw_Data!C240</f>
        <v>West</v>
      </c>
      <c r="D240" t="str">
        <f>Raw_Data!D240</f>
        <v>Ahmedabad</v>
      </c>
      <c r="E240" t="str">
        <f>Raw_Data!E240</f>
        <v>Technology</v>
      </c>
      <c r="F240" t="str">
        <f>Raw_Data!F240</f>
        <v>Keyboard</v>
      </c>
      <c r="G240" t="str">
        <f>Raw_Data!G240</f>
        <v>Consumer</v>
      </c>
      <c r="H240" t="str">
        <f>Raw_Data!H240</f>
        <v>Marketplace</v>
      </c>
      <c r="I240">
        <f>Raw_Data!I240</f>
        <v>8</v>
      </c>
      <c r="J240" s="3">
        <f>Raw_Data!J240</f>
        <v>30.51</v>
      </c>
      <c r="K240" s="4">
        <f>Raw_Data!K240</f>
        <v>0.05</v>
      </c>
      <c r="L240" s="3">
        <f>Raw_Data!L240</f>
        <v>231.88</v>
      </c>
      <c r="M240" s="3">
        <f>Raw_Data!M240</f>
        <v>156.82</v>
      </c>
      <c r="N240" s="3">
        <f>Raw_Data!N240</f>
        <v>75.06</v>
      </c>
      <c r="O240" t="str">
        <f t="shared" si="9"/>
        <v>2025-03</v>
      </c>
      <c r="P240" s="5">
        <f t="shared" si="10"/>
        <v>0.32370191478350874</v>
      </c>
      <c r="Q240" s="3">
        <f t="shared" si="11"/>
        <v>231.88</v>
      </c>
    </row>
    <row r="241" spans="1:17" x14ac:dyDescent="0.35">
      <c r="A241" t="str">
        <f>Raw_Data!A241</f>
        <v>ORD-0865</v>
      </c>
      <c r="B241" s="2">
        <f>Raw_Data!B241</f>
        <v>45741</v>
      </c>
      <c r="C241" t="str">
        <f>Raw_Data!C241</f>
        <v>West</v>
      </c>
      <c r="D241" t="str">
        <f>Raw_Data!D241</f>
        <v>Pune</v>
      </c>
      <c r="E241" t="str">
        <f>Raw_Data!E241</f>
        <v>Office Supplies</v>
      </c>
      <c r="F241" t="str">
        <f>Raw_Data!F241</f>
        <v>Printer Paper</v>
      </c>
      <c r="G241" t="str">
        <f>Raw_Data!G241</f>
        <v>Corporate</v>
      </c>
      <c r="H241" t="str">
        <f>Raw_Data!H241</f>
        <v>Marketplace</v>
      </c>
      <c r="I241">
        <f>Raw_Data!I241</f>
        <v>5</v>
      </c>
      <c r="J241" s="3">
        <f>Raw_Data!J241</f>
        <v>16.8</v>
      </c>
      <c r="K241" s="4">
        <f>Raw_Data!K241</f>
        <v>0.05</v>
      </c>
      <c r="L241" s="3">
        <f>Raw_Data!L241</f>
        <v>79.8</v>
      </c>
      <c r="M241" s="3">
        <f>Raw_Data!M241</f>
        <v>53.16</v>
      </c>
      <c r="N241" s="3">
        <f>Raw_Data!N241</f>
        <v>26.64</v>
      </c>
      <c r="O241" t="str">
        <f t="shared" si="9"/>
        <v>2025-03</v>
      </c>
      <c r="P241" s="5">
        <f t="shared" si="10"/>
        <v>0.33383458646616543</v>
      </c>
      <c r="Q241" s="3">
        <f t="shared" si="11"/>
        <v>79.8</v>
      </c>
    </row>
    <row r="242" spans="1:17" x14ac:dyDescent="0.35">
      <c r="A242" t="str">
        <f>Raw_Data!A242</f>
        <v>ORD-0726</v>
      </c>
      <c r="B242" s="2">
        <f>Raw_Data!B242</f>
        <v>45741</v>
      </c>
      <c r="C242" t="str">
        <f>Raw_Data!C242</f>
        <v>West</v>
      </c>
      <c r="D242" t="str">
        <f>Raw_Data!D242</f>
        <v>Pune</v>
      </c>
      <c r="E242" t="str">
        <f>Raw_Data!E242</f>
        <v>Home &amp; Kitchen</v>
      </c>
      <c r="F242" t="str">
        <f>Raw_Data!F242</f>
        <v>Lunch Box</v>
      </c>
      <c r="G242" t="str">
        <f>Raw_Data!G242</f>
        <v>Small Business</v>
      </c>
      <c r="H242" t="str">
        <f>Raw_Data!H242</f>
        <v>Marketplace</v>
      </c>
      <c r="I242">
        <f>Raw_Data!I242</f>
        <v>5</v>
      </c>
      <c r="J242" s="3">
        <f>Raw_Data!J242</f>
        <v>21.53</v>
      </c>
      <c r="K242" s="4">
        <f>Raw_Data!K242</f>
        <v>0</v>
      </c>
      <c r="L242" s="3">
        <f>Raw_Data!L242</f>
        <v>107.65</v>
      </c>
      <c r="M242" s="3">
        <f>Raw_Data!M242</f>
        <v>55.57</v>
      </c>
      <c r="N242" s="3">
        <f>Raw_Data!N242</f>
        <v>52.08</v>
      </c>
      <c r="O242" t="str">
        <f t="shared" si="9"/>
        <v>2025-03</v>
      </c>
      <c r="P242" s="5">
        <f t="shared" si="10"/>
        <v>0.48379006038086386</v>
      </c>
      <c r="Q242" s="3">
        <f t="shared" si="11"/>
        <v>107.65</v>
      </c>
    </row>
    <row r="243" spans="1:17" x14ac:dyDescent="0.35">
      <c r="A243" t="str">
        <f>Raw_Data!A243</f>
        <v>ORD-0208</v>
      </c>
      <c r="B243" s="2">
        <f>Raw_Data!B243</f>
        <v>45742</v>
      </c>
      <c r="C243" t="str">
        <f>Raw_Data!C243</f>
        <v>West</v>
      </c>
      <c r="D243" t="str">
        <f>Raw_Data!D243</f>
        <v>Mumbai</v>
      </c>
      <c r="E243" t="str">
        <f>Raw_Data!E243</f>
        <v>Furniture</v>
      </c>
      <c r="F243" t="str">
        <f>Raw_Data!F243</f>
        <v>Standing Desk</v>
      </c>
      <c r="G243" t="str">
        <f>Raw_Data!G243</f>
        <v>Consumer</v>
      </c>
      <c r="H243" t="str">
        <f>Raw_Data!H243</f>
        <v>In-Store</v>
      </c>
      <c r="I243">
        <f>Raw_Data!I243</f>
        <v>2</v>
      </c>
      <c r="J243" s="3">
        <f>Raw_Data!J243</f>
        <v>282.91000000000003</v>
      </c>
      <c r="K243" s="4">
        <f>Raw_Data!K243</f>
        <v>0.15</v>
      </c>
      <c r="L243" s="3">
        <f>Raw_Data!L243</f>
        <v>480.95</v>
      </c>
      <c r="M243" s="3">
        <f>Raw_Data!M243</f>
        <v>354.57</v>
      </c>
      <c r="N243" s="3">
        <f>Raw_Data!N243</f>
        <v>126.38</v>
      </c>
      <c r="O243" t="str">
        <f t="shared" si="9"/>
        <v>2025-03</v>
      </c>
      <c r="P243" s="5">
        <f t="shared" si="10"/>
        <v>0.2627715978791974</v>
      </c>
      <c r="Q243" s="3">
        <f t="shared" si="11"/>
        <v>480.95</v>
      </c>
    </row>
    <row r="244" spans="1:17" x14ac:dyDescent="0.35">
      <c r="A244" t="str">
        <f>Raw_Data!A244</f>
        <v>ORD-0054</v>
      </c>
      <c r="B244" s="2">
        <f>Raw_Data!B244</f>
        <v>45742</v>
      </c>
      <c r="C244" t="str">
        <f>Raw_Data!C244</f>
        <v>North</v>
      </c>
      <c r="D244" t="str">
        <f>Raw_Data!D244</f>
        <v>Chandigarh</v>
      </c>
      <c r="E244" t="str">
        <f>Raw_Data!E244</f>
        <v>Home &amp; Kitchen</v>
      </c>
      <c r="F244" t="str">
        <f>Raw_Data!F244</f>
        <v>Storage Box</v>
      </c>
      <c r="G244" t="str">
        <f>Raw_Data!G244</f>
        <v>Consumer</v>
      </c>
      <c r="H244" t="str">
        <f>Raw_Data!H244</f>
        <v>Marketplace</v>
      </c>
      <c r="I244">
        <f>Raw_Data!I244</f>
        <v>10</v>
      </c>
      <c r="J244" s="3">
        <f>Raw_Data!J244</f>
        <v>14.52</v>
      </c>
      <c r="K244" s="4">
        <f>Raw_Data!K244</f>
        <v>0.1</v>
      </c>
      <c r="L244" s="3">
        <f>Raw_Data!L244</f>
        <v>130.68</v>
      </c>
      <c r="M244" s="3">
        <f>Raw_Data!M244</f>
        <v>95.48</v>
      </c>
      <c r="N244" s="3">
        <f>Raw_Data!N244</f>
        <v>35.200000000000003</v>
      </c>
      <c r="O244" t="str">
        <f t="shared" si="9"/>
        <v>2025-03</v>
      </c>
      <c r="P244" s="5">
        <f t="shared" si="10"/>
        <v>0.26936026936026936</v>
      </c>
      <c r="Q244" s="3">
        <f t="shared" si="11"/>
        <v>130.68</v>
      </c>
    </row>
    <row r="245" spans="1:17" x14ac:dyDescent="0.35">
      <c r="A245" t="str">
        <f>Raw_Data!A245</f>
        <v>ORD-0257</v>
      </c>
      <c r="B245" s="2">
        <f>Raw_Data!B245</f>
        <v>45742</v>
      </c>
      <c r="C245" t="str">
        <f>Raw_Data!C245</f>
        <v>West</v>
      </c>
      <c r="D245" t="str">
        <f>Raw_Data!D245</f>
        <v>Ahmedabad</v>
      </c>
      <c r="E245" t="str">
        <f>Raw_Data!E245</f>
        <v>Office Supplies</v>
      </c>
      <c r="F245" t="str">
        <f>Raw_Data!F245</f>
        <v>Pen Set</v>
      </c>
      <c r="G245" t="str">
        <f>Raw_Data!G245</f>
        <v>Consumer</v>
      </c>
      <c r="H245" t="str">
        <f>Raw_Data!H245</f>
        <v>In-Store</v>
      </c>
      <c r="I245">
        <f>Raw_Data!I245</f>
        <v>9</v>
      </c>
      <c r="J245" s="3">
        <f>Raw_Data!J245</f>
        <v>7.25</v>
      </c>
      <c r="K245" s="4">
        <f>Raw_Data!K245</f>
        <v>0.15</v>
      </c>
      <c r="L245" s="3">
        <f>Raw_Data!L245</f>
        <v>55.46</v>
      </c>
      <c r="M245" s="3">
        <f>Raw_Data!M245</f>
        <v>39.67</v>
      </c>
      <c r="N245" s="3">
        <f>Raw_Data!N245</f>
        <v>15.79</v>
      </c>
      <c r="O245" t="str">
        <f t="shared" si="9"/>
        <v>2025-03</v>
      </c>
      <c r="P245" s="5">
        <f t="shared" si="10"/>
        <v>0.28470970068517848</v>
      </c>
      <c r="Q245" s="3">
        <f t="shared" si="11"/>
        <v>55.46</v>
      </c>
    </row>
    <row r="246" spans="1:17" x14ac:dyDescent="0.35">
      <c r="A246" t="str">
        <f>Raw_Data!A246</f>
        <v>ORD-0337</v>
      </c>
      <c r="B246" s="2">
        <f>Raw_Data!B246</f>
        <v>45743</v>
      </c>
      <c r="C246" t="str">
        <f>Raw_Data!C246</f>
        <v>West</v>
      </c>
      <c r="D246" t="str">
        <f>Raw_Data!D246</f>
        <v>Mumbai</v>
      </c>
      <c r="E246" t="str">
        <f>Raw_Data!E246</f>
        <v>Office Supplies</v>
      </c>
      <c r="F246" t="str">
        <f>Raw_Data!F246</f>
        <v>Pen Set</v>
      </c>
      <c r="G246" t="str">
        <f>Raw_Data!G246</f>
        <v>Consumer</v>
      </c>
      <c r="H246" t="str">
        <f>Raw_Data!H246</f>
        <v>Marketplace</v>
      </c>
      <c r="I246">
        <f>Raw_Data!I246</f>
        <v>3</v>
      </c>
      <c r="J246" s="3">
        <f>Raw_Data!J246</f>
        <v>6.92</v>
      </c>
      <c r="K246" s="4">
        <f>Raw_Data!K246</f>
        <v>0</v>
      </c>
      <c r="L246" s="3">
        <f>Raw_Data!L246</f>
        <v>20.76</v>
      </c>
      <c r="M246" s="3">
        <f>Raw_Data!M246</f>
        <v>16.12</v>
      </c>
      <c r="N246" s="3">
        <f>Raw_Data!N246</f>
        <v>4.6399999999999997</v>
      </c>
      <c r="O246" t="str">
        <f t="shared" si="9"/>
        <v>2025-03</v>
      </c>
      <c r="P246" s="5">
        <f t="shared" si="10"/>
        <v>0.22350674373795759</v>
      </c>
      <c r="Q246" s="3">
        <f t="shared" si="11"/>
        <v>20.76</v>
      </c>
    </row>
    <row r="247" spans="1:17" x14ac:dyDescent="0.35">
      <c r="A247" t="str">
        <f>Raw_Data!A247</f>
        <v>ORD-0294</v>
      </c>
      <c r="B247" s="2">
        <f>Raw_Data!B247</f>
        <v>45743</v>
      </c>
      <c r="C247" t="str">
        <f>Raw_Data!C247</f>
        <v>North</v>
      </c>
      <c r="D247" t="str">
        <f>Raw_Data!D247</f>
        <v>Jaipur</v>
      </c>
      <c r="E247" t="str">
        <f>Raw_Data!E247</f>
        <v>Furniture</v>
      </c>
      <c r="F247" t="str">
        <f>Raw_Data!F247</f>
        <v>Desk Lamp</v>
      </c>
      <c r="G247" t="str">
        <f>Raw_Data!G247</f>
        <v>Consumer</v>
      </c>
      <c r="H247" t="str">
        <f>Raw_Data!H247</f>
        <v>Marketplace</v>
      </c>
      <c r="I247">
        <f>Raw_Data!I247</f>
        <v>5</v>
      </c>
      <c r="J247" s="3">
        <f>Raw_Data!J247</f>
        <v>42.59</v>
      </c>
      <c r="K247" s="4">
        <f>Raw_Data!K247</f>
        <v>0.15</v>
      </c>
      <c r="L247" s="3">
        <f>Raw_Data!L247</f>
        <v>181.01</v>
      </c>
      <c r="M247" s="3">
        <f>Raw_Data!M247</f>
        <v>145.28</v>
      </c>
      <c r="N247" s="3">
        <f>Raw_Data!N247</f>
        <v>35.729999999999997</v>
      </c>
      <c r="O247" t="str">
        <f t="shared" si="9"/>
        <v>2025-03</v>
      </c>
      <c r="P247" s="5">
        <f t="shared" si="10"/>
        <v>0.19739240925915694</v>
      </c>
      <c r="Q247" s="3">
        <f t="shared" si="11"/>
        <v>181.01</v>
      </c>
    </row>
    <row r="248" spans="1:17" x14ac:dyDescent="0.35">
      <c r="A248" t="str">
        <f>Raw_Data!A248</f>
        <v>ORD-0896</v>
      </c>
      <c r="B248" s="2">
        <f>Raw_Data!B248</f>
        <v>45744</v>
      </c>
      <c r="C248" t="str">
        <f>Raw_Data!C248</f>
        <v>North</v>
      </c>
      <c r="D248" t="str">
        <f>Raw_Data!D248</f>
        <v>Chandigarh</v>
      </c>
      <c r="E248" t="str">
        <f>Raw_Data!E248</f>
        <v>Technology</v>
      </c>
      <c r="F248" t="str">
        <f>Raw_Data!F248</f>
        <v>Wireless Mouse</v>
      </c>
      <c r="G248" t="str">
        <f>Raw_Data!G248</f>
        <v>Corporate</v>
      </c>
      <c r="H248" t="str">
        <f>Raw_Data!H248</f>
        <v>Marketplace</v>
      </c>
      <c r="I248">
        <f>Raw_Data!I248</f>
        <v>6</v>
      </c>
      <c r="J248" s="3">
        <f>Raw_Data!J248</f>
        <v>21.44</v>
      </c>
      <c r="K248" s="4">
        <f>Raw_Data!K248</f>
        <v>0</v>
      </c>
      <c r="L248" s="3">
        <f>Raw_Data!L248</f>
        <v>128.63999999999999</v>
      </c>
      <c r="M248" s="3">
        <f>Raw_Data!M248</f>
        <v>98.22</v>
      </c>
      <c r="N248" s="3">
        <f>Raw_Data!N248</f>
        <v>30.42</v>
      </c>
      <c r="O248" t="str">
        <f t="shared" si="9"/>
        <v>2025-03</v>
      </c>
      <c r="P248" s="5">
        <f t="shared" si="10"/>
        <v>0.23647388059701496</v>
      </c>
      <c r="Q248" s="3">
        <f t="shared" si="11"/>
        <v>128.63999999999999</v>
      </c>
    </row>
    <row r="249" spans="1:17" x14ac:dyDescent="0.35">
      <c r="A249" t="str">
        <f>Raw_Data!A249</f>
        <v>ORD-0922</v>
      </c>
      <c r="B249" s="2">
        <f>Raw_Data!B249</f>
        <v>45745</v>
      </c>
      <c r="C249" t="str">
        <f>Raw_Data!C249</f>
        <v>North</v>
      </c>
      <c r="D249" t="str">
        <f>Raw_Data!D249</f>
        <v>Chandigarh</v>
      </c>
      <c r="E249" t="str">
        <f>Raw_Data!E249</f>
        <v>Furniture</v>
      </c>
      <c r="F249" t="str">
        <f>Raw_Data!F249</f>
        <v>Office Chair</v>
      </c>
      <c r="G249" t="str">
        <f>Raw_Data!G249</f>
        <v>Small Business</v>
      </c>
      <c r="H249" t="str">
        <f>Raw_Data!H249</f>
        <v>In-Store</v>
      </c>
      <c r="I249">
        <f>Raw_Data!I249</f>
        <v>6</v>
      </c>
      <c r="J249" s="3">
        <f>Raw_Data!J249</f>
        <v>169.64</v>
      </c>
      <c r="K249" s="4">
        <f>Raw_Data!K249</f>
        <v>0</v>
      </c>
      <c r="L249" s="3">
        <f>Raw_Data!L249</f>
        <v>1017.84</v>
      </c>
      <c r="M249" s="3">
        <f>Raw_Data!M249</f>
        <v>742.53</v>
      </c>
      <c r="N249" s="3">
        <f>Raw_Data!N249</f>
        <v>275.31</v>
      </c>
      <c r="O249" t="str">
        <f t="shared" si="9"/>
        <v>2025-03</v>
      </c>
      <c r="P249" s="5">
        <f t="shared" si="10"/>
        <v>0.2704845555293563</v>
      </c>
      <c r="Q249" s="3">
        <f t="shared" si="11"/>
        <v>1017.84</v>
      </c>
    </row>
    <row r="250" spans="1:17" x14ac:dyDescent="0.35">
      <c r="A250" t="str">
        <f>Raw_Data!A250</f>
        <v>ORD-0914</v>
      </c>
      <c r="B250" s="2">
        <f>Raw_Data!B250</f>
        <v>45745</v>
      </c>
      <c r="C250" t="str">
        <f>Raw_Data!C250</f>
        <v>West</v>
      </c>
      <c r="D250" t="str">
        <f>Raw_Data!D250</f>
        <v>Mumbai</v>
      </c>
      <c r="E250" t="str">
        <f>Raw_Data!E250</f>
        <v>Furniture</v>
      </c>
      <c r="F250" t="str">
        <f>Raw_Data!F250</f>
        <v>Standing Desk</v>
      </c>
      <c r="G250" t="str">
        <f>Raw_Data!G250</f>
        <v>Small Business</v>
      </c>
      <c r="H250" t="str">
        <f>Raw_Data!H250</f>
        <v>Marketplace</v>
      </c>
      <c r="I250">
        <f>Raw_Data!I250</f>
        <v>3</v>
      </c>
      <c r="J250" s="3">
        <f>Raw_Data!J250</f>
        <v>252.41</v>
      </c>
      <c r="K250" s="4">
        <f>Raw_Data!K250</f>
        <v>0.15</v>
      </c>
      <c r="L250" s="3">
        <f>Raw_Data!L250</f>
        <v>643.65</v>
      </c>
      <c r="M250" s="3">
        <f>Raw_Data!M250</f>
        <v>488.79</v>
      </c>
      <c r="N250" s="3">
        <f>Raw_Data!N250</f>
        <v>154.86000000000001</v>
      </c>
      <c r="O250" t="str">
        <f t="shared" si="9"/>
        <v>2025-03</v>
      </c>
      <c r="P250" s="5">
        <f t="shared" si="10"/>
        <v>0.24059659752971338</v>
      </c>
      <c r="Q250" s="3">
        <f t="shared" si="11"/>
        <v>643.65</v>
      </c>
    </row>
    <row r="251" spans="1:17" x14ac:dyDescent="0.35">
      <c r="A251" t="str">
        <f>Raw_Data!A251</f>
        <v>ORD-0609</v>
      </c>
      <c r="B251" s="2">
        <f>Raw_Data!B251</f>
        <v>45746</v>
      </c>
      <c r="C251" t="str">
        <f>Raw_Data!C251</f>
        <v>East</v>
      </c>
      <c r="D251" t="str">
        <f>Raw_Data!D251</f>
        <v>Bhubaneswar</v>
      </c>
      <c r="E251" t="str">
        <f>Raw_Data!E251</f>
        <v>Furniture</v>
      </c>
      <c r="F251" t="str">
        <f>Raw_Data!F251</f>
        <v>Office Chair</v>
      </c>
      <c r="G251" t="str">
        <f>Raw_Data!G251</f>
        <v>Corporate</v>
      </c>
      <c r="H251" t="str">
        <f>Raw_Data!H251</f>
        <v>Online</v>
      </c>
      <c r="I251">
        <f>Raw_Data!I251</f>
        <v>2</v>
      </c>
      <c r="J251" s="3">
        <f>Raw_Data!J251</f>
        <v>137.15</v>
      </c>
      <c r="K251" s="4">
        <f>Raw_Data!K251</f>
        <v>0.1</v>
      </c>
      <c r="L251" s="3">
        <f>Raw_Data!L251</f>
        <v>246.87</v>
      </c>
      <c r="M251" s="3">
        <f>Raw_Data!M251</f>
        <v>145.49</v>
      </c>
      <c r="N251" s="3">
        <f>Raw_Data!N251</f>
        <v>101.38</v>
      </c>
      <c r="O251" t="str">
        <f t="shared" si="9"/>
        <v>2025-03</v>
      </c>
      <c r="P251" s="5">
        <f t="shared" si="10"/>
        <v>0.41066148175152911</v>
      </c>
      <c r="Q251" s="3">
        <f t="shared" si="11"/>
        <v>246.87</v>
      </c>
    </row>
    <row r="252" spans="1:17" x14ac:dyDescent="0.35">
      <c r="A252" t="str">
        <f>Raw_Data!A252</f>
        <v>ORD-0661</v>
      </c>
      <c r="B252" s="2">
        <f>Raw_Data!B252</f>
        <v>45746</v>
      </c>
      <c r="C252" t="str">
        <f>Raw_Data!C252</f>
        <v>South</v>
      </c>
      <c r="D252" t="str">
        <f>Raw_Data!D252</f>
        <v>Chennai</v>
      </c>
      <c r="E252" t="str">
        <f>Raw_Data!E252</f>
        <v>Furniture</v>
      </c>
      <c r="F252" t="str">
        <f>Raw_Data!F252</f>
        <v>Office Chair</v>
      </c>
      <c r="G252" t="str">
        <f>Raw_Data!G252</f>
        <v>Corporate</v>
      </c>
      <c r="H252" t="str">
        <f>Raw_Data!H252</f>
        <v>Online</v>
      </c>
      <c r="I252">
        <f>Raw_Data!I252</f>
        <v>12</v>
      </c>
      <c r="J252" s="3">
        <f>Raw_Data!J252</f>
        <v>164.59</v>
      </c>
      <c r="K252" s="4">
        <f>Raw_Data!K252</f>
        <v>0</v>
      </c>
      <c r="L252" s="3">
        <f>Raw_Data!L252</f>
        <v>1975.08</v>
      </c>
      <c r="M252" s="3">
        <f>Raw_Data!M252</f>
        <v>1024.3</v>
      </c>
      <c r="N252" s="3">
        <f>Raw_Data!N252</f>
        <v>950.78</v>
      </c>
      <c r="O252" t="str">
        <f t="shared" si="9"/>
        <v>2025-03</v>
      </c>
      <c r="P252" s="5">
        <f t="shared" si="10"/>
        <v>0.48138809567207402</v>
      </c>
      <c r="Q252" s="3">
        <f t="shared" si="11"/>
        <v>1975.08</v>
      </c>
    </row>
    <row r="253" spans="1:17" x14ac:dyDescent="0.35">
      <c r="A253" t="str">
        <f>Raw_Data!A253</f>
        <v>ORD-0746</v>
      </c>
      <c r="B253" s="2">
        <f>Raw_Data!B253</f>
        <v>45746</v>
      </c>
      <c r="C253" t="str">
        <f>Raw_Data!C253</f>
        <v>West</v>
      </c>
      <c r="D253" t="str">
        <f>Raw_Data!D253</f>
        <v>Mumbai</v>
      </c>
      <c r="E253" t="str">
        <f>Raw_Data!E253</f>
        <v>Office Supplies</v>
      </c>
      <c r="F253" t="str">
        <f>Raw_Data!F253</f>
        <v>Pen Set</v>
      </c>
      <c r="G253" t="str">
        <f>Raw_Data!G253</f>
        <v>Small Business</v>
      </c>
      <c r="H253" t="str">
        <f>Raw_Data!H253</f>
        <v>Online</v>
      </c>
      <c r="I253">
        <f>Raw_Data!I253</f>
        <v>10</v>
      </c>
      <c r="J253" s="3">
        <f>Raw_Data!J253</f>
        <v>8.18</v>
      </c>
      <c r="K253" s="4">
        <f>Raw_Data!K253</f>
        <v>0.1</v>
      </c>
      <c r="L253" s="3">
        <f>Raw_Data!L253</f>
        <v>73.62</v>
      </c>
      <c r="M253" s="3">
        <f>Raw_Data!M253</f>
        <v>62.41</v>
      </c>
      <c r="N253" s="3">
        <f>Raw_Data!N253</f>
        <v>11.21</v>
      </c>
      <c r="O253" t="str">
        <f t="shared" si="9"/>
        <v>2025-03</v>
      </c>
      <c r="P253" s="5">
        <f t="shared" si="10"/>
        <v>0.15226840532464003</v>
      </c>
      <c r="Q253" s="3">
        <f t="shared" si="11"/>
        <v>73.62</v>
      </c>
    </row>
    <row r="254" spans="1:17" x14ac:dyDescent="0.35">
      <c r="A254" t="str">
        <f>Raw_Data!A254</f>
        <v>ORD-0849</v>
      </c>
      <c r="B254" s="2">
        <f>Raw_Data!B254</f>
        <v>45746</v>
      </c>
      <c r="C254" t="str">
        <f>Raw_Data!C254</f>
        <v>South</v>
      </c>
      <c r="D254" t="str">
        <f>Raw_Data!D254</f>
        <v>Chennai</v>
      </c>
      <c r="E254" t="str">
        <f>Raw_Data!E254</f>
        <v>Technology</v>
      </c>
      <c r="F254" t="str">
        <f>Raw_Data!F254</f>
        <v>USB Hub</v>
      </c>
      <c r="G254" t="str">
        <f>Raw_Data!G254</f>
        <v>Consumer</v>
      </c>
      <c r="H254" t="str">
        <f>Raw_Data!H254</f>
        <v>Marketplace</v>
      </c>
      <c r="I254">
        <f>Raw_Data!I254</f>
        <v>11</v>
      </c>
      <c r="J254" s="3">
        <f>Raw_Data!J254</f>
        <v>23.06</v>
      </c>
      <c r="K254" s="4">
        <f>Raw_Data!K254</f>
        <v>0.1</v>
      </c>
      <c r="L254" s="3">
        <f>Raw_Data!L254</f>
        <v>228.29</v>
      </c>
      <c r="M254" s="3">
        <f>Raw_Data!M254</f>
        <v>137.94999999999999</v>
      </c>
      <c r="N254" s="3">
        <f>Raw_Data!N254</f>
        <v>90.34</v>
      </c>
      <c r="O254" t="str">
        <f t="shared" si="9"/>
        <v>2025-03</v>
      </c>
      <c r="P254" s="5">
        <f t="shared" si="10"/>
        <v>0.39572473608130015</v>
      </c>
      <c r="Q254" s="3">
        <f t="shared" si="11"/>
        <v>228.29</v>
      </c>
    </row>
    <row r="255" spans="1:17" x14ac:dyDescent="0.35">
      <c r="A255" t="str">
        <f>Raw_Data!A255</f>
        <v>ORD-0574</v>
      </c>
      <c r="B255" s="2">
        <f>Raw_Data!B255</f>
        <v>45746</v>
      </c>
      <c r="C255" t="str">
        <f>Raw_Data!C255</f>
        <v>South</v>
      </c>
      <c r="D255" t="str">
        <f>Raw_Data!D255</f>
        <v>Bengaluru</v>
      </c>
      <c r="E255" t="str">
        <f>Raw_Data!E255</f>
        <v>Home &amp; Kitchen</v>
      </c>
      <c r="F255" t="str">
        <f>Raw_Data!F255</f>
        <v>Storage Box</v>
      </c>
      <c r="G255" t="str">
        <f>Raw_Data!G255</f>
        <v>Small Business</v>
      </c>
      <c r="H255" t="str">
        <f>Raw_Data!H255</f>
        <v>Marketplace</v>
      </c>
      <c r="I255">
        <f>Raw_Data!I255</f>
        <v>4</v>
      </c>
      <c r="J255" s="3">
        <f>Raw_Data!J255</f>
        <v>14.62</v>
      </c>
      <c r="K255" s="4">
        <f>Raw_Data!K255</f>
        <v>0.05</v>
      </c>
      <c r="L255" s="3">
        <f>Raw_Data!L255</f>
        <v>55.56</v>
      </c>
      <c r="M255" s="3">
        <f>Raw_Data!M255</f>
        <v>42.81</v>
      </c>
      <c r="N255" s="3">
        <f>Raw_Data!N255</f>
        <v>12.75</v>
      </c>
      <c r="O255" t="str">
        <f t="shared" si="9"/>
        <v>2025-03</v>
      </c>
      <c r="P255" s="5">
        <f t="shared" si="10"/>
        <v>0.2294816414686825</v>
      </c>
      <c r="Q255" s="3">
        <f t="shared" si="11"/>
        <v>55.56</v>
      </c>
    </row>
    <row r="256" spans="1:17" x14ac:dyDescent="0.35">
      <c r="A256" t="str">
        <f>Raw_Data!A256</f>
        <v>ORD-0350</v>
      </c>
      <c r="B256" s="2">
        <f>Raw_Data!B256</f>
        <v>45746</v>
      </c>
      <c r="C256" t="str">
        <f>Raw_Data!C256</f>
        <v>East</v>
      </c>
      <c r="D256" t="str">
        <f>Raw_Data!D256</f>
        <v>Bhubaneswar</v>
      </c>
      <c r="E256" t="str">
        <f>Raw_Data!E256</f>
        <v>Technology</v>
      </c>
      <c r="F256" t="str">
        <f>Raw_Data!F256</f>
        <v>Keyboard</v>
      </c>
      <c r="G256" t="str">
        <f>Raw_Data!G256</f>
        <v>Small Business</v>
      </c>
      <c r="H256" t="str">
        <f>Raw_Data!H256</f>
        <v>In-Store</v>
      </c>
      <c r="I256">
        <f>Raw_Data!I256</f>
        <v>5</v>
      </c>
      <c r="J256" s="3">
        <f>Raw_Data!J256</f>
        <v>34.01</v>
      </c>
      <c r="K256" s="4">
        <f>Raw_Data!K256</f>
        <v>0.05</v>
      </c>
      <c r="L256" s="3">
        <f>Raw_Data!L256</f>
        <v>161.55000000000001</v>
      </c>
      <c r="M256" s="3">
        <f>Raw_Data!M256</f>
        <v>117.98</v>
      </c>
      <c r="N256" s="3">
        <f>Raw_Data!N256</f>
        <v>43.57</v>
      </c>
      <c r="O256" t="str">
        <f t="shared" si="9"/>
        <v>2025-03</v>
      </c>
      <c r="P256" s="5">
        <f t="shared" si="10"/>
        <v>0.2696997833488084</v>
      </c>
      <c r="Q256" s="3">
        <f t="shared" si="11"/>
        <v>161.55000000000001</v>
      </c>
    </row>
    <row r="257" spans="1:17" x14ac:dyDescent="0.35">
      <c r="A257" t="str">
        <f>Raw_Data!A257</f>
        <v>ORD-0043</v>
      </c>
      <c r="B257" s="2">
        <f>Raw_Data!B257</f>
        <v>45747</v>
      </c>
      <c r="C257" t="str">
        <f>Raw_Data!C257</f>
        <v>West</v>
      </c>
      <c r="D257" t="str">
        <f>Raw_Data!D257</f>
        <v>Ahmedabad</v>
      </c>
      <c r="E257" t="str">
        <f>Raw_Data!E257</f>
        <v>Furniture</v>
      </c>
      <c r="F257" t="str">
        <f>Raw_Data!F257</f>
        <v>Standing Desk</v>
      </c>
      <c r="G257" t="str">
        <f>Raw_Data!G257</f>
        <v>Corporate</v>
      </c>
      <c r="H257" t="str">
        <f>Raw_Data!H257</f>
        <v>Marketplace</v>
      </c>
      <c r="I257">
        <f>Raw_Data!I257</f>
        <v>9</v>
      </c>
      <c r="J257" s="3">
        <f>Raw_Data!J257</f>
        <v>296.87</v>
      </c>
      <c r="K257" s="4">
        <f>Raw_Data!K257</f>
        <v>0.05</v>
      </c>
      <c r="L257" s="3">
        <f>Raw_Data!L257</f>
        <v>2538.2399999999998</v>
      </c>
      <c r="M257" s="3">
        <f>Raw_Data!M257</f>
        <v>1512.45</v>
      </c>
      <c r="N257" s="3">
        <f>Raw_Data!N257</f>
        <v>1025.79</v>
      </c>
      <c r="O257" t="str">
        <f t="shared" si="9"/>
        <v>2025-03</v>
      </c>
      <c r="P257" s="5">
        <f t="shared" si="10"/>
        <v>0.40413436081694404</v>
      </c>
      <c r="Q257" s="3">
        <f t="shared" si="11"/>
        <v>2538.2399999999998</v>
      </c>
    </row>
    <row r="258" spans="1:17" x14ac:dyDescent="0.35">
      <c r="A258" t="str">
        <f>Raw_Data!A258</f>
        <v>ORD-0449</v>
      </c>
      <c r="B258" s="2">
        <f>Raw_Data!B258</f>
        <v>45747</v>
      </c>
      <c r="C258" t="str">
        <f>Raw_Data!C258</f>
        <v>North</v>
      </c>
      <c r="D258" t="str">
        <f>Raw_Data!D258</f>
        <v>Jaipur</v>
      </c>
      <c r="E258" t="str">
        <f>Raw_Data!E258</f>
        <v>Home &amp; Kitchen</v>
      </c>
      <c r="F258" t="str">
        <f>Raw_Data!F258</f>
        <v>Water Bottle</v>
      </c>
      <c r="G258" t="str">
        <f>Raw_Data!G258</f>
        <v>Corporate</v>
      </c>
      <c r="H258" t="str">
        <f>Raw_Data!H258</f>
        <v>In-Store</v>
      </c>
      <c r="I258">
        <f>Raw_Data!I258</f>
        <v>9</v>
      </c>
      <c r="J258" s="3">
        <f>Raw_Data!J258</f>
        <v>14.01</v>
      </c>
      <c r="K258" s="4">
        <f>Raw_Data!K258</f>
        <v>0.05</v>
      </c>
      <c r="L258" s="3">
        <f>Raw_Data!L258</f>
        <v>119.79</v>
      </c>
      <c r="M258" s="3">
        <f>Raw_Data!M258</f>
        <v>73.38</v>
      </c>
      <c r="N258" s="3">
        <f>Raw_Data!N258</f>
        <v>46.41</v>
      </c>
      <c r="O258" t="str">
        <f t="shared" ref="O258:O321" si="12">TEXT(B258,"yyyy-mm")</f>
        <v>2025-03</v>
      </c>
      <c r="P258" s="5">
        <f t="shared" ref="P258:P321" si="13">IFERROR(N258/L258,0)</f>
        <v>0.38742799899824687</v>
      </c>
      <c r="Q258" s="3">
        <f t="shared" ref="Q258:Q321" si="14">IFERROR(L258,0)</f>
        <v>119.79</v>
      </c>
    </row>
    <row r="259" spans="1:17" x14ac:dyDescent="0.35">
      <c r="A259" t="str">
        <f>Raw_Data!A259</f>
        <v>ORD-0112</v>
      </c>
      <c r="B259" s="2">
        <f>Raw_Data!B259</f>
        <v>45747</v>
      </c>
      <c r="C259" t="str">
        <f>Raw_Data!C259</f>
        <v>North</v>
      </c>
      <c r="D259" t="str">
        <f>Raw_Data!D259</f>
        <v>Delhi</v>
      </c>
      <c r="E259" t="str">
        <f>Raw_Data!E259</f>
        <v>Technology</v>
      </c>
      <c r="F259" t="str">
        <f>Raw_Data!F259</f>
        <v>Wireless Mouse</v>
      </c>
      <c r="G259" t="str">
        <f>Raw_Data!G259</f>
        <v>Consumer</v>
      </c>
      <c r="H259" t="str">
        <f>Raw_Data!H259</f>
        <v>In-Store</v>
      </c>
      <c r="I259">
        <f>Raw_Data!I259</f>
        <v>3</v>
      </c>
      <c r="J259" s="3">
        <f>Raw_Data!J259</f>
        <v>15.39</v>
      </c>
      <c r="K259" s="4">
        <f>Raw_Data!K259</f>
        <v>0</v>
      </c>
      <c r="L259" s="3">
        <f>Raw_Data!L259</f>
        <v>46.17</v>
      </c>
      <c r="M259" s="3">
        <f>Raw_Data!M259</f>
        <v>30.32</v>
      </c>
      <c r="N259" s="3">
        <f>Raw_Data!N259</f>
        <v>15.85</v>
      </c>
      <c r="O259" t="str">
        <f t="shared" si="12"/>
        <v>2025-03</v>
      </c>
      <c r="P259" s="5">
        <f t="shared" si="13"/>
        <v>0.34329651288715612</v>
      </c>
      <c r="Q259" s="3">
        <f t="shared" si="14"/>
        <v>46.17</v>
      </c>
    </row>
    <row r="260" spans="1:17" x14ac:dyDescent="0.35">
      <c r="A260" t="str">
        <f>Raw_Data!A260</f>
        <v>ORD-0322</v>
      </c>
      <c r="B260" s="2">
        <f>Raw_Data!B260</f>
        <v>45747</v>
      </c>
      <c r="C260" t="str">
        <f>Raw_Data!C260</f>
        <v>North</v>
      </c>
      <c r="D260" t="str">
        <f>Raw_Data!D260</f>
        <v>Chandigarh</v>
      </c>
      <c r="E260" t="str">
        <f>Raw_Data!E260</f>
        <v>Home &amp; Kitchen</v>
      </c>
      <c r="F260" t="str">
        <f>Raw_Data!F260</f>
        <v>Coffee Maker</v>
      </c>
      <c r="G260" t="str">
        <f>Raw_Data!G260</f>
        <v>Corporate</v>
      </c>
      <c r="H260" t="str">
        <f>Raw_Data!H260</f>
        <v>Marketplace</v>
      </c>
      <c r="I260">
        <f>Raw_Data!I260</f>
        <v>12</v>
      </c>
      <c r="J260" s="3">
        <f>Raw_Data!J260</f>
        <v>78.55</v>
      </c>
      <c r="K260" s="4">
        <f>Raw_Data!K260</f>
        <v>0</v>
      </c>
      <c r="L260" s="3">
        <f>Raw_Data!L260</f>
        <v>942.6</v>
      </c>
      <c r="M260" s="3">
        <f>Raw_Data!M260</f>
        <v>502.7</v>
      </c>
      <c r="N260" s="3">
        <f>Raw_Data!N260</f>
        <v>439.9</v>
      </c>
      <c r="O260" t="str">
        <f t="shared" si="12"/>
        <v>2025-03</v>
      </c>
      <c r="P260" s="5">
        <f t="shared" si="13"/>
        <v>0.46668788457458094</v>
      </c>
      <c r="Q260" s="3">
        <f t="shared" si="14"/>
        <v>942.6</v>
      </c>
    </row>
    <row r="261" spans="1:17" x14ac:dyDescent="0.35">
      <c r="A261" t="str">
        <f>Raw_Data!A261</f>
        <v>ORD-0318</v>
      </c>
      <c r="B261" s="2">
        <f>Raw_Data!B261</f>
        <v>45747</v>
      </c>
      <c r="C261" t="str">
        <f>Raw_Data!C261</f>
        <v>West</v>
      </c>
      <c r="D261" t="str">
        <f>Raw_Data!D261</f>
        <v>Ahmedabad</v>
      </c>
      <c r="E261" t="str">
        <f>Raw_Data!E261</f>
        <v>Home &amp; Kitchen</v>
      </c>
      <c r="F261" t="str">
        <f>Raw_Data!F261</f>
        <v>Water Bottle</v>
      </c>
      <c r="G261" t="str">
        <f>Raw_Data!G261</f>
        <v>Consumer</v>
      </c>
      <c r="H261" t="str">
        <f>Raw_Data!H261</f>
        <v>In-Store</v>
      </c>
      <c r="I261">
        <f>Raw_Data!I261</f>
        <v>2</v>
      </c>
      <c r="J261" s="3">
        <f>Raw_Data!J261</f>
        <v>13.91</v>
      </c>
      <c r="K261" s="4">
        <f>Raw_Data!K261</f>
        <v>0.15</v>
      </c>
      <c r="L261" s="3">
        <f>Raw_Data!L261</f>
        <v>23.65</v>
      </c>
      <c r="M261" s="3">
        <f>Raw_Data!M261</f>
        <v>15.18</v>
      </c>
      <c r="N261" s="3">
        <f>Raw_Data!N261</f>
        <v>8.4700000000000006</v>
      </c>
      <c r="O261" t="str">
        <f t="shared" si="12"/>
        <v>2025-03</v>
      </c>
      <c r="P261" s="5">
        <f t="shared" si="13"/>
        <v>0.35813953488372097</v>
      </c>
      <c r="Q261" s="3">
        <f t="shared" si="14"/>
        <v>23.65</v>
      </c>
    </row>
    <row r="262" spans="1:17" x14ac:dyDescent="0.35">
      <c r="A262" t="str">
        <f>Raw_Data!A262</f>
        <v>ORD-0390</v>
      </c>
      <c r="B262" s="2">
        <f>Raw_Data!B262</f>
        <v>45748</v>
      </c>
      <c r="C262" t="str">
        <f>Raw_Data!C262</f>
        <v>East</v>
      </c>
      <c r="D262" t="str">
        <f>Raw_Data!D262</f>
        <v>Bhubaneswar</v>
      </c>
      <c r="E262" t="str">
        <f>Raw_Data!E262</f>
        <v>Office Supplies</v>
      </c>
      <c r="F262" t="str">
        <f>Raw_Data!F262</f>
        <v>Pen Set</v>
      </c>
      <c r="G262" t="str">
        <f>Raw_Data!G262</f>
        <v>Corporate</v>
      </c>
      <c r="H262" t="str">
        <f>Raw_Data!H262</f>
        <v>In-Store</v>
      </c>
      <c r="I262">
        <f>Raw_Data!I262</f>
        <v>2</v>
      </c>
      <c r="J262" s="3">
        <f>Raw_Data!J262</f>
        <v>7.88</v>
      </c>
      <c r="K262" s="4">
        <f>Raw_Data!K262</f>
        <v>0.15</v>
      </c>
      <c r="L262" s="3">
        <f>Raw_Data!L262</f>
        <v>13.4</v>
      </c>
      <c r="M262" s="3">
        <f>Raw_Data!M262</f>
        <v>10.43</v>
      </c>
      <c r="N262" s="3">
        <f>Raw_Data!N262</f>
        <v>2.97</v>
      </c>
      <c r="O262" t="str">
        <f t="shared" si="12"/>
        <v>2025-04</v>
      </c>
      <c r="P262" s="5">
        <f t="shared" si="13"/>
        <v>0.22164179104477613</v>
      </c>
      <c r="Q262" s="3">
        <f t="shared" si="14"/>
        <v>13.4</v>
      </c>
    </row>
    <row r="263" spans="1:17" x14ac:dyDescent="0.35">
      <c r="A263" t="str">
        <f>Raw_Data!A263</f>
        <v>ORD-0472</v>
      </c>
      <c r="B263" s="2">
        <f>Raw_Data!B263</f>
        <v>45748</v>
      </c>
      <c r="C263" t="str">
        <f>Raw_Data!C263</f>
        <v>East</v>
      </c>
      <c r="D263" t="str">
        <f>Raw_Data!D263</f>
        <v>Kolkata</v>
      </c>
      <c r="E263" t="str">
        <f>Raw_Data!E263</f>
        <v>Home &amp; Kitchen</v>
      </c>
      <c r="F263" t="str">
        <f>Raw_Data!F263</f>
        <v>Lunch Box</v>
      </c>
      <c r="G263" t="str">
        <f>Raw_Data!G263</f>
        <v>Small Business</v>
      </c>
      <c r="H263" t="str">
        <f>Raw_Data!H263</f>
        <v>Marketplace</v>
      </c>
      <c r="I263">
        <f>Raw_Data!I263</f>
        <v>9</v>
      </c>
      <c r="J263" s="3">
        <f>Raw_Data!J263</f>
        <v>21.48</v>
      </c>
      <c r="K263" s="4">
        <f>Raw_Data!K263</f>
        <v>0.15</v>
      </c>
      <c r="L263" s="3">
        <f>Raw_Data!L263</f>
        <v>164.32</v>
      </c>
      <c r="M263" s="3">
        <f>Raw_Data!M263</f>
        <v>110.75</v>
      </c>
      <c r="N263" s="3">
        <f>Raw_Data!N263</f>
        <v>53.57</v>
      </c>
      <c r="O263" t="str">
        <f t="shared" si="12"/>
        <v>2025-04</v>
      </c>
      <c r="P263" s="5">
        <f t="shared" si="13"/>
        <v>0.32601022395326196</v>
      </c>
      <c r="Q263" s="3">
        <f t="shared" si="14"/>
        <v>164.32</v>
      </c>
    </row>
    <row r="264" spans="1:17" x14ac:dyDescent="0.35">
      <c r="A264" t="str">
        <f>Raw_Data!A264</f>
        <v>ORD-0602</v>
      </c>
      <c r="B264" s="2">
        <f>Raw_Data!B264</f>
        <v>45748</v>
      </c>
      <c r="C264" t="str">
        <f>Raw_Data!C264</f>
        <v>East</v>
      </c>
      <c r="D264" t="str">
        <f>Raw_Data!D264</f>
        <v>Guwahati</v>
      </c>
      <c r="E264" t="str">
        <f>Raw_Data!E264</f>
        <v>Technology</v>
      </c>
      <c r="F264" t="str">
        <f>Raw_Data!F264</f>
        <v>USB Hub</v>
      </c>
      <c r="G264" t="str">
        <f>Raw_Data!G264</f>
        <v>Small Business</v>
      </c>
      <c r="H264" t="str">
        <f>Raw_Data!H264</f>
        <v>Online</v>
      </c>
      <c r="I264">
        <f>Raw_Data!I264</f>
        <v>11</v>
      </c>
      <c r="J264" s="3">
        <f>Raw_Data!J264</f>
        <v>22</v>
      </c>
      <c r="K264" s="4">
        <f>Raw_Data!K264</f>
        <v>0.1</v>
      </c>
      <c r="L264" s="3">
        <f>Raw_Data!L264</f>
        <v>217.8</v>
      </c>
      <c r="M264" s="3">
        <f>Raw_Data!M264</f>
        <v>181.24</v>
      </c>
      <c r="N264" s="3">
        <f>Raw_Data!N264</f>
        <v>36.56</v>
      </c>
      <c r="O264" t="str">
        <f t="shared" si="12"/>
        <v>2025-04</v>
      </c>
      <c r="P264" s="5">
        <f t="shared" si="13"/>
        <v>0.16786042240587695</v>
      </c>
      <c r="Q264" s="3">
        <f t="shared" si="14"/>
        <v>217.8</v>
      </c>
    </row>
    <row r="265" spans="1:17" x14ac:dyDescent="0.35">
      <c r="A265" t="str">
        <f>Raw_Data!A265</f>
        <v>ORD-0561</v>
      </c>
      <c r="B265" s="2">
        <f>Raw_Data!B265</f>
        <v>45749</v>
      </c>
      <c r="C265" t="str">
        <f>Raw_Data!C265</f>
        <v>North</v>
      </c>
      <c r="D265" t="str">
        <f>Raw_Data!D265</f>
        <v>Delhi</v>
      </c>
      <c r="E265" t="str">
        <f>Raw_Data!E265</f>
        <v>Home &amp; Kitchen</v>
      </c>
      <c r="F265" t="str">
        <f>Raw_Data!F265</f>
        <v>Coffee Maker</v>
      </c>
      <c r="G265" t="str">
        <f>Raw_Data!G265</f>
        <v>Small Business</v>
      </c>
      <c r="H265" t="str">
        <f>Raw_Data!H265</f>
        <v>Marketplace</v>
      </c>
      <c r="I265">
        <f>Raw_Data!I265</f>
        <v>5</v>
      </c>
      <c r="J265" s="3">
        <f>Raw_Data!J265</f>
        <v>69.569999999999993</v>
      </c>
      <c r="K265" s="4">
        <f>Raw_Data!K265</f>
        <v>0</v>
      </c>
      <c r="L265" s="3">
        <f>Raw_Data!L265</f>
        <v>347.85</v>
      </c>
      <c r="M265" s="3">
        <f>Raw_Data!M265</f>
        <v>241.36</v>
      </c>
      <c r="N265" s="3">
        <f>Raw_Data!N265</f>
        <v>106.49</v>
      </c>
      <c r="O265" t="str">
        <f t="shared" si="12"/>
        <v>2025-04</v>
      </c>
      <c r="P265" s="5">
        <f t="shared" si="13"/>
        <v>0.30613770303291643</v>
      </c>
      <c r="Q265" s="3">
        <f t="shared" si="14"/>
        <v>347.85</v>
      </c>
    </row>
    <row r="266" spans="1:17" x14ac:dyDescent="0.35">
      <c r="A266" t="str">
        <f>Raw_Data!A266</f>
        <v>ORD-0596</v>
      </c>
      <c r="B266" s="2">
        <f>Raw_Data!B266</f>
        <v>45749</v>
      </c>
      <c r="C266" t="str">
        <f>Raw_Data!C266</f>
        <v>South</v>
      </c>
      <c r="D266" t="str">
        <f>Raw_Data!D266</f>
        <v>Bengaluru</v>
      </c>
      <c r="E266" t="str">
        <f>Raw_Data!E266</f>
        <v>Home &amp; Kitchen</v>
      </c>
      <c r="F266" t="str">
        <f>Raw_Data!F266</f>
        <v>Water Bottle</v>
      </c>
      <c r="G266" t="str">
        <f>Raw_Data!G266</f>
        <v>Corporate</v>
      </c>
      <c r="H266" t="str">
        <f>Raw_Data!H266</f>
        <v>In-Store</v>
      </c>
      <c r="I266">
        <f>Raw_Data!I266</f>
        <v>8</v>
      </c>
      <c r="J266" s="3">
        <f>Raw_Data!J266</f>
        <v>19.079999999999998</v>
      </c>
      <c r="K266" s="4">
        <f>Raw_Data!K266</f>
        <v>0</v>
      </c>
      <c r="L266" s="3">
        <f>Raw_Data!L266</f>
        <v>152.63999999999999</v>
      </c>
      <c r="M266" s="3">
        <f>Raw_Data!M266</f>
        <v>101.21</v>
      </c>
      <c r="N266" s="3">
        <f>Raw_Data!N266</f>
        <v>51.43</v>
      </c>
      <c r="O266" t="str">
        <f t="shared" si="12"/>
        <v>2025-04</v>
      </c>
      <c r="P266" s="5">
        <f t="shared" si="13"/>
        <v>0.33693658280922434</v>
      </c>
      <c r="Q266" s="3">
        <f t="shared" si="14"/>
        <v>152.63999999999999</v>
      </c>
    </row>
    <row r="267" spans="1:17" x14ac:dyDescent="0.35">
      <c r="A267" t="str">
        <f>Raw_Data!A267</f>
        <v>ORD-0634</v>
      </c>
      <c r="B267" s="2">
        <f>Raw_Data!B267</f>
        <v>45749</v>
      </c>
      <c r="C267" t="str">
        <f>Raw_Data!C267</f>
        <v>West</v>
      </c>
      <c r="D267" t="str">
        <f>Raw_Data!D267</f>
        <v>Ahmedabad</v>
      </c>
      <c r="E267" t="str">
        <f>Raw_Data!E267</f>
        <v>Furniture</v>
      </c>
      <c r="F267" t="str">
        <f>Raw_Data!F267</f>
        <v>Office Chair</v>
      </c>
      <c r="G267" t="str">
        <f>Raw_Data!G267</f>
        <v>Consumer</v>
      </c>
      <c r="H267" t="str">
        <f>Raw_Data!H267</f>
        <v>Online</v>
      </c>
      <c r="I267">
        <f>Raw_Data!I267</f>
        <v>2</v>
      </c>
      <c r="J267" s="3">
        <f>Raw_Data!J267</f>
        <v>131.61000000000001</v>
      </c>
      <c r="K267" s="4">
        <f>Raw_Data!K267</f>
        <v>0</v>
      </c>
      <c r="L267" s="3">
        <f>Raw_Data!L267</f>
        <v>263.22000000000003</v>
      </c>
      <c r="M267" s="3">
        <f>Raw_Data!M267</f>
        <v>181.39</v>
      </c>
      <c r="N267" s="3">
        <f>Raw_Data!N267</f>
        <v>81.83</v>
      </c>
      <c r="O267" t="str">
        <f t="shared" si="12"/>
        <v>2025-04</v>
      </c>
      <c r="P267" s="5">
        <f t="shared" si="13"/>
        <v>0.31088063217080764</v>
      </c>
      <c r="Q267" s="3">
        <f t="shared" si="14"/>
        <v>263.22000000000003</v>
      </c>
    </row>
    <row r="268" spans="1:17" x14ac:dyDescent="0.35">
      <c r="A268" t="str">
        <f>Raw_Data!A268</f>
        <v>ORD-0775</v>
      </c>
      <c r="B268" s="2">
        <f>Raw_Data!B268</f>
        <v>45750</v>
      </c>
      <c r="C268" t="str">
        <f>Raw_Data!C268</f>
        <v>North</v>
      </c>
      <c r="D268" t="str">
        <f>Raw_Data!D268</f>
        <v>Chandigarh</v>
      </c>
      <c r="E268" t="str">
        <f>Raw_Data!E268</f>
        <v>Home &amp; Kitchen</v>
      </c>
      <c r="F268" t="str">
        <f>Raw_Data!F268</f>
        <v>Water Bottle</v>
      </c>
      <c r="G268" t="str">
        <f>Raw_Data!G268</f>
        <v>Corporate</v>
      </c>
      <c r="H268" t="str">
        <f>Raw_Data!H268</f>
        <v>Online</v>
      </c>
      <c r="I268">
        <f>Raw_Data!I268</f>
        <v>9</v>
      </c>
      <c r="J268" s="3">
        <f>Raw_Data!J268</f>
        <v>15.38</v>
      </c>
      <c r="K268" s="4">
        <f>Raw_Data!K268</f>
        <v>0.05</v>
      </c>
      <c r="L268" s="3">
        <f>Raw_Data!L268</f>
        <v>131.5</v>
      </c>
      <c r="M268" s="3">
        <f>Raw_Data!M268</f>
        <v>70.22</v>
      </c>
      <c r="N268" s="3">
        <f>Raw_Data!N268</f>
        <v>61.28</v>
      </c>
      <c r="O268" t="str">
        <f t="shared" si="12"/>
        <v>2025-04</v>
      </c>
      <c r="P268" s="5">
        <f t="shared" si="13"/>
        <v>0.46600760456273765</v>
      </c>
      <c r="Q268" s="3">
        <f t="shared" si="14"/>
        <v>131.5</v>
      </c>
    </row>
    <row r="269" spans="1:17" x14ac:dyDescent="0.35">
      <c r="A269" t="str">
        <f>Raw_Data!A269</f>
        <v>ORD-0667</v>
      </c>
      <c r="B269" s="2">
        <f>Raw_Data!B269</f>
        <v>45750</v>
      </c>
      <c r="C269" t="str">
        <f>Raw_Data!C269</f>
        <v>East</v>
      </c>
      <c r="D269" t="str">
        <f>Raw_Data!D269</f>
        <v>Kolkata</v>
      </c>
      <c r="E269" t="str">
        <f>Raw_Data!E269</f>
        <v>Furniture</v>
      </c>
      <c r="F269" t="str">
        <f>Raw_Data!F269</f>
        <v>Standing Desk</v>
      </c>
      <c r="G269" t="str">
        <f>Raw_Data!G269</f>
        <v>Consumer</v>
      </c>
      <c r="H269" t="str">
        <f>Raw_Data!H269</f>
        <v>In-Store</v>
      </c>
      <c r="I269">
        <f>Raw_Data!I269</f>
        <v>7</v>
      </c>
      <c r="J269" s="3">
        <f>Raw_Data!J269</f>
        <v>240.5</v>
      </c>
      <c r="K269" s="4">
        <f>Raw_Data!K269</f>
        <v>0</v>
      </c>
      <c r="L269" s="3">
        <f>Raw_Data!L269</f>
        <v>1683.5</v>
      </c>
      <c r="M269" s="3">
        <f>Raw_Data!M269</f>
        <v>1013.93</v>
      </c>
      <c r="N269" s="3">
        <f>Raw_Data!N269</f>
        <v>669.57</v>
      </c>
      <c r="O269" t="str">
        <f t="shared" si="12"/>
        <v>2025-04</v>
      </c>
      <c r="P269" s="5">
        <f t="shared" si="13"/>
        <v>0.39772497772497778</v>
      </c>
      <c r="Q269" s="3">
        <f t="shared" si="14"/>
        <v>1683.5</v>
      </c>
    </row>
    <row r="270" spans="1:17" x14ac:dyDescent="0.35">
      <c r="A270" t="str">
        <f>Raw_Data!A270</f>
        <v>ORD-0953</v>
      </c>
      <c r="B270" s="2">
        <f>Raw_Data!B270</f>
        <v>45750</v>
      </c>
      <c r="C270" t="str">
        <f>Raw_Data!C270</f>
        <v>South</v>
      </c>
      <c r="D270" t="str">
        <f>Raw_Data!D270</f>
        <v>Bengaluru</v>
      </c>
      <c r="E270" t="str">
        <f>Raw_Data!E270</f>
        <v>Furniture</v>
      </c>
      <c r="F270" t="str">
        <f>Raw_Data!F270</f>
        <v>Office Chair</v>
      </c>
      <c r="G270" t="str">
        <f>Raw_Data!G270</f>
        <v>Consumer</v>
      </c>
      <c r="H270" t="str">
        <f>Raw_Data!H270</f>
        <v>Online</v>
      </c>
      <c r="I270">
        <f>Raw_Data!I270</f>
        <v>5</v>
      </c>
      <c r="J270" s="3">
        <f>Raw_Data!J270</f>
        <v>131.52000000000001</v>
      </c>
      <c r="K270" s="4">
        <f>Raw_Data!K270</f>
        <v>0</v>
      </c>
      <c r="L270" s="3">
        <f>Raw_Data!L270</f>
        <v>657.6</v>
      </c>
      <c r="M270" s="3">
        <f>Raw_Data!M270</f>
        <v>476.92</v>
      </c>
      <c r="N270" s="3">
        <f>Raw_Data!N270</f>
        <v>180.68</v>
      </c>
      <c r="O270" t="str">
        <f t="shared" si="12"/>
        <v>2025-04</v>
      </c>
      <c r="P270" s="5">
        <f t="shared" si="13"/>
        <v>0.27475669099756689</v>
      </c>
      <c r="Q270" s="3">
        <f t="shared" si="14"/>
        <v>657.6</v>
      </c>
    </row>
    <row r="271" spans="1:17" x14ac:dyDescent="0.35">
      <c r="A271" t="str">
        <f>Raw_Data!A271</f>
        <v>ORD-0903</v>
      </c>
      <c r="B271" s="2">
        <f>Raw_Data!B271</f>
        <v>45750</v>
      </c>
      <c r="C271" t="str">
        <f>Raw_Data!C271</f>
        <v>South</v>
      </c>
      <c r="D271" t="str">
        <f>Raw_Data!D271</f>
        <v>Hyderabad</v>
      </c>
      <c r="E271" t="str">
        <f>Raw_Data!E271</f>
        <v>Office Supplies</v>
      </c>
      <c r="F271" t="str">
        <f>Raw_Data!F271</f>
        <v>Notebook Pack</v>
      </c>
      <c r="G271" t="str">
        <f>Raw_Data!G271</f>
        <v>Corporate</v>
      </c>
      <c r="H271" t="str">
        <f>Raw_Data!H271</f>
        <v>Online</v>
      </c>
      <c r="I271">
        <f>Raw_Data!I271</f>
        <v>9</v>
      </c>
      <c r="J271" s="3">
        <f>Raw_Data!J271</f>
        <v>12.08</v>
      </c>
      <c r="K271" s="4">
        <f>Raw_Data!K271</f>
        <v>0.05</v>
      </c>
      <c r="L271" s="3">
        <f>Raw_Data!L271</f>
        <v>103.28</v>
      </c>
      <c r="M271" s="3">
        <f>Raw_Data!M271</f>
        <v>56.2</v>
      </c>
      <c r="N271" s="3">
        <f>Raw_Data!N271</f>
        <v>47.08</v>
      </c>
      <c r="O271" t="str">
        <f t="shared" si="12"/>
        <v>2025-04</v>
      </c>
      <c r="P271" s="5">
        <f t="shared" si="13"/>
        <v>0.4558481797056545</v>
      </c>
      <c r="Q271" s="3">
        <f t="shared" si="14"/>
        <v>103.28</v>
      </c>
    </row>
    <row r="272" spans="1:17" x14ac:dyDescent="0.35">
      <c r="A272" t="str">
        <f>Raw_Data!A272</f>
        <v>ORD-0707</v>
      </c>
      <c r="B272" s="2">
        <f>Raw_Data!B272</f>
        <v>45751</v>
      </c>
      <c r="C272" t="str">
        <f>Raw_Data!C272</f>
        <v>South</v>
      </c>
      <c r="D272" t="str">
        <f>Raw_Data!D272</f>
        <v>Bengaluru</v>
      </c>
      <c r="E272" t="str">
        <f>Raw_Data!E272</f>
        <v>Home &amp; Kitchen</v>
      </c>
      <c r="F272" t="str">
        <f>Raw_Data!F272</f>
        <v>Lunch Box</v>
      </c>
      <c r="G272" t="str">
        <f>Raw_Data!G272</f>
        <v>Consumer</v>
      </c>
      <c r="H272" t="str">
        <f>Raw_Data!H272</f>
        <v>In-Store</v>
      </c>
      <c r="I272">
        <f>Raw_Data!I272</f>
        <v>10</v>
      </c>
      <c r="J272" s="3">
        <f>Raw_Data!J272</f>
        <v>18.57</v>
      </c>
      <c r="K272" s="4">
        <f>Raw_Data!K272</f>
        <v>0</v>
      </c>
      <c r="L272" s="3">
        <f>Raw_Data!L272</f>
        <v>185.7</v>
      </c>
      <c r="M272" s="3">
        <f>Raw_Data!M272</f>
        <v>140.56</v>
      </c>
      <c r="N272" s="3">
        <f>Raw_Data!N272</f>
        <v>45.14</v>
      </c>
      <c r="O272" t="str">
        <f t="shared" si="12"/>
        <v>2025-04</v>
      </c>
      <c r="P272" s="5">
        <f t="shared" si="13"/>
        <v>0.24308023694130321</v>
      </c>
      <c r="Q272" s="3">
        <f t="shared" si="14"/>
        <v>185.7</v>
      </c>
    </row>
    <row r="273" spans="1:17" x14ac:dyDescent="0.35">
      <c r="A273" t="str">
        <f>Raw_Data!A273</f>
        <v>ORD-0873</v>
      </c>
      <c r="B273" s="2">
        <f>Raw_Data!B273</f>
        <v>45751</v>
      </c>
      <c r="C273" t="str">
        <f>Raw_Data!C273</f>
        <v>South</v>
      </c>
      <c r="D273" t="str">
        <f>Raw_Data!D273</f>
        <v>Bengaluru</v>
      </c>
      <c r="E273" t="str">
        <f>Raw_Data!E273</f>
        <v>Office Supplies</v>
      </c>
      <c r="F273" t="str">
        <f>Raw_Data!F273</f>
        <v>Desk Organizer</v>
      </c>
      <c r="G273" t="str">
        <f>Raw_Data!G273</f>
        <v>Consumer</v>
      </c>
      <c r="H273" t="str">
        <f>Raw_Data!H273</f>
        <v>In-Store</v>
      </c>
      <c r="I273">
        <f>Raw_Data!I273</f>
        <v>7</v>
      </c>
      <c r="J273" s="3">
        <f>Raw_Data!J273</f>
        <v>21.09</v>
      </c>
      <c r="K273" s="4">
        <f>Raw_Data!K273</f>
        <v>0.15</v>
      </c>
      <c r="L273" s="3">
        <f>Raw_Data!L273</f>
        <v>125.49</v>
      </c>
      <c r="M273" s="3">
        <f>Raw_Data!M273</f>
        <v>75.7</v>
      </c>
      <c r="N273" s="3">
        <f>Raw_Data!N273</f>
        <v>49.79</v>
      </c>
      <c r="O273" t="str">
        <f t="shared" si="12"/>
        <v>2025-04</v>
      </c>
      <c r="P273" s="5">
        <f t="shared" si="13"/>
        <v>0.39676468244481633</v>
      </c>
      <c r="Q273" s="3">
        <f t="shared" si="14"/>
        <v>125.49</v>
      </c>
    </row>
    <row r="274" spans="1:17" x14ac:dyDescent="0.35">
      <c r="A274" t="str">
        <f>Raw_Data!A274</f>
        <v>ORD-0157</v>
      </c>
      <c r="B274" s="2">
        <f>Raw_Data!B274</f>
        <v>45751</v>
      </c>
      <c r="C274" t="str">
        <f>Raw_Data!C274</f>
        <v>South</v>
      </c>
      <c r="D274" t="str">
        <f>Raw_Data!D274</f>
        <v>Bengaluru</v>
      </c>
      <c r="E274" t="str">
        <f>Raw_Data!E274</f>
        <v>Office Supplies</v>
      </c>
      <c r="F274" t="str">
        <f>Raw_Data!F274</f>
        <v>Notebook Pack</v>
      </c>
      <c r="G274" t="str">
        <f>Raw_Data!G274</f>
        <v>Consumer</v>
      </c>
      <c r="H274" t="str">
        <f>Raw_Data!H274</f>
        <v>Online</v>
      </c>
      <c r="I274">
        <f>Raw_Data!I274</f>
        <v>12</v>
      </c>
      <c r="J274" s="3">
        <f>Raw_Data!J274</f>
        <v>13.46</v>
      </c>
      <c r="K274" s="4">
        <f>Raw_Data!K274</f>
        <v>0.1</v>
      </c>
      <c r="L274" s="3">
        <f>Raw_Data!L274</f>
        <v>145.37</v>
      </c>
      <c r="M274" s="3">
        <f>Raw_Data!M274</f>
        <v>79.319999999999993</v>
      </c>
      <c r="N274" s="3">
        <f>Raw_Data!N274</f>
        <v>66.05</v>
      </c>
      <c r="O274" t="str">
        <f t="shared" si="12"/>
        <v>2025-04</v>
      </c>
      <c r="P274" s="5">
        <f t="shared" si="13"/>
        <v>0.45435784549769548</v>
      </c>
      <c r="Q274" s="3">
        <f t="shared" si="14"/>
        <v>145.37</v>
      </c>
    </row>
    <row r="275" spans="1:17" x14ac:dyDescent="0.35">
      <c r="A275" t="str">
        <f>Raw_Data!A275</f>
        <v>ORD-0258</v>
      </c>
      <c r="B275" s="2">
        <f>Raw_Data!B275</f>
        <v>45752</v>
      </c>
      <c r="C275" t="str">
        <f>Raw_Data!C275</f>
        <v>West</v>
      </c>
      <c r="D275" t="str">
        <f>Raw_Data!D275</f>
        <v>Pune</v>
      </c>
      <c r="E275" t="str">
        <f>Raw_Data!E275</f>
        <v>Office Supplies</v>
      </c>
      <c r="F275" t="str">
        <f>Raw_Data!F275</f>
        <v>Printer Paper</v>
      </c>
      <c r="G275" t="str">
        <f>Raw_Data!G275</f>
        <v>Corporate</v>
      </c>
      <c r="H275" t="str">
        <f>Raw_Data!H275</f>
        <v>In-Store</v>
      </c>
      <c r="I275">
        <f>Raw_Data!I275</f>
        <v>7</v>
      </c>
      <c r="J275" s="3">
        <f>Raw_Data!J275</f>
        <v>12.9</v>
      </c>
      <c r="K275" s="4">
        <f>Raw_Data!K275</f>
        <v>0.15</v>
      </c>
      <c r="L275" s="3">
        <f>Raw_Data!L275</f>
        <v>76.75</v>
      </c>
      <c r="M275" s="3">
        <f>Raw_Data!M275</f>
        <v>67.27</v>
      </c>
      <c r="N275" s="3">
        <f>Raw_Data!N275</f>
        <v>9.48</v>
      </c>
      <c r="O275" t="str">
        <f t="shared" si="12"/>
        <v>2025-04</v>
      </c>
      <c r="P275" s="5">
        <f t="shared" si="13"/>
        <v>0.12351791530944627</v>
      </c>
      <c r="Q275" s="3">
        <f t="shared" si="14"/>
        <v>76.75</v>
      </c>
    </row>
    <row r="276" spans="1:17" x14ac:dyDescent="0.35">
      <c r="A276" t="str">
        <f>Raw_Data!A276</f>
        <v>ORD-0026</v>
      </c>
      <c r="B276" s="2">
        <f>Raw_Data!B276</f>
        <v>45753</v>
      </c>
      <c r="C276" t="str">
        <f>Raw_Data!C276</f>
        <v>South</v>
      </c>
      <c r="D276" t="str">
        <f>Raw_Data!D276</f>
        <v>Bengaluru</v>
      </c>
      <c r="E276" t="str">
        <f>Raw_Data!E276</f>
        <v>Technology</v>
      </c>
      <c r="F276" t="str">
        <f>Raw_Data!F276</f>
        <v>Wireless Mouse</v>
      </c>
      <c r="G276" t="str">
        <f>Raw_Data!G276</f>
        <v>Corporate</v>
      </c>
      <c r="H276" t="str">
        <f>Raw_Data!H276</f>
        <v>Marketplace</v>
      </c>
      <c r="I276">
        <f>Raw_Data!I276</f>
        <v>11</v>
      </c>
      <c r="J276" s="3">
        <f>Raw_Data!J276</f>
        <v>20.73</v>
      </c>
      <c r="K276" s="4">
        <f>Raw_Data!K276</f>
        <v>0.1</v>
      </c>
      <c r="L276" s="3">
        <f>Raw_Data!L276</f>
        <v>205.23</v>
      </c>
      <c r="M276" s="3">
        <f>Raw_Data!M276</f>
        <v>117.66</v>
      </c>
      <c r="N276" s="3">
        <f>Raw_Data!N276</f>
        <v>87.57</v>
      </c>
      <c r="O276" t="str">
        <f t="shared" si="12"/>
        <v>2025-04</v>
      </c>
      <c r="P276" s="5">
        <f t="shared" si="13"/>
        <v>0.42669200409296887</v>
      </c>
      <c r="Q276" s="3">
        <f t="shared" si="14"/>
        <v>205.23</v>
      </c>
    </row>
    <row r="277" spans="1:17" x14ac:dyDescent="0.35">
      <c r="A277" t="str">
        <f>Raw_Data!A277</f>
        <v>ORD-0734</v>
      </c>
      <c r="B277" s="2">
        <f>Raw_Data!B277</f>
        <v>45753</v>
      </c>
      <c r="C277" t="str">
        <f>Raw_Data!C277</f>
        <v>North</v>
      </c>
      <c r="D277" t="str">
        <f>Raw_Data!D277</f>
        <v>Delhi</v>
      </c>
      <c r="E277" t="str">
        <f>Raw_Data!E277</f>
        <v>Office Supplies</v>
      </c>
      <c r="F277" t="str">
        <f>Raw_Data!F277</f>
        <v>Pen Set</v>
      </c>
      <c r="G277" t="str">
        <f>Raw_Data!G277</f>
        <v>Small Business</v>
      </c>
      <c r="H277" t="str">
        <f>Raw_Data!H277</f>
        <v>Marketplace</v>
      </c>
      <c r="I277">
        <f>Raw_Data!I277</f>
        <v>2</v>
      </c>
      <c r="J277" s="3">
        <f>Raw_Data!J277</f>
        <v>8.89</v>
      </c>
      <c r="K277" s="4">
        <f>Raw_Data!K277</f>
        <v>0.15</v>
      </c>
      <c r="L277" s="3">
        <f>Raw_Data!L277</f>
        <v>15.11</v>
      </c>
      <c r="M277" s="3">
        <f>Raw_Data!M277</f>
        <v>9.92</v>
      </c>
      <c r="N277" s="3">
        <f>Raw_Data!N277</f>
        <v>5.19</v>
      </c>
      <c r="O277" t="str">
        <f t="shared" si="12"/>
        <v>2025-04</v>
      </c>
      <c r="P277" s="5">
        <f t="shared" si="13"/>
        <v>0.34348113831899407</v>
      </c>
      <c r="Q277" s="3">
        <f t="shared" si="14"/>
        <v>15.11</v>
      </c>
    </row>
    <row r="278" spans="1:17" x14ac:dyDescent="0.35">
      <c r="A278" t="str">
        <f>Raw_Data!A278</f>
        <v>ORD-0577</v>
      </c>
      <c r="B278" s="2">
        <f>Raw_Data!B278</f>
        <v>45753</v>
      </c>
      <c r="C278" t="str">
        <f>Raw_Data!C278</f>
        <v>East</v>
      </c>
      <c r="D278" t="str">
        <f>Raw_Data!D278</f>
        <v>Guwahati</v>
      </c>
      <c r="E278" t="str">
        <f>Raw_Data!E278</f>
        <v>Home &amp; Kitchen</v>
      </c>
      <c r="F278" t="str">
        <f>Raw_Data!F278</f>
        <v>Water Bottle</v>
      </c>
      <c r="G278" t="str">
        <f>Raw_Data!G278</f>
        <v>Small Business</v>
      </c>
      <c r="H278" t="str">
        <f>Raw_Data!H278</f>
        <v>Marketplace</v>
      </c>
      <c r="I278">
        <f>Raw_Data!I278</f>
        <v>10</v>
      </c>
      <c r="J278" s="3">
        <f>Raw_Data!J278</f>
        <v>16.39</v>
      </c>
      <c r="K278" s="4">
        <f>Raw_Data!K278</f>
        <v>0</v>
      </c>
      <c r="L278" s="3">
        <f>Raw_Data!L278</f>
        <v>163.9</v>
      </c>
      <c r="M278" s="3">
        <f>Raw_Data!M278</f>
        <v>113.69</v>
      </c>
      <c r="N278" s="3">
        <f>Raw_Data!N278</f>
        <v>50.21</v>
      </c>
      <c r="O278" t="str">
        <f t="shared" si="12"/>
        <v>2025-04</v>
      </c>
      <c r="P278" s="5">
        <f t="shared" si="13"/>
        <v>0.30634533251982915</v>
      </c>
      <c r="Q278" s="3">
        <f t="shared" si="14"/>
        <v>163.9</v>
      </c>
    </row>
    <row r="279" spans="1:17" x14ac:dyDescent="0.35">
      <c r="A279" t="str">
        <f>Raw_Data!A279</f>
        <v>ORD-0925</v>
      </c>
      <c r="B279" s="2">
        <f>Raw_Data!B279</f>
        <v>45753</v>
      </c>
      <c r="C279" t="str">
        <f>Raw_Data!C279</f>
        <v>South</v>
      </c>
      <c r="D279" t="str">
        <f>Raw_Data!D279</f>
        <v>Chennai</v>
      </c>
      <c r="E279" t="str">
        <f>Raw_Data!E279</f>
        <v>Home &amp; Kitchen</v>
      </c>
      <c r="F279" t="str">
        <f>Raw_Data!F279</f>
        <v>Coffee Maker</v>
      </c>
      <c r="G279" t="str">
        <f>Raw_Data!G279</f>
        <v>Small Business</v>
      </c>
      <c r="H279" t="str">
        <f>Raw_Data!H279</f>
        <v>Online</v>
      </c>
      <c r="I279">
        <f>Raw_Data!I279</f>
        <v>1</v>
      </c>
      <c r="J279" s="3">
        <f>Raw_Data!J279</f>
        <v>63.75</v>
      </c>
      <c r="K279" s="4">
        <f>Raw_Data!K279</f>
        <v>0.1</v>
      </c>
      <c r="L279" s="3">
        <f>Raw_Data!L279</f>
        <v>57.38</v>
      </c>
      <c r="M279" s="3">
        <f>Raw_Data!M279</f>
        <v>34.380000000000003</v>
      </c>
      <c r="N279" s="3">
        <f>Raw_Data!N279</f>
        <v>23</v>
      </c>
      <c r="O279" t="str">
        <f t="shared" si="12"/>
        <v>2025-04</v>
      </c>
      <c r="P279" s="5">
        <f t="shared" si="13"/>
        <v>0.40083652840711048</v>
      </c>
      <c r="Q279" s="3">
        <f t="shared" si="14"/>
        <v>57.38</v>
      </c>
    </row>
    <row r="280" spans="1:17" x14ac:dyDescent="0.35">
      <c r="A280" t="str">
        <f>Raw_Data!A280</f>
        <v>ORD-0827</v>
      </c>
      <c r="B280" s="2">
        <f>Raw_Data!B280</f>
        <v>45754</v>
      </c>
      <c r="C280" t="str">
        <f>Raw_Data!C280</f>
        <v>South</v>
      </c>
      <c r="D280" t="str">
        <f>Raw_Data!D280</f>
        <v>Chennai</v>
      </c>
      <c r="E280" t="str">
        <f>Raw_Data!E280</f>
        <v>Home &amp; Kitchen</v>
      </c>
      <c r="F280" t="str">
        <f>Raw_Data!F280</f>
        <v>Lunch Box</v>
      </c>
      <c r="G280" t="str">
        <f>Raw_Data!G280</f>
        <v>Corporate</v>
      </c>
      <c r="H280" t="str">
        <f>Raw_Data!H280</f>
        <v>Online</v>
      </c>
      <c r="I280">
        <f>Raw_Data!I280</f>
        <v>4</v>
      </c>
      <c r="J280" s="3">
        <f>Raw_Data!J280</f>
        <v>20.07</v>
      </c>
      <c r="K280" s="4">
        <f>Raw_Data!K280</f>
        <v>0.15</v>
      </c>
      <c r="L280" s="3">
        <f>Raw_Data!L280</f>
        <v>68.239999999999995</v>
      </c>
      <c r="M280" s="3">
        <f>Raw_Data!M280</f>
        <v>39.26</v>
      </c>
      <c r="N280" s="3">
        <f>Raw_Data!N280</f>
        <v>28.98</v>
      </c>
      <c r="O280" t="str">
        <f t="shared" si="12"/>
        <v>2025-04</v>
      </c>
      <c r="P280" s="5">
        <f t="shared" si="13"/>
        <v>0.42467760844079722</v>
      </c>
      <c r="Q280" s="3">
        <f t="shared" si="14"/>
        <v>68.239999999999995</v>
      </c>
    </row>
    <row r="281" spans="1:17" x14ac:dyDescent="0.35">
      <c r="A281" t="str">
        <f>Raw_Data!A281</f>
        <v>ORD-0355</v>
      </c>
      <c r="B281" s="2">
        <f>Raw_Data!B281</f>
        <v>45755</v>
      </c>
      <c r="C281" t="str">
        <f>Raw_Data!C281</f>
        <v>East</v>
      </c>
      <c r="D281" t="str">
        <f>Raw_Data!D281</f>
        <v>Kolkata</v>
      </c>
      <c r="E281" t="str">
        <f>Raw_Data!E281</f>
        <v>Furniture</v>
      </c>
      <c r="F281" t="str">
        <f>Raw_Data!F281</f>
        <v>Desk Lamp</v>
      </c>
      <c r="G281" t="str">
        <f>Raw_Data!G281</f>
        <v>Corporate</v>
      </c>
      <c r="H281" t="str">
        <f>Raw_Data!H281</f>
        <v>In-Store</v>
      </c>
      <c r="I281">
        <f>Raw_Data!I281</f>
        <v>11</v>
      </c>
      <c r="J281" s="3">
        <f>Raw_Data!J281</f>
        <v>39.409999999999997</v>
      </c>
      <c r="K281" s="4">
        <f>Raw_Data!K281</f>
        <v>0.1</v>
      </c>
      <c r="L281" s="3">
        <f>Raw_Data!L281</f>
        <v>390.16</v>
      </c>
      <c r="M281" s="3">
        <f>Raw_Data!M281</f>
        <v>325.98</v>
      </c>
      <c r="N281" s="3">
        <f>Raw_Data!N281</f>
        <v>64.180000000000007</v>
      </c>
      <c r="O281" t="str">
        <f t="shared" si="12"/>
        <v>2025-04</v>
      </c>
      <c r="P281" s="5">
        <f t="shared" si="13"/>
        <v>0.16449661677260613</v>
      </c>
      <c r="Q281" s="3">
        <f t="shared" si="14"/>
        <v>390.16</v>
      </c>
    </row>
    <row r="282" spans="1:17" x14ac:dyDescent="0.35">
      <c r="A282" t="str">
        <f>Raw_Data!A282</f>
        <v>ORD-0492</v>
      </c>
      <c r="B282" s="2">
        <f>Raw_Data!B282</f>
        <v>45755</v>
      </c>
      <c r="C282" t="str">
        <f>Raw_Data!C282</f>
        <v>North</v>
      </c>
      <c r="D282" t="str">
        <f>Raw_Data!D282</f>
        <v>Jaipur</v>
      </c>
      <c r="E282" t="str">
        <f>Raw_Data!E282</f>
        <v>Home &amp; Kitchen</v>
      </c>
      <c r="F282" t="str">
        <f>Raw_Data!F282</f>
        <v>Storage Box</v>
      </c>
      <c r="G282" t="str">
        <f>Raw_Data!G282</f>
        <v>Consumer</v>
      </c>
      <c r="H282" t="str">
        <f>Raw_Data!H282</f>
        <v>Marketplace</v>
      </c>
      <c r="I282">
        <f>Raw_Data!I282</f>
        <v>10</v>
      </c>
      <c r="J282" s="3">
        <f>Raw_Data!J282</f>
        <v>13.29</v>
      </c>
      <c r="K282" s="4">
        <f>Raw_Data!K282</f>
        <v>0.1</v>
      </c>
      <c r="L282" s="3">
        <f>Raw_Data!L282</f>
        <v>119.61</v>
      </c>
      <c r="M282" s="3">
        <f>Raw_Data!M282</f>
        <v>89.34</v>
      </c>
      <c r="N282" s="3">
        <f>Raw_Data!N282</f>
        <v>30.27</v>
      </c>
      <c r="O282" t="str">
        <f t="shared" si="12"/>
        <v>2025-04</v>
      </c>
      <c r="P282" s="5">
        <f t="shared" si="13"/>
        <v>0.25307248557812889</v>
      </c>
      <c r="Q282" s="3">
        <f t="shared" si="14"/>
        <v>119.61</v>
      </c>
    </row>
    <row r="283" spans="1:17" x14ac:dyDescent="0.35">
      <c r="A283" t="str">
        <f>Raw_Data!A283</f>
        <v>ORD-0737</v>
      </c>
      <c r="B283" s="2">
        <f>Raw_Data!B283</f>
        <v>45755</v>
      </c>
      <c r="C283" t="str">
        <f>Raw_Data!C283</f>
        <v>South</v>
      </c>
      <c r="D283" t="str">
        <f>Raw_Data!D283</f>
        <v>Chennai</v>
      </c>
      <c r="E283" t="str">
        <f>Raw_Data!E283</f>
        <v>Technology</v>
      </c>
      <c r="F283" t="str">
        <f>Raw_Data!F283</f>
        <v>Wireless Mouse</v>
      </c>
      <c r="G283" t="str">
        <f>Raw_Data!G283</f>
        <v>Corporate</v>
      </c>
      <c r="H283" t="str">
        <f>Raw_Data!H283</f>
        <v>Online</v>
      </c>
      <c r="I283">
        <f>Raw_Data!I283</f>
        <v>12</v>
      </c>
      <c r="J283" s="3">
        <f>Raw_Data!J283</f>
        <v>21.41</v>
      </c>
      <c r="K283" s="4">
        <f>Raw_Data!K283</f>
        <v>0</v>
      </c>
      <c r="L283" s="3">
        <f>Raw_Data!L283</f>
        <v>256.92</v>
      </c>
      <c r="M283" s="3">
        <f>Raw_Data!M283</f>
        <v>139.44999999999999</v>
      </c>
      <c r="N283" s="3">
        <f>Raw_Data!N283</f>
        <v>117.47</v>
      </c>
      <c r="O283" t="str">
        <f t="shared" si="12"/>
        <v>2025-04</v>
      </c>
      <c r="P283" s="5">
        <f t="shared" si="13"/>
        <v>0.45722403861124084</v>
      </c>
      <c r="Q283" s="3">
        <f t="shared" si="14"/>
        <v>256.92</v>
      </c>
    </row>
    <row r="284" spans="1:17" x14ac:dyDescent="0.35">
      <c r="A284" t="str">
        <f>Raw_Data!A284</f>
        <v>ORD-0773</v>
      </c>
      <c r="B284" s="2">
        <f>Raw_Data!B284</f>
        <v>45756</v>
      </c>
      <c r="C284" t="str">
        <f>Raw_Data!C284</f>
        <v>South</v>
      </c>
      <c r="D284" t="str">
        <f>Raw_Data!D284</f>
        <v>Bengaluru</v>
      </c>
      <c r="E284" t="str">
        <f>Raw_Data!E284</f>
        <v>Technology</v>
      </c>
      <c r="F284" t="str">
        <f>Raw_Data!F284</f>
        <v>Keyboard</v>
      </c>
      <c r="G284" t="str">
        <f>Raw_Data!G284</f>
        <v>Consumer</v>
      </c>
      <c r="H284" t="str">
        <f>Raw_Data!H284</f>
        <v>In-Store</v>
      </c>
      <c r="I284">
        <f>Raw_Data!I284</f>
        <v>8</v>
      </c>
      <c r="J284" s="3">
        <f>Raw_Data!J284</f>
        <v>32.83</v>
      </c>
      <c r="K284" s="4">
        <f>Raw_Data!K284</f>
        <v>0</v>
      </c>
      <c r="L284" s="3">
        <f>Raw_Data!L284</f>
        <v>262.64</v>
      </c>
      <c r="M284" s="3">
        <f>Raw_Data!M284</f>
        <v>135.54</v>
      </c>
      <c r="N284" s="3">
        <f>Raw_Data!N284</f>
        <v>127.1</v>
      </c>
      <c r="O284" t="str">
        <f t="shared" si="12"/>
        <v>2025-04</v>
      </c>
      <c r="P284" s="5">
        <f t="shared" si="13"/>
        <v>0.48393237892171792</v>
      </c>
      <c r="Q284" s="3">
        <f t="shared" si="14"/>
        <v>262.64</v>
      </c>
    </row>
    <row r="285" spans="1:17" x14ac:dyDescent="0.35">
      <c r="A285" t="str">
        <f>Raw_Data!A285</f>
        <v>ORD-0265</v>
      </c>
      <c r="B285" s="2">
        <f>Raw_Data!B285</f>
        <v>45757</v>
      </c>
      <c r="C285" t="str">
        <f>Raw_Data!C285</f>
        <v>West</v>
      </c>
      <c r="D285" t="str">
        <f>Raw_Data!D285</f>
        <v>Mumbai</v>
      </c>
      <c r="E285" t="str">
        <f>Raw_Data!E285</f>
        <v>Home &amp; Kitchen</v>
      </c>
      <c r="F285" t="str">
        <f>Raw_Data!F285</f>
        <v>Lunch Box</v>
      </c>
      <c r="G285" t="str">
        <f>Raw_Data!G285</f>
        <v>Small Business</v>
      </c>
      <c r="H285" t="str">
        <f>Raw_Data!H285</f>
        <v>Online</v>
      </c>
      <c r="I285">
        <f>Raw_Data!I285</f>
        <v>7</v>
      </c>
      <c r="J285" s="3">
        <f>Raw_Data!J285</f>
        <v>21.79</v>
      </c>
      <c r="K285" s="4">
        <f>Raw_Data!K285</f>
        <v>0.1</v>
      </c>
      <c r="L285" s="3">
        <f>Raw_Data!L285</f>
        <v>137.28</v>
      </c>
      <c r="M285" s="3">
        <f>Raw_Data!M285</f>
        <v>105.71</v>
      </c>
      <c r="N285" s="3">
        <f>Raw_Data!N285</f>
        <v>31.57</v>
      </c>
      <c r="O285" t="str">
        <f t="shared" si="12"/>
        <v>2025-04</v>
      </c>
      <c r="P285" s="5">
        <f t="shared" si="13"/>
        <v>0.22996794871794871</v>
      </c>
      <c r="Q285" s="3">
        <f t="shared" si="14"/>
        <v>137.28</v>
      </c>
    </row>
    <row r="286" spans="1:17" x14ac:dyDescent="0.35">
      <c r="A286" t="str">
        <f>Raw_Data!A286</f>
        <v>ORD-0620</v>
      </c>
      <c r="B286" s="2">
        <f>Raw_Data!B286</f>
        <v>45757</v>
      </c>
      <c r="C286" t="str">
        <f>Raw_Data!C286</f>
        <v>North</v>
      </c>
      <c r="D286" t="str">
        <f>Raw_Data!D286</f>
        <v>Delhi</v>
      </c>
      <c r="E286" t="str">
        <f>Raw_Data!E286</f>
        <v>Furniture</v>
      </c>
      <c r="F286" t="str">
        <f>Raw_Data!F286</f>
        <v>Bookshelf</v>
      </c>
      <c r="G286" t="str">
        <f>Raw_Data!G286</f>
        <v>Small Business</v>
      </c>
      <c r="H286" t="str">
        <f>Raw_Data!H286</f>
        <v>Online</v>
      </c>
      <c r="I286">
        <f>Raw_Data!I286</f>
        <v>4</v>
      </c>
      <c r="J286" s="3">
        <f>Raw_Data!J286</f>
        <v>106.43</v>
      </c>
      <c r="K286" s="4">
        <f>Raw_Data!K286</f>
        <v>0</v>
      </c>
      <c r="L286" s="3">
        <f>Raw_Data!L286</f>
        <v>425.72</v>
      </c>
      <c r="M286" s="3">
        <f>Raw_Data!M286</f>
        <v>292.75</v>
      </c>
      <c r="N286" s="3">
        <f>Raw_Data!N286</f>
        <v>132.97</v>
      </c>
      <c r="O286" t="str">
        <f t="shared" si="12"/>
        <v>2025-04</v>
      </c>
      <c r="P286" s="5">
        <f t="shared" si="13"/>
        <v>0.31234144508127404</v>
      </c>
      <c r="Q286" s="3">
        <f t="shared" si="14"/>
        <v>425.72</v>
      </c>
    </row>
    <row r="287" spans="1:17" x14ac:dyDescent="0.35">
      <c r="A287" t="str">
        <f>Raw_Data!A287</f>
        <v>ORD-0510</v>
      </c>
      <c r="B287" s="2">
        <f>Raw_Data!B287</f>
        <v>45759</v>
      </c>
      <c r="C287" t="str">
        <f>Raw_Data!C287</f>
        <v>South</v>
      </c>
      <c r="D287" t="str">
        <f>Raw_Data!D287</f>
        <v>Chennai</v>
      </c>
      <c r="E287" t="str">
        <f>Raw_Data!E287</f>
        <v>Home &amp; Kitchen</v>
      </c>
      <c r="F287" t="str">
        <f>Raw_Data!F287</f>
        <v>Lunch Box</v>
      </c>
      <c r="G287" t="str">
        <f>Raw_Data!G287</f>
        <v>Consumer</v>
      </c>
      <c r="H287" t="str">
        <f>Raw_Data!H287</f>
        <v>Online</v>
      </c>
      <c r="I287">
        <f>Raw_Data!I287</f>
        <v>11</v>
      </c>
      <c r="J287" s="3">
        <f>Raw_Data!J287</f>
        <v>21</v>
      </c>
      <c r="K287" s="4">
        <f>Raw_Data!K287</f>
        <v>0.15</v>
      </c>
      <c r="L287" s="3">
        <f>Raw_Data!L287</f>
        <v>196.35</v>
      </c>
      <c r="M287" s="3">
        <f>Raw_Data!M287</f>
        <v>153.57</v>
      </c>
      <c r="N287" s="3">
        <f>Raw_Data!N287</f>
        <v>42.78</v>
      </c>
      <c r="O287" t="str">
        <f t="shared" si="12"/>
        <v>2025-04</v>
      </c>
      <c r="P287" s="5">
        <f t="shared" si="13"/>
        <v>0.21787624140565318</v>
      </c>
      <c r="Q287" s="3">
        <f t="shared" si="14"/>
        <v>196.35</v>
      </c>
    </row>
    <row r="288" spans="1:17" x14ac:dyDescent="0.35">
      <c r="A288" t="str">
        <f>Raw_Data!A288</f>
        <v>ORD-0319</v>
      </c>
      <c r="B288" s="2">
        <f>Raw_Data!B288</f>
        <v>45761</v>
      </c>
      <c r="C288" t="str">
        <f>Raw_Data!C288</f>
        <v>South</v>
      </c>
      <c r="D288" t="str">
        <f>Raw_Data!D288</f>
        <v>Bengaluru</v>
      </c>
      <c r="E288" t="str">
        <f>Raw_Data!E288</f>
        <v>Office Supplies</v>
      </c>
      <c r="F288" t="str">
        <f>Raw_Data!F288</f>
        <v>Desk Organizer</v>
      </c>
      <c r="G288" t="str">
        <f>Raw_Data!G288</f>
        <v>Corporate</v>
      </c>
      <c r="H288" t="str">
        <f>Raw_Data!H288</f>
        <v>Marketplace</v>
      </c>
      <c r="I288">
        <f>Raw_Data!I288</f>
        <v>12</v>
      </c>
      <c r="J288" s="3">
        <f>Raw_Data!J288</f>
        <v>19.149999999999999</v>
      </c>
      <c r="K288" s="4">
        <f>Raw_Data!K288</f>
        <v>0.05</v>
      </c>
      <c r="L288" s="3">
        <f>Raw_Data!L288</f>
        <v>218.31</v>
      </c>
      <c r="M288" s="3">
        <f>Raw_Data!M288</f>
        <v>114.41</v>
      </c>
      <c r="N288" s="3">
        <f>Raw_Data!N288</f>
        <v>103.9</v>
      </c>
      <c r="O288" t="str">
        <f t="shared" si="12"/>
        <v>2025-04</v>
      </c>
      <c r="P288" s="5">
        <f t="shared" si="13"/>
        <v>0.47592872520727408</v>
      </c>
      <c r="Q288" s="3">
        <f t="shared" si="14"/>
        <v>218.31</v>
      </c>
    </row>
    <row r="289" spans="1:17" x14ac:dyDescent="0.35">
      <c r="A289" t="str">
        <f>Raw_Data!A289</f>
        <v>ORD-0084</v>
      </c>
      <c r="B289" s="2">
        <f>Raw_Data!B289</f>
        <v>45762</v>
      </c>
      <c r="C289" t="str">
        <f>Raw_Data!C289</f>
        <v>South</v>
      </c>
      <c r="D289" t="str">
        <f>Raw_Data!D289</f>
        <v>Chennai</v>
      </c>
      <c r="E289" t="str">
        <f>Raw_Data!E289</f>
        <v>Furniture</v>
      </c>
      <c r="F289" t="str">
        <f>Raw_Data!F289</f>
        <v>Desk Lamp</v>
      </c>
      <c r="G289" t="str">
        <f>Raw_Data!G289</f>
        <v>Corporate</v>
      </c>
      <c r="H289" t="str">
        <f>Raw_Data!H289</f>
        <v>Online</v>
      </c>
      <c r="I289">
        <f>Raw_Data!I289</f>
        <v>5</v>
      </c>
      <c r="J289" s="3">
        <f>Raw_Data!J289</f>
        <v>38.130000000000003</v>
      </c>
      <c r="K289" s="4">
        <f>Raw_Data!K289</f>
        <v>0.1</v>
      </c>
      <c r="L289" s="3">
        <f>Raw_Data!L289</f>
        <v>171.59</v>
      </c>
      <c r="M289" s="3">
        <f>Raw_Data!M289</f>
        <v>98.46</v>
      </c>
      <c r="N289" s="3">
        <f>Raw_Data!N289</f>
        <v>73.13</v>
      </c>
      <c r="O289" t="str">
        <f t="shared" si="12"/>
        <v>2025-04</v>
      </c>
      <c r="P289" s="5">
        <f t="shared" si="13"/>
        <v>0.42619033743225126</v>
      </c>
      <c r="Q289" s="3">
        <f t="shared" si="14"/>
        <v>171.59</v>
      </c>
    </row>
    <row r="290" spans="1:17" x14ac:dyDescent="0.35">
      <c r="A290" t="str">
        <f>Raw_Data!A290</f>
        <v>ORD-0270</v>
      </c>
      <c r="B290" s="2">
        <f>Raw_Data!B290</f>
        <v>45763</v>
      </c>
      <c r="C290" t="str">
        <f>Raw_Data!C290</f>
        <v>South</v>
      </c>
      <c r="D290" t="str">
        <f>Raw_Data!D290</f>
        <v>Chennai</v>
      </c>
      <c r="E290" t="str">
        <f>Raw_Data!E290</f>
        <v>Office Supplies</v>
      </c>
      <c r="F290" t="str">
        <f>Raw_Data!F290</f>
        <v>Notebook Pack</v>
      </c>
      <c r="G290" t="str">
        <f>Raw_Data!G290</f>
        <v>Small Business</v>
      </c>
      <c r="H290" t="str">
        <f>Raw_Data!H290</f>
        <v>Marketplace</v>
      </c>
      <c r="I290">
        <f>Raw_Data!I290</f>
        <v>10</v>
      </c>
      <c r="J290" s="3">
        <f>Raw_Data!J290</f>
        <v>11.67</v>
      </c>
      <c r="K290" s="4">
        <f>Raw_Data!K290</f>
        <v>0.05</v>
      </c>
      <c r="L290" s="3">
        <f>Raw_Data!L290</f>
        <v>110.86</v>
      </c>
      <c r="M290" s="3">
        <f>Raw_Data!M290</f>
        <v>76.91</v>
      </c>
      <c r="N290" s="3">
        <f>Raw_Data!N290</f>
        <v>33.950000000000003</v>
      </c>
      <c r="O290" t="str">
        <f t="shared" si="12"/>
        <v>2025-04</v>
      </c>
      <c r="P290" s="5">
        <f t="shared" si="13"/>
        <v>0.30624210716218658</v>
      </c>
      <c r="Q290" s="3">
        <f t="shared" si="14"/>
        <v>110.86</v>
      </c>
    </row>
    <row r="291" spans="1:17" x14ac:dyDescent="0.35">
      <c r="A291" t="str">
        <f>Raw_Data!A291</f>
        <v>ORD-0945</v>
      </c>
      <c r="B291" s="2">
        <f>Raw_Data!B291</f>
        <v>45763</v>
      </c>
      <c r="C291" t="str">
        <f>Raw_Data!C291</f>
        <v>West</v>
      </c>
      <c r="D291" t="str">
        <f>Raw_Data!D291</f>
        <v>Ahmedabad</v>
      </c>
      <c r="E291" t="str">
        <f>Raw_Data!E291</f>
        <v>Office Supplies</v>
      </c>
      <c r="F291" t="str">
        <f>Raw_Data!F291</f>
        <v>Notebook Pack</v>
      </c>
      <c r="G291" t="str">
        <f>Raw_Data!G291</f>
        <v>Corporate</v>
      </c>
      <c r="H291" t="str">
        <f>Raw_Data!H291</f>
        <v>Marketplace</v>
      </c>
      <c r="I291">
        <f>Raw_Data!I291</f>
        <v>3</v>
      </c>
      <c r="J291" s="3">
        <f>Raw_Data!J291</f>
        <v>12.6</v>
      </c>
      <c r="K291" s="4">
        <f>Raw_Data!K291</f>
        <v>0.15</v>
      </c>
      <c r="L291" s="3">
        <f>Raw_Data!L291</f>
        <v>32.130000000000003</v>
      </c>
      <c r="M291" s="3">
        <f>Raw_Data!M291</f>
        <v>26.04</v>
      </c>
      <c r="N291" s="3">
        <f>Raw_Data!N291</f>
        <v>6.09</v>
      </c>
      <c r="O291" t="str">
        <f t="shared" si="12"/>
        <v>2025-04</v>
      </c>
      <c r="P291" s="5">
        <f t="shared" si="13"/>
        <v>0.18954248366013071</v>
      </c>
      <c r="Q291" s="3">
        <f t="shared" si="14"/>
        <v>32.130000000000003</v>
      </c>
    </row>
    <row r="292" spans="1:17" x14ac:dyDescent="0.35">
      <c r="A292" t="str">
        <f>Raw_Data!A292</f>
        <v>ORD-0523</v>
      </c>
      <c r="B292" s="2">
        <f>Raw_Data!B292</f>
        <v>45763</v>
      </c>
      <c r="C292" t="str">
        <f>Raw_Data!C292</f>
        <v>West</v>
      </c>
      <c r="D292" t="str">
        <f>Raw_Data!D292</f>
        <v>Ahmedabad</v>
      </c>
      <c r="E292" t="str">
        <f>Raw_Data!E292</f>
        <v>Office Supplies</v>
      </c>
      <c r="F292" t="str">
        <f>Raw_Data!F292</f>
        <v>Pen Set</v>
      </c>
      <c r="G292" t="str">
        <f>Raw_Data!G292</f>
        <v>Consumer</v>
      </c>
      <c r="H292" t="str">
        <f>Raw_Data!H292</f>
        <v>Marketplace</v>
      </c>
      <c r="I292">
        <f>Raw_Data!I292</f>
        <v>3</v>
      </c>
      <c r="J292" s="3">
        <f>Raw_Data!J292</f>
        <v>7.67</v>
      </c>
      <c r="K292" s="4">
        <f>Raw_Data!K292</f>
        <v>0.15</v>
      </c>
      <c r="L292" s="3">
        <f>Raw_Data!L292</f>
        <v>19.559999999999999</v>
      </c>
      <c r="M292" s="3">
        <f>Raw_Data!M292</f>
        <v>17.32</v>
      </c>
      <c r="N292" s="3">
        <f>Raw_Data!N292</f>
        <v>2.2400000000000002</v>
      </c>
      <c r="O292" t="str">
        <f t="shared" si="12"/>
        <v>2025-04</v>
      </c>
      <c r="P292" s="5">
        <f t="shared" si="13"/>
        <v>0.114519427402863</v>
      </c>
      <c r="Q292" s="3">
        <f t="shared" si="14"/>
        <v>19.559999999999999</v>
      </c>
    </row>
    <row r="293" spans="1:17" x14ac:dyDescent="0.35">
      <c r="A293" t="str">
        <f>Raw_Data!A293</f>
        <v>ORD-0369</v>
      </c>
      <c r="B293" s="2">
        <f>Raw_Data!B293</f>
        <v>45763</v>
      </c>
      <c r="C293" t="str">
        <f>Raw_Data!C293</f>
        <v>South</v>
      </c>
      <c r="D293" t="str">
        <f>Raw_Data!D293</f>
        <v>Hyderabad</v>
      </c>
      <c r="E293" t="str">
        <f>Raw_Data!E293</f>
        <v>Technology</v>
      </c>
      <c r="F293" t="str">
        <f>Raw_Data!F293</f>
        <v>Headphones</v>
      </c>
      <c r="G293" t="str">
        <f>Raw_Data!G293</f>
        <v>Small Business</v>
      </c>
      <c r="H293" t="str">
        <f>Raw_Data!H293</f>
        <v>Online</v>
      </c>
      <c r="I293">
        <f>Raw_Data!I293</f>
        <v>7</v>
      </c>
      <c r="J293" s="3">
        <f>Raw_Data!J293</f>
        <v>59.49</v>
      </c>
      <c r="K293" s="4">
        <f>Raw_Data!K293</f>
        <v>0.15</v>
      </c>
      <c r="L293" s="3">
        <f>Raw_Data!L293</f>
        <v>353.97</v>
      </c>
      <c r="M293" s="3">
        <f>Raw_Data!M293</f>
        <v>233.61</v>
      </c>
      <c r="N293" s="3">
        <f>Raw_Data!N293</f>
        <v>120.36</v>
      </c>
      <c r="O293" t="str">
        <f t="shared" si="12"/>
        <v>2025-04</v>
      </c>
      <c r="P293" s="5">
        <f t="shared" si="13"/>
        <v>0.34002881600135604</v>
      </c>
      <c r="Q293" s="3">
        <f t="shared" si="14"/>
        <v>353.97</v>
      </c>
    </row>
    <row r="294" spans="1:17" x14ac:dyDescent="0.35">
      <c r="A294" t="str">
        <f>Raw_Data!A294</f>
        <v>ORD-0215</v>
      </c>
      <c r="B294" s="2">
        <f>Raw_Data!B294</f>
        <v>45763</v>
      </c>
      <c r="C294" t="str">
        <f>Raw_Data!C294</f>
        <v>North</v>
      </c>
      <c r="D294" t="str">
        <f>Raw_Data!D294</f>
        <v>Delhi</v>
      </c>
      <c r="E294" t="str">
        <f>Raw_Data!E294</f>
        <v>Technology</v>
      </c>
      <c r="F294" t="str">
        <f>Raw_Data!F294</f>
        <v>Wireless Mouse</v>
      </c>
      <c r="G294" t="str">
        <f>Raw_Data!G294</f>
        <v>Consumer</v>
      </c>
      <c r="H294" t="str">
        <f>Raw_Data!H294</f>
        <v>Marketplace</v>
      </c>
      <c r="I294">
        <f>Raw_Data!I294</f>
        <v>10</v>
      </c>
      <c r="J294" s="3">
        <f>Raw_Data!J294</f>
        <v>15.51</v>
      </c>
      <c r="K294" s="4">
        <f>Raw_Data!K294</f>
        <v>0.15</v>
      </c>
      <c r="L294" s="3">
        <f>Raw_Data!L294</f>
        <v>131.83000000000001</v>
      </c>
      <c r="M294" s="3">
        <f>Raw_Data!M294</f>
        <v>105.72</v>
      </c>
      <c r="N294" s="3">
        <f>Raw_Data!N294</f>
        <v>26.11</v>
      </c>
      <c r="O294" t="str">
        <f t="shared" si="12"/>
        <v>2025-04</v>
      </c>
      <c r="P294" s="5">
        <f t="shared" si="13"/>
        <v>0.19805810513540162</v>
      </c>
      <c r="Q294" s="3">
        <f t="shared" si="14"/>
        <v>131.83000000000001</v>
      </c>
    </row>
    <row r="295" spans="1:17" x14ac:dyDescent="0.35">
      <c r="A295" t="str">
        <f>Raw_Data!A295</f>
        <v>ORD-0948</v>
      </c>
      <c r="B295" s="2">
        <f>Raw_Data!B295</f>
        <v>45765</v>
      </c>
      <c r="C295" t="str">
        <f>Raw_Data!C295</f>
        <v>East</v>
      </c>
      <c r="D295" t="str">
        <f>Raw_Data!D295</f>
        <v>Guwahati</v>
      </c>
      <c r="E295" t="str">
        <f>Raw_Data!E295</f>
        <v>Technology</v>
      </c>
      <c r="F295" t="str">
        <f>Raw_Data!F295</f>
        <v>Wireless Mouse</v>
      </c>
      <c r="G295" t="str">
        <f>Raw_Data!G295</f>
        <v>Consumer</v>
      </c>
      <c r="H295" t="str">
        <f>Raw_Data!H295</f>
        <v>Marketplace</v>
      </c>
      <c r="I295">
        <f>Raw_Data!I295</f>
        <v>11</v>
      </c>
      <c r="J295" s="3">
        <f>Raw_Data!J295</f>
        <v>17.489999999999998</v>
      </c>
      <c r="K295" s="4">
        <f>Raw_Data!K295</f>
        <v>0.15</v>
      </c>
      <c r="L295" s="3">
        <f>Raw_Data!L295</f>
        <v>163.53</v>
      </c>
      <c r="M295" s="3">
        <f>Raw_Data!M295</f>
        <v>148.46</v>
      </c>
      <c r="N295" s="3">
        <f>Raw_Data!N295</f>
        <v>15.07</v>
      </c>
      <c r="O295" t="str">
        <f t="shared" si="12"/>
        <v>2025-04</v>
      </c>
      <c r="P295" s="5">
        <f t="shared" si="13"/>
        <v>9.2154344768544005E-2</v>
      </c>
      <c r="Q295" s="3">
        <f t="shared" si="14"/>
        <v>163.53</v>
      </c>
    </row>
    <row r="296" spans="1:17" x14ac:dyDescent="0.35">
      <c r="A296" t="str">
        <f>Raw_Data!A296</f>
        <v>ORD-0032</v>
      </c>
      <c r="B296" s="2">
        <f>Raw_Data!B296</f>
        <v>45765</v>
      </c>
      <c r="C296" t="str">
        <f>Raw_Data!C296</f>
        <v>East</v>
      </c>
      <c r="D296" t="str">
        <f>Raw_Data!D296</f>
        <v>Guwahati</v>
      </c>
      <c r="E296" t="str">
        <f>Raw_Data!E296</f>
        <v>Furniture</v>
      </c>
      <c r="F296" t="str">
        <f>Raw_Data!F296</f>
        <v>Desk Lamp</v>
      </c>
      <c r="G296" t="str">
        <f>Raw_Data!G296</f>
        <v>Consumer</v>
      </c>
      <c r="H296" t="str">
        <f>Raw_Data!H296</f>
        <v>Online</v>
      </c>
      <c r="I296">
        <f>Raw_Data!I296</f>
        <v>11</v>
      </c>
      <c r="J296" s="3">
        <f>Raw_Data!J296</f>
        <v>40.74</v>
      </c>
      <c r="K296" s="4">
        <f>Raw_Data!K296</f>
        <v>0.05</v>
      </c>
      <c r="L296" s="3">
        <f>Raw_Data!L296</f>
        <v>425.73</v>
      </c>
      <c r="M296" s="3">
        <f>Raw_Data!M296</f>
        <v>283.06</v>
      </c>
      <c r="N296" s="3">
        <f>Raw_Data!N296</f>
        <v>142.66999999999999</v>
      </c>
      <c r="O296" t="str">
        <f t="shared" si="12"/>
        <v>2025-04</v>
      </c>
      <c r="P296" s="5">
        <f t="shared" si="13"/>
        <v>0.33511850233716201</v>
      </c>
      <c r="Q296" s="3">
        <f t="shared" si="14"/>
        <v>425.73</v>
      </c>
    </row>
    <row r="297" spans="1:17" x14ac:dyDescent="0.35">
      <c r="A297" t="str">
        <f>Raw_Data!A297</f>
        <v>ORD-0325</v>
      </c>
      <c r="B297" s="2">
        <f>Raw_Data!B297</f>
        <v>45765</v>
      </c>
      <c r="C297" t="str">
        <f>Raw_Data!C297</f>
        <v>North</v>
      </c>
      <c r="D297" t="str">
        <f>Raw_Data!D297</f>
        <v>Jaipur</v>
      </c>
      <c r="E297" t="str">
        <f>Raw_Data!E297</f>
        <v>Office Supplies</v>
      </c>
      <c r="F297" t="str">
        <f>Raw_Data!F297</f>
        <v>Notebook Pack</v>
      </c>
      <c r="G297" t="str">
        <f>Raw_Data!G297</f>
        <v>Small Business</v>
      </c>
      <c r="H297" t="str">
        <f>Raw_Data!H297</f>
        <v>In-Store</v>
      </c>
      <c r="I297">
        <f>Raw_Data!I297</f>
        <v>6</v>
      </c>
      <c r="J297" s="3">
        <f>Raw_Data!J297</f>
        <v>11.28</v>
      </c>
      <c r="K297" s="4">
        <f>Raw_Data!K297</f>
        <v>0</v>
      </c>
      <c r="L297" s="3">
        <f>Raw_Data!L297</f>
        <v>67.680000000000007</v>
      </c>
      <c r="M297" s="3">
        <f>Raw_Data!M297</f>
        <v>47.11</v>
      </c>
      <c r="N297" s="3">
        <f>Raw_Data!N297</f>
        <v>20.57</v>
      </c>
      <c r="O297" t="str">
        <f t="shared" si="12"/>
        <v>2025-04</v>
      </c>
      <c r="P297" s="5">
        <f t="shared" si="13"/>
        <v>0.3039302600472813</v>
      </c>
      <c r="Q297" s="3">
        <f t="shared" si="14"/>
        <v>67.680000000000007</v>
      </c>
    </row>
    <row r="298" spans="1:17" x14ac:dyDescent="0.35">
      <c r="A298" t="str">
        <f>Raw_Data!A298</f>
        <v>ORD-0826</v>
      </c>
      <c r="B298" s="2">
        <f>Raw_Data!B298</f>
        <v>45765</v>
      </c>
      <c r="C298" t="str">
        <f>Raw_Data!C298</f>
        <v>West</v>
      </c>
      <c r="D298" t="str">
        <f>Raw_Data!D298</f>
        <v>Pune</v>
      </c>
      <c r="E298" t="str">
        <f>Raw_Data!E298</f>
        <v>Home &amp; Kitchen</v>
      </c>
      <c r="F298" t="str">
        <f>Raw_Data!F298</f>
        <v>Storage Box</v>
      </c>
      <c r="G298" t="str">
        <f>Raw_Data!G298</f>
        <v>Small Business</v>
      </c>
      <c r="H298" t="str">
        <f>Raw_Data!H298</f>
        <v>Online</v>
      </c>
      <c r="I298">
        <f>Raw_Data!I298</f>
        <v>9</v>
      </c>
      <c r="J298" s="3">
        <f>Raw_Data!J298</f>
        <v>14.78</v>
      </c>
      <c r="K298" s="4">
        <f>Raw_Data!K298</f>
        <v>0.15</v>
      </c>
      <c r="L298" s="3">
        <f>Raw_Data!L298</f>
        <v>113.07</v>
      </c>
      <c r="M298" s="3">
        <f>Raw_Data!M298</f>
        <v>94.08</v>
      </c>
      <c r="N298" s="3">
        <f>Raw_Data!N298</f>
        <v>18.989999999999998</v>
      </c>
      <c r="O298" t="str">
        <f t="shared" si="12"/>
        <v>2025-04</v>
      </c>
      <c r="P298" s="5">
        <f t="shared" si="13"/>
        <v>0.16794905810559829</v>
      </c>
      <c r="Q298" s="3">
        <f t="shared" si="14"/>
        <v>113.07</v>
      </c>
    </row>
    <row r="299" spans="1:17" x14ac:dyDescent="0.35">
      <c r="A299" t="str">
        <f>Raw_Data!A299</f>
        <v>ORD-0430</v>
      </c>
      <c r="B299" s="2">
        <f>Raw_Data!B299</f>
        <v>45765</v>
      </c>
      <c r="C299" t="str">
        <f>Raw_Data!C299</f>
        <v>South</v>
      </c>
      <c r="D299" t="str">
        <f>Raw_Data!D299</f>
        <v>Hyderabad</v>
      </c>
      <c r="E299" t="str">
        <f>Raw_Data!E299</f>
        <v>Office Supplies</v>
      </c>
      <c r="F299" t="str">
        <f>Raw_Data!F299</f>
        <v>Printer Paper</v>
      </c>
      <c r="G299" t="str">
        <f>Raw_Data!G299</f>
        <v>Consumer</v>
      </c>
      <c r="H299" t="str">
        <f>Raw_Data!H299</f>
        <v>Marketplace</v>
      </c>
      <c r="I299">
        <f>Raw_Data!I299</f>
        <v>1</v>
      </c>
      <c r="J299" s="3">
        <f>Raw_Data!J299</f>
        <v>14.03</v>
      </c>
      <c r="K299" s="4">
        <f>Raw_Data!K299</f>
        <v>0</v>
      </c>
      <c r="L299" s="3">
        <f>Raw_Data!L299</f>
        <v>14.03</v>
      </c>
      <c r="M299" s="3">
        <f>Raw_Data!M299</f>
        <v>9.15</v>
      </c>
      <c r="N299" s="3">
        <f>Raw_Data!N299</f>
        <v>4.88</v>
      </c>
      <c r="O299" t="str">
        <f t="shared" si="12"/>
        <v>2025-04</v>
      </c>
      <c r="P299" s="5">
        <f t="shared" si="13"/>
        <v>0.34782608695652173</v>
      </c>
      <c r="Q299" s="3">
        <f t="shared" si="14"/>
        <v>14.03</v>
      </c>
    </row>
    <row r="300" spans="1:17" x14ac:dyDescent="0.35">
      <c r="A300" t="str">
        <f>Raw_Data!A300</f>
        <v>ORD-0223</v>
      </c>
      <c r="B300" s="2">
        <f>Raw_Data!B300</f>
        <v>45766</v>
      </c>
      <c r="C300" t="str">
        <f>Raw_Data!C300</f>
        <v>South</v>
      </c>
      <c r="D300" t="str">
        <f>Raw_Data!D300</f>
        <v>Hyderabad</v>
      </c>
      <c r="E300" t="str">
        <f>Raw_Data!E300</f>
        <v>Office Supplies</v>
      </c>
      <c r="F300" t="str">
        <f>Raw_Data!F300</f>
        <v>Notebook Pack</v>
      </c>
      <c r="G300" t="str">
        <f>Raw_Data!G300</f>
        <v>Small Business</v>
      </c>
      <c r="H300" t="str">
        <f>Raw_Data!H300</f>
        <v>Online</v>
      </c>
      <c r="I300">
        <f>Raw_Data!I300</f>
        <v>12</v>
      </c>
      <c r="J300" s="3">
        <f>Raw_Data!J300</f>
        <v>14.4</v>
      </c>
      <c r="K300" s="4">
        <f>Raw_Data!K300</f>
        <v>0.1</v>
      </c>
      <c r="L300" s="3">
        <f>Raw_Data!L300</f>
        <v>155.52000000000001</v>
      </c>
      <c r="M300" s="3">
        <f>Raw_Data!M300</f>
        <v>130.35</v>
      </c>
      <c r="N300" s="3">
        <f>Raw_Data!N300</f>
        <v>25.17</v>
      </c>
      <c r="O300" t="str">
        <f t="shared" si="12"/>
        <v>2025-04</v>
      </c>
      <c r="P300" s="5">
        <f t="shared" si="13"/>
        <v>0.16184413580246915</v>
      </c>
      <c r="Q300" s="3">
        <f t="shared" si="14"/>
        <v>155.52000000000001</v>
      </c>
    </row>
    <row r="301" spans="1:17" x14ac:dyDescent="0.35">
      <c r="A301" t="str">
        <f>Raw_Data!A301</f>
        <v>ORD-0759</v>
      </c>
      <c r="B301" s="2">
        <f>Raw_Data!B301</f>
        <v>45767</v>
      </c>
      <c r="C301" t="str">
        <f>Raw_Data!C301</f>
        <v>East</v>
      </c>
      <c r="D301" t="str">
        <f>Raw_Data!D301</f>
        <v>Guwahati</v>
      </c>
      <c r="E301" t="str">
        <f>Raw_Data!E301</f>
        <v>Technology</v>
      </c>
      <c r="F301" t="str">
        <f>Raw_Data!F301</f>
        <v>Headphones</v>
      </c>
      <c r="G301" t="str">
        <f>Raw_Data!G301</f>
        <v>Consumer</v>
      </c>
      <c r="H301" t="str">
        <f>Raw_Data!H301</f>
        <v>In-Store</v>
      </c>
      <c r="I301">
        <f>Raw_Data!I301</f>
        <v>9</v>
      </c>
      <c r="J301" s="3">
        <f>Raw_Data!J301</f>
        <v>53.31</v>
      </c>
      <c r="K301" s="4">
        <f>Raw_Data!K301</f>
        <v>0</v>
      </c>
      <c r="L301" s="3">
        <f>Raw_Data!L301</f>
        <v>479.79</v>
      </c>
      <c r="M301" s="3">
        <f>Raw_Data!M301</f>
        <v>233.67</v>
      </c>
      <c r="N301" s="3">
        <f>Raw_Data!N301</f>
        <v>246.12</v>
      </c>
      <c r="O301" t="str">
        <f t="shared" si="12"/>
        <v>2025-04</v>
      </c>
      <c r="P301" s="5">
        <f t="shared" si="13"/>
        <v>0.51297442631151124</v>
      </c>
      <c r="Q301" s="3">
        <f t="shared" si="14"/>
        <v>479.79</v>
      </c>
    </row>
    <row r="302" spans="1:17" x14ac:dyDescent="0.35">
      <c r="A302" t="str">
        <f>Raw_Data!A302</f>
        <v>ORD-0349</v>
      </c>
      <c r="B302" s="2">
        <f>Raw_Data!B302</f>
        <v>45767</v>
      </c>
      <c r="C302" t="str">
        <f>Raw_Data!C302</f>
        <v>North</v>
      </c>
      <c r="D302" t="str">
        <f>Raw_Data!D302</f>
        <v>Jaipur</v>
      </c>
      <c r="E302" t="str">
        <f>Raw_Data!E302</f>
        <v>Office Supplies</v>
      </c>
      <c r="F302" t="str">
        <f>Raw_Data!F302</f>
        <v>Pen Set</v>
      </c>
      <c r="G302" t="str">
        <f>Raw_Data!G302</f>
        <v>Small Business</v>
      </c>
      <c r="H302" t="str">
        <f>Raw_Data!H302</f>
        <v>Online</v>
      </c>
      <c r="I302">
        <f>Raw_Data!I302</f>
        <v>11</v>
      </c>
      <c r="J302" s="3">
        <f>Raw_Data!J302</f>
        <v>7.38</v>
      </c>
      <c r="K302" s="4">
        <f>Raw_Data!K302</f>
        <v>0.1</v>
      </c>
      <c r="L302" s="3">
        <f>Raw_Data!L302</f>
        <v>73.06</v>
      </c>
      <c r="M302" s="3">
        <f>Raw_Data!M302</f>
        <v>51.47</v>
      </c>
      <c r="N302" s="3">
        <f>Raw_Data!N302</f>
        <v>21.59</v>
      </c>
      <c r="O302" t="str">
        <f t="shared" si="12"/>
        <v>2025-04</v>
      </c>
      <c r="P302" s="5">
        <f t="shared" si="13"/>
        <v>0.29551053928278126</v>
      </c>
      <c r="Q302" s="3">
        <f t="shared" si="14"/>
        <v>73.06</v>
      </c>
    </row>
    <row r="303" spans="1:17" x14ac:dyDescent="0.35">
      <c r="A303" t="str">
        <f>Raw_Data!A303</f>
        <v>ORD-0279</v>
      </c>
      <c r="B303" s="2">
        <f>Raw_Data!B303</f>
        <v>45767</v>
      </c>
      <c r="C303" t="str">
        <f>Raw_Data!C303</f>
        <v>North</v>
      </c>
      <c r="D303" t="str">
        <f>Raw_Data!D303</f>
        <v>Chandigarh</v>
      </c>
      <c r="E303" t="str">
        <f>Raw_Data!E303</f>
        <v>Home &amp; Kitchen</v>
      </c>
      <c r="F303" t="str">
        <f>Raw_Data!F303</f>
        <v>Water Bottle</v>
      </c>
      <c r="G303" t="str">
        <f>Raw_Data!G303</f>
        <v>Consumer</v>
      </c>
      <c r="H303" t="str">
        <f>Raw_Data!H303</f>
        <v>Marketplace</v>
      </c>
      <c r="I303">
        <f>Raw_Data!I303</f>
        <v>3</v>
      </c>
      <c r="J303" s="3">
        <f>Raw_Data!J303</f>
        <v>16.920000000000002</v>
      </c>
      <c r="K303" s="4">
        <f>Raw_Data!K303</f>
        <v>0.15</v>
      </c>
      <c r="L303" s="3">
        <f>Raw_Data!L303</f>
        <v>43.15</v>
      </c>
      <c r="M303" s="3">
        <f>Raw_Data!M303</f>
        <v>34.72</v>
      </c>
      <c r="N303" s="3">
        <f>Raw_Data!N303</f>
        <v>8.43</v>
      </c>
      <c r="O303" t="str">
        <f t="shared" si="12"/>
        <v>2025-04</v>
      </c>
      <c r="P303" s="5">
        <f t="shared" si="13"/>
        <v>0.19536500579374275</v>
      </c>
      <c r="Q303" s="3">
        <f t="shared" si="14"/>
        <v>43.15</v>
      </c>
    </row>
    <row r="304" spans="1:17" x14ac:dyDescent="0.35">
      <c r="A304" t="str">
        <f>Raw_Data!A304</f>
        <v>ORD-0388</v>
      </c>
      <c r="B304" s="2">
        <f>Raw_Data!B304</f>
        <v>45768</v>
      </c>
      <c r="C304" t="str">
        <f>Raw_Data!C304</f>
        <v>North</v>
      </c>
      <c r="D304" t="str">
        <f>Raw_Data!D304</f>
        <v>Jaipur</v>
      </c>
      <c r="E304" t="str">
        <f>Raw_Data!E304</f>
        <v>Home &amp; Kitchen</v>
      </c>
      <c r="F304" t="str">
        <f>Raw_Data!F304</f>
        <v>Storage Box</v>
      </c>
      <c r="G304" t="str">
        <f>Raw_Data!G304</f>
        <v>Small Business</v>
      </c>
      <c r="H304" t="str">
        <f>Raw_Data!H304</f>
        <v>In-Store</v>
      </c>
      <c r="I304">
        <f>Raw_Data!I304</f>
        <v>12</v>
      </c>
      <c r="J304" s="3">
        <f>Raw_Data!J304</f>
        <v>13.56</v>
      </c>
      <c r="K304" s="4">
        <f>Raw_Data!K304</f>
        <v>0.1</v>
      </c>
      <c r="L304" s="3">
        <f>Raw_Data!L304</f>
        <v>146.44999999999999</v>
      </c>
      <c r="M304" s="3">
        <f>Raw_Data!M304</f>
        <v>80.38</v>
      </c>
      <c r="N304" s="3">
        <f>Raw_Data!N304</f>
        <v>66.069999999999993</v>
      </c>
      <c r="O304" t="str">
        <f t="shared" si="12"/>
        <v>2025-04</v>
      </c>
      <c r="P304" s="5">
        <f t="shared" si="13"/>
        <v>0.45114373506316147</v>
      </c>
      <c r="Q304" s="3">
        <f t="shared" si="14"/>
        <v>146.44999999999999</v>
      </c>
    </row>
    <row r="305" spans="1:17" x14ac:dyDescent="0.35">
      <c r="A305" t="str">
        <f>Raw_Data!A305</f>
        <v>ORD-0648</v>
      </c>
      <c r="B305" s="2">
        <f>Raw_Data!B305</f>
        <v>45768</v>
      </c>
      <c r="C305" t="str">
        <f>Raw_Data!C305</f>
        <v>West</v>
      </c>
      <c r="D305" t="str">
        <f>Raw_Data!D305</f>
        <v>Ahmedabad</v>
      </c>
      <c r="E305" t="str">
        <f>Raw_Data!E305</f>
        <v>Home &amp; Kitchen</v>
      </c>
      <c r="F305" t="str">
        <f>Raw_Data!F305</f>
        <v>Lunch Box</v>
      </c>
      <c r="G305" t="str">
        <f>Raw_Data!G305</f>
        <v>Consumer</v>
      </c>
      <c r="H305" t="str">
        <f>Raw_Data!H305</f>
        <v>Marketplace</v>
      </c>
      <c r="I305">
        <f>Raw_Data!I305</f>
        <v>8</v>
      </c>
      <c r="J305" s="3">
        <f>Raw_Data!J305</f>
        <v>19.02</v>
      </c>
      <c r="K305" s="4">
        <f>Raw_Data!K305</f>
        <v>0.1</v>
      </c>
      <c r="L305" s="3">
        <f>Raw_Data!L305</f>
        <v>136.94</v>
      </c>
      <c r="M305" s="3">
        <f>Raw_Data!M305</f>
        <v>106.3</v>
      </c>
      <c r="N305" s="3">
        <f>Raw_Data!N305</f>
        <v>30.64</v>
      </c>
      <c r="O305" t="str">
        <f t="shared" si="12"/>
        <v>2025-04</v>
      </c>
      <c r="P305" s="5">
        <f t="shared" si="13"/>
        <v>0.22374762669782386</v>
      </c>
      <c r="Q305" s="3">
        <f t="shared" si="14"/>
        <v>136.94</v>
      </c>
    </row>
    <row r="306" spans="1:17" x14ac:dyDescent="0.35">
      <c r="A306" t="str">
        <f>Raw_Data!A306</f>
        <v>ORD-0463</v>
      </c>
      <c r="B306" s="2">
        <f>Raw_Data!B306</f>
        <v>45768</v>
      </c>
      <c r="C306" t="str">
        <f>Raw_Data!C306</f>
        <v>East</v>
      </c>
      <c r="D306" t="str">
        <f>Raw_Data!D306</f>
        <v>Bhubaneswar</v>
      </c>
      <c r="E306" t="str">
        <f>Raw_Data!E306</f>
        <v>Furniture</v>
      </c>
      <c r="F306" t="str">
        <f>Raw_Data!F306</f>
        <v>Standing Desk</v>
      </c>
      <c r="G306" t="str">
        <f>Raw_Data!G306</f>
        <v>Corporate</v>
      </c>
      <c r="H306" t="str">
        <f>Raw_Data!H306</f>
        <v>Marketplace</v>
      </c>
      <c r="I306">
        <f>Raw_Data!I306</f>
        <v>11</v>
      </c>
      <c r="J306" s="3">
        <f>Raw_Data!J306</f>
        <v>229.76</v>
      </c>
      <c r="K306" s="4">
        <f>Raw_Data!K306</f>
        <v>0.05</v>
      </c>
      <c r="L306" s="3">
        <f>Raw_Data!L306</f>
        <v>2400.9899999999998</v>
      </c>
      <c r="M306" s="3">
        <f>Raw_Data!M306</f>
        <v>1410.09</v>
      </c>
      <c r="N306" s="3">
        <f>Raw_Data!N306</f>
        <v>990.9</v>
      </c>
      <c r="O306" t="str">
        <f t="shared" si="12"/>
        <v>2025-04</v>
      </c>
      <c r="P306" s="5">
        <f t="shared" si="13"/>
        <v>0.41270475928679423</v>
      </c>
      <c r="Q306" s="3">
        <f t="shared" si="14"/>
        <v>2400.9899999999998</v>
      </c>
    </row>
    <row r="307" spans="1:17" x14ac:dyDescent="0.35">
      <c r="A307" t="str">
        <f>Raw_Data!A307</f>
        <v>ORD-0268</v>
      </c>
      <c r="B307" s="2">
        <f>Raw_Data!B307</f>
        <v>45769</v>
      </c>
      <c r="C307" t="str">
        <f>Raw_Data!C307</f>
        <v>North</v>
      </c>
      <c r="D307" t="str">
        <f>Raw_Data!D307</f>
        <v>Chandigarh</v>
      </c>
      <c r="E307" t="str">
        <f>Raw_Data!E307</f>
        <v>Home &amp; Kitchen</v>
      </c>
      <c r="F307" t="str">
        <f>Raw_Data!F307</f>
        <v>Water Bottle</v>
      </c>
      <c r="G307" t="str">
        <f>Raw_Data!G307</f>
        <v>Small Business</v>
      </c>
      <c r="H307" t="str">
        <f>Raw_Data!H307</f>
        <v>In-Store</v>
      </c>
      <c r="I307">
        <f>Raw_Data!I307</f>
        <v>12</v>
      </c>
      <c r="J307" s="3">
        <f>Raw_Data!J307</f>
        <v>18.25</v>
      </c>
      <c r="K307" s="4">
        <f>Raw_Data!K307</f>
        <v>0</v>
      </c>
      <c r="L307" s="3">
        <f>Raw_Data!L307</f>
        <v>219</v>
      </c>
      <c r="M307" s="3">
        <f>Raw_Data!M307</f>
        <v>124.68</v>
      </c>
      <c r="N307" s="3">
        <f>Raw_Data!N307</f>
        <v>94.32</v>
      </c>
      <c r="O307" t="str">
        <f t="shared" si="12"/>
        <v>2025-04</v>
      </c>
      <c r="P307" s="5">
        <f t="shared" si="13"/>
        <v>0.43068493150684928</v>
      </c>
      <c r="Q307" s="3">
        <f t="shared" si="14"/>
        <v>219</v>
      </c>
    </row>
    <row r="308" spans="1:17" x14ac:dyDescent="0.35">
      <c r="A308" t="str">
        <f>Raw_Data!A308</f>
        <v>ORD-0275</v>
      </c>
      <c r="B308" s="2">
        <f>Raw_Data!B308</f>
        <v>45769</v>
      </c>
      <c r="C308" t="str">
        <f>Raw_Data!C308</f>
        <v>South</v>
      </c>
      <c r="D308" t="str">
        <f>Raw_Data!D308</f>
        <v>Chennai</v>
      </c>
      <c r="E308" t="str">
        <f>Raw_Data!E308</f>
        <v>Home &amp; Kitchen</v>
      </c>
      <c r="F308" t="str">
        <f>Raw_Data!F308</f>
        <v>Storage Box</v>
      </c>
      <c r="G308" t="str">
        <f>Raw_Data!G308</f>
        <v>Corporate</v>
      </c>
      <c r="H308" t="str">
        <f>Raw_Data!H308</f>
        <v>In-Store</v>
      </c>
      <c r="I308">
        <f>Raw_Data!I308</f>
        <v>8</v>
      </c>
      <c r="J308" s="3">
        <f>Raw_Data!J308</f>
        <v>13.22</v>
      </c>
      <c r="K308" s="4">
        <f>Raw_Data!K308</f>
        <v>0.05</v>
      </c>
      <c r="L308" s="3">
        <f>Raw_Data!L308</f>
        <v>100.47</v>
      </c>
      <c r="M308" s="3">
        <f>Raw_Data!M308</f>
        <v>61.48</v>
      </c>
      <c r="N308" s="3">
        <f>Raw_Data!N308</f>
        <v>38.99</v>
      </c>
      <c r="O308" t="str">
        <f t="shared" si="12"/>
        <v>2025-04</v>
      </c>
      <c r="P308" s="5">
        <f t="shared" si="13"/>
        <v>0.38807604259978107</v>
      </c>
      <c r="Q308" s="3">
        <f t="shared" si="14"/>
        <v>100.47</v>
      </c>
    </row>
    <row r="309" spans="1:17" x14ac:dyDescent="0.35">
      <c r="A309" t="str">
        <f>Raw_Data!A309</f>
        <v>ORD-0839</v>
      </c>
      <c r="B309" s="2">
        <f>Raw_Data!B309</f>
        <v>45769</v>
      </c>
      <c r="C309" t="str">
        <f>Raw_Data!C309</f>
        <v>North</v>
      </c>
      <c r="D309" t="str">
        <f>Raw_Data!D309</f>
        <v>Chandigarh</v>
      </c>
      <c r="E309" t="str">
        <f>Raw_Data!E309</f>
        <v>Home &amp; Kitchen</v>
      </c>
      <c r="F309" t="str">
        <f>Raw_Data!F309</f>
        <v>Lunch Box</v>
      </c>
      <c r="G309" t="str">
        <f>Raw_Data!G309</f>
        <v>Corporate</v>
      </c>
      <c r="H309" t="str">
        <f>Raw_Data!H309</f>
        <v>In-Store</v>
      </c>
      <c r="I309">
        <f>Raw_Data!I309</f>
        <v>9</v>
      </c>
      <c r="J309" s="3">
        <f>Raw_Data!J309</f>
        <v>17.850000000000001</v>
      </c>
      <c r="K309" s="4">
        <f>Raw_Data!K309</f>
        <v>0.05</v>
      </c>
      <c r="L309" s="3">
        <f>Raw_Data!L309</f>
        <v>152.62</v>
      </c>
      <c r="M309" s="3">
        <f>Raw_Data!M309</f>
        <v>80.8</v>
      </c>
      <c r="N309" s="3">
        <f>Raw_Data!N309</f>
        <v>71.819999999999993</v>
      </c>
      <c r="O309" t="str">
        <f t="shared" si="12"/>
        <v>2025-04</v>
      </c>
      <c r="P309" s="5">
        <f t="shared" si="13"/>
        <v>0.47058052679858464</v>
      </c>
      <c r="Q309" s="3">
        <f t="shared" si="14"/>
        <v>152.62</v>
      </c>
    </row>
    <row r="310" spans="1:17" x14ac:dyDescent="0.35">
      <c r="A310" t="str">
        <f>Raw_Data!A310</f>
        <v>ORD-0025</v>
      </c>
      <c r="B310" s="2">
        <f>Raw_Data!B310</f>
        <v>45769</v>
      </c>
      <c r="C310" t="str">
        <f>Raw_Data!C310</f>
        <v>South</v>
      </c>
      <c r="D310" t="str">
        <f>Raw_Data!D310</f>
        <v>Bengaluru</v>
      </c>
      <c r="E310" t="str">
        <f>Raw_Data!E310</f>
        <v>Technology</v>
      </c>
      <c r="F310" t="str">
        <f>Raw_Data!F310</f>
        <v>Wireless Mouse</v>
      </c>
      <c r="G310" t="str">
        <f>Raw_Data!G310</f>
        <v>Consumer</v>
      </c>
      <c r="H310" t="str">
        <f>Raw_Data!H310</f>
        <v>Marketplace</v>
      </c>
      <c r="I310">
        <f>Raw_Data!I310</f>
        <v>12</v>
      </c>
      <c r="J310" s="3">
        <f>Raw_Data!J310</f>
        <v>17.28</v>
      </c>
      <c r="K310" s="4">
        <f>Raw_Data!K310</f>
        <v>0</v>
      </c>
      <c r="L310" s="3">
        <f>Raw_Data!L310</f>
        <v>207.36</v>
      </c>
      <c r="M310" s="3">
        <f>Raw_Data!M310</f>
        <v>135.87</v>
      </c>
      <c r="N310" s="3">
        <f>Raw_Data!N310</f>
        <v>71.489999999999995</v>
      </c>
      <c r="O310" t="str">
        <f t="shared" si="12"/>
        <v>2025-04</v>
      </c>
      <c r="P310" s="5">
        <f t="shared" si="13"/>
        <v>0.34476273148148145</v>
      </c>
      <c r="Q310" s="3">
        <f t="shared" si="14"/>
        <v>207.36</v>
      </c>
    </row>
    <row r="311" spans="1:17" x14ac:dyDescent="0.35">
      <c r="A311" t="str">
        <f>Raw_Data!A311</f>
        <v>ORD-0538</v>
      </c>
      <c r="B311" s="2">
        <f>Raw_Data!B311</f>
        <v>45769</v>
      </c>
      <c r="C311" t="str">
        <f>Raw_Data!C311</f>
        <v>South</v>
      </c>
      <c r="D311" t="str">
        <f>Raw_Data!D311</f>
        <v>Hyderabad</v>
      </c>
      <c r="E311" t="str">
        <f>Raw_Data!E311</f>
        <v>Home &amp; Kitchen</v>
      </c>
      <c r="F311" t="str">
        <f>Raw_Data!F311</f>
        <v>Lunch Box</v>
      </c>
      <c r="G311" t="str">
        <f>Raw_Data!G311</f>
        <v>Corporate</v>
      </c>
      <c r="H311" t="str">
        <f>Raw_Data!H311</f>
        <v>In-Store</v>
      </c>
      <c r="I311">
        <f>Raw_Data!I311</f>
        <v>7</v>
      </c>
      <c r="J311" s="3">
        <f>Raw_Data!J311</f>
        <v>20.09</v>
      </c>
      <c r="K311" s="4">
        <f>Raw_Data!K311</f>
        <v>0.15</v>
      </c>
      <c r="L311" s="3">
        <f>Raw_Data!L311</f>
        <v>119.54</v>
      </c>
      <c r="M311" s="3">
        <f>Raw_Data!M311</f>
        <v>92.82</v>
      </c>
      <c r="N311" s="3">
        <f>Raw_Data!N311</f>
        <v>26.72</v>
      </c>
      <c r="O311" t="str">
        <f t="shared" si="12"/>
        <v>2025-04</v>
      </c>
      <c r="P311" s="5">
        <f t="shared" si="13"/>
        <v>0.22352350677597455</v>
      </c>
      <c r="Q311" s="3">
        <f t="shared" si="14"/>
        <v>119.54</v>
      </c>
    </row>
    <row r="312" spans="1:17" x14ac:dyDescent="0.35">
      <c r="A312" t="str">
        <f>Raw_Data!A312</f>
        <v>ORD-0011</v>
      </c>
      <c r="B312" s="2">
        <f>Raw_Data!B312</f>
        <v>45770</v>
      </c>
      <c r="C312" t="str">
        <f>Raw_Data!C312</f>
        <v>South</v>
      </c>
      <c r="D312" t="str">
        <f>Raw_Data!D312</f>
        <v>Hyderabad</v>
      </c>
      <c r="E312" t="str">
        <f>Raw_Data!E312</f>
        <v>Office Supplies</v>
      </c>
      <c r="F312" t="str">
        <f>Raw_Data!F312</f>
        <v>Printer Paper</v>
      </c>
      <c r="G312" t="str">
        <f>Raw_Data!G312</f>
        <v>Corporate</v>
      </c>
      <c r="H312" t="str">
        <f>Raw_Data!H312</f>
        <v>In-Store</v>
      </c>
      <c r="I312">
        <f>Raw_Data!I312</f>
        <v>2</v>
      </c>
      <c r="J312" s="3">
        <f>Raw_Data!J312</f>
        <v>16.72</v>
      </c>
      <c r="K312" s="4">
        <f>Raw_Data!K312</f>
        <v>0</v>
      </c>
      <c r="L312" s="3">
        <f>Raw_Data!L312</f>
        <v>33.44</v>
      </c>
      <c r="M312" s="3">
        <f>Raw_Data!M312</f>
        <v>17.579999999999998</v>
      </c>
      <c r="N312" s="3">
        <f>Raw_Data!N312</f>
        <v>15.86</v>
      </c>
      <c r="O312" t="str">
        <f t="shared" si="12"/>
        <v>2025-04</v>
      </c>
      <c r="P312" s="5">
        <f t="shared" si="13"/>
        <v>0.47428229665071769</v>
      </c>
      <c r="Q312" s="3">
        <f t="shared" si="14"/>
        <v>33.44</v>
      </c>
    </row>
    <row r="313" spans="1:17" x14ac:dyDescent="0.35">
      <c r="A313" t="str">
        <f>Raw_Data!A313</f>
        <v>ORD-0857</v>
      </c>
      <c r="B313" s="2">
        <f>Raw_Data!B313</f>
        <v>45771</v>
      </c>
      <c r="C313" t="str">
        <f>Raw_Data!C313</f>
        <v>West</v>
      </c>
      <c r="D313" t="str">
        <f>Raw_Data!D313</f>
        <v>Mumbai</v>
      </c>
      <c r="E313" t="str">
        <f>Raw_Data!E313</f>
        <v>Home &amp; Kitchen</v>
      </c>
      <c r="F313" t="str">
        <f>Raw_Data!F313</f>
        <v>Coffee Maker</v>
      </c>
      <c r="G313" t="str">
        <f>Raw_Data!G313</f>
        <v>Consumer</v>
      </c>
      <c r="H313" t="str">
        <f>Raw_Data!H313</f>
        <v>Online</v>
      </c>
      <c r="I313">
        <f>Raw_Data!I313</f>
        <v>3</v>
      </c>
      <c r="J313" s="3">
        <f>Raw_Data!J313</f>
        <v>72.349999999999994</v>
      </c>
      <c r="K313" s="4">
        <f>Raw_Data!K313</f>
        <v>0</v>
      </c>
      <c r="L313" s="3">
        <f>Raw_Data!L313</f>
        <v>217.05</v>
      </c>
      <c r="M313" s="3">
        <f>Raw_Data!M313</f>
        <v>108.39</v>
      </c>
      <c r="N313" s="3">
        <f>Raw_Data!N313</f>
        <v>108.66</v>
      </c>
      <c r="O313" t="str">
        <f t="shared" si="12"/>
        <v>2025-04</v>
      </c>
      <c r="P313" s="5">
        <f t="shared" si="13"/>
        <v>0.5006219765031098</v>
      </c>
      <c r="Q313" s="3">
        <f t="shared" si="14"/>
        <v>217.05</v>
      </c>
    </row>
    <row r="314" spans="1:17" x14ac:dyDescent="0.35">
      <c r="A314" t="str">
        <f>Raw_Data!A314</f>
        <v>ORD-0789</v>
      </c>
      <c r="B314" s="2">
        <f>Raw_Data!B314</f>
        <v>45771</v>
      </c>
      <c r="C314" t="str">
        <f>Raw_Data!C314</f>
        <v>East</v>
      </c>
      <c r="D314" t="str">
        <f>Raw_Data!D314</f>
        <v>Kolkata</v>
      </c>
      <c r="E314" t="str">
        <f>Raw_Data!E314</f>
        <v>Technology</v>
      </c>
      <c r="F314" t="str">
        <f>Raw_Data!F314</f>
        <v>Headphones</v>
      </c>
      <c r="G314" t="str">
        <f>Raw_Data!G314</f>
        <v>Corporate</v>
      </c>
      <c r="H314" t="str">
        <f>Raw_Data!H314</f>
        <v>Online</v>
      </c>
      <c r="I314">
        <f>Raw_Data!I314</f>
        <v>11</v>
      </c>
      <c r="J314" s="3">
        <f>Raw_Data!J314</f>
        <v>64.489999999999995</v>
      </c>
      <c r="K314" s="4">
        <f>Raw_Data!K314</f>
        <v>0.05</v>
      </c>
      <c r="L314" s="3">
        <f>Raw_Data!L314</f>
        <v>673.92</v>
      </c>
      <c r="M314" s="3">
        <f>Raw_Data!M314</f>
        <v>381.26</v>
      </c>
      <c r="N314" s="3">
        <f>Raw_Data!N314</f>
        <v>292.66000000000003</v>
      </c>
      <c r="O314" t="str">
        <f t="shared" si="12"/>
        <v>2025-04</v>
      </c>
      <c r="P314" s="5">
        <f t="shared" si="13"/>
        <v>0.43426519468186142</v>
      </c>
      <c r="Q314" s="3">
        <f t="shared" si="14"/>
        <v>673.92</v>
      </c>
    </row>
    <row r="315" spans="1:17" x14ac:dyDescent="0.35">
      <c r="A315" t="str">
        <f>Raw_Data!A315</f>
        <v>ORD-0121</v>
      </c>
      <c r="B315" s="2">
        <f>Raw_Data!B315</f>
        <v>45772</v>
      </c>
      <c r="C315" t="str">
        <f>Raw_Data!C315</f>
        <v>West</v>
      </c>
      <c r="D315" t="str">
        <f>Raw_Data!D315</f>
        <v>Ahmedabad</v>
      </c>
      <c r="E315" t="str">
        <f>Raw_Data!E315</f>
        <v>Technology</v>
      </c>
      <c r="F315" t="str">
        <f>Raw_Data!F315</f>
        <v>Headphones</v>
      </c>
      <c r="G315" t="str">
        <f>Raw_Data!G315</f>
        <v>Corporate</v>
      </c>
      <c r="H315" t="str">
        <f>Raw_Data!H315</f>
        <v>Marketplace</v>
      </c>
      <c r="I315">
        <f>Raw_Data!I315</f>
        <v>9</v>
      </c>
      <c r="J315" s="3">
        <f>Raw_Data!J315</f>
        <v>53.83</v>
      </c>
      <c r="K315" s="4">
        <f>Raw_Data!K315</f>
        <v>0.05</v>
      </c>
      <c r="L315" s="3">
        <f>Raw_Data!L315</f>
        <v>460.25</v>
      </c>
      <c r="M315" s="3">
        <f>Raw_Data!M315</f>
        <v>315.99</v>
      </c>
      <c r="N315" s="3">
        <f>Raw_Data!N315</f>
        <v>144.26</v>
      </c>
      <c r="O315" t="str">
        <f t="shared" si="12"/>
        <v>2025-04</v>
      </c>
      <c r="P315" s="5">
        <f t="shared" si="13"/>
        <v>0.31343834872351983</v>
      </c>
      <c r="Q315" s="3">
        <f t="shared" si="14"/>
        <v>460.25</v>
      </c>
    </row>
    <row r="316" spans="1:17" x14ac:dyDescent="0.35">
      <c r="A316" t="str">
        <f>Raw_Data!A316</f>
        <v>ORD-0885</v>
      </c>
      <c r="B316" s="2">
        <f>Raw_Data!B316</f>
        <v>45772</v>
      </c>
      <c r="C316" t="str">
        <f>Raw_Data!C316</f>
        <v>West</v>
      </c>
      <c r="D316" t="str">
        <f>Raw_Data!D316</f>
        <v>Pune</v>
      </c>
      <c r="E316" t="str">
        <f>Raw_Data!E316</f>
        <v>Technology</v>
      </c>
      <c r="F316" t="str">
        <f>Raw_Data!F316</f>
        <v>Headphones</v>
      </c>
      <c r="G316" t="str">
        <f>Raw_Data!G316</f>
        <v>Consumer</v>
      </c>
      <c r="H316" t="str">
        <f>Raw_Data!H316</f>
        <v>Online</v>
      </c>
      <c r="I316">
        <f>Raw_Data!I316</f>
        <v>7</v>
      </c>
      <c r="J316" s="3">
        <f>Raw_Data!J316</f>
        <v>64.27</v>
      </c>
      <c r="K316" s="4">
        <f>Raw_Data!K316</f>
        <v>0.1</v>
      </c>
      <c r="L316" s="3">
        <f>Raw_Data!L316</f>
        <v>404.9</v>
      </c>
      <c r="M316" s="3">
        <f>Raw_Data!M316</f>
        <v>304.2</v>
      </c>
      <c r="N316" s="3">
        <f>Raw_Data!N316</f>
        <v>100.7</v>
      </c>
      <c r="O316" t="str">
        <f t="shared" si="12"/>
        <v>2025-04</v>
      </c>
      <c r="P316" s="5">
        <f t="shared" si="13"/>
        <v>0.24870338355149421</v>
      </c>
      <c r="Q316" s="3">
        <f t="shared" si="14"/>
        <v>404.9</v>
      </c>
    </row>
    <row r="317" spans="1:17" x14ac:dyDescent="0.35">
      <c r="A317" t="str">
        <f>Raw_Data!A317</f>
        <v>ORD-0077</v>
      </c>
      <c r="B317" s="2">
        <f>Raw_Data!B317</f>
        <v>45773</v>
      </c>
      <c r="C317" t="str">
        <f>Raw_Data!C317</f>
        <v>East</v>
      </c>
      <c r="D317" t="str">
        <f>Raw_Data!D317</f>
        <v>Bhubaneswar</v>
      </c>
      <c r="E317" t="str">
        <f>Raw_Data!E317</f>
        <v>Office Supplies</v>
      </c>
      <c r="F317" t="str">
        <f>Raw_Data!F317</f>
        <v>Desk Organizer</v>
      </c>
      <c r="G317" t="str">
        <f>Raw_Data!G317</f>
        <v>Small Business</v>
      </c>
      <c r="H317" t="str">
        <f>Raw_Data!H317</f>
        <v>Online</v>
      </c>
      <c r="I317">
        <f>Raw_Data!I317</f>
        <v>3</v>
      </c>
      <c r="J317" s="3">
        <f>Raw_Data!J317</f>
        <v>18.37</v>
      </c>
      <c r="K317" s="4">
        <f>Raw_Data!K317</f>
        <v>0</v>
      </c>
      <c r="L317" s="3">
        <f>Raw_Data!L317</f>
        <v>55.11</v>
      </c>
      <c r="M317" s="3">
        <f>Raw_Data!M317</f>
        <v>39.56</v>
      </c>
      <c r="N317" s="3">
        <f>Raw_Data!N317</f>
        <v>15.55</v>
      </c>
      <c r="O317" t="str">
        <f t="shared" si="12"/>
        <v>2025-04</v>
      </c>
      <c r="P317" s="5">
        <f t="shared" si="13"/>
        <v>0.28216294683360554</v>
      </c>
      <c r="Q317" s="3">
        <f t="shared" si="14"/>
        <v>55.11</v>
      </c>
    </row>
    <row r="318" spans="1:17" x14ac:dyDescent="0.35">
      <c r="A318" t="str">
        <f>Raw_Data!A318</f>
        <v>ORD-0891</v>
      </c>
      <c r="B318" s="2">
        <f>Raw_Data!B318</f>
        <v>45773</v>
      </c>
      <c r="C318" t="str">
        <f>Raw_Data!C318</f>
        <v>South</v>
      </c>
      <c r="D318" t="str">
        <f>Raw_Data!D318</f>
        <v>Chennai</v>
      </c>
      <c r="E318" t="str">
        <f>Raw_Data!E318</f>
        <v>Technology</v>
      </c>
      <c r="F318" t="str">
        <f>Raw_Data!F318</f>
        <v>Keyboard</v>
      </c>
      <c r="G318" t="str">
        <f>Raw_Data!G318</f>
        <v>Consumer</v>
      </c>
      <c r="H318" t="str">
        <f>Raw_Data!H318</f>
        <v>Marketplace</v>
      </c>
      <c r="I318">
        <f>Raw_Data!I318</f>
        <v>8</v>
      </c>
      <c r="J318" s="3">
        <f>Raw_Data!J318</f>
        <v>35.35</v>
      </c>
      <c r="K318" s="4">
        <f>Raw_Data!K318</f>
        <v>0.05</v>
      </c>
      <c r="L318" s="3">
        <f>Raw_Data!L318</f>
        <v>268.66000000000003</v>
      </c>
      <c r="M318" s="3">
        <f>Raw_Data!M318</f>
        <v>219.26</v>
      </c>
      <c r="N318" s="3">
        <f>Raw_Data!N318</f>
        <v>49.4</v>
      </c>
      <c r="O318" t="str">
        <f t="shared" si="12"/>
        <v>2025-04</v>
      </c>
      <c r="P318" s="5">
        <f t="shared" si="13"/>
        <v>0.18387553041018384</v>
      </c>
      <c r="Q318" s="3">
        <f t="shared" si="14"/>
        <v>268.66000000000003</v>
      </c>
    </row>
    <row r="319" spans="1:17" x14ac:dyDescent="0.35">
      <c r="A319" t="str">
        <f>Raw_Data!A319</f>
        <v>ORD-0335</v>
      </c>
      <c r="B319" s="2">
        <f>Raw_Data!B319</f>
        <v>45774</v>
      </c>
      <c r="C319" t="str">
        <f>Raw_Data!C319</f>
        <v>West</v>
      </c>
      <c r="D319" t="str">
        <f>Raw_Data!D319</f>
        <v>Pune</v>
      </c>
      <c r="E319" t="str">
        <f>Raw_Data!E319</f>
        <v>Technology</v>
      </c>
      <c r="F319" t="str">
        <f>Raw_Data!F319</f>
        <v>USB Hub</v>
      </c>
      <c r="G319" t="str">
        <f>Raw_Data!G319</f>
        <v>Corporate</v>
      </c>
      <c r="H319" t="str">
        <f>Raw_Data!H319</f>
        <v>Online</v>
      </c>
      <c r="I319">
        <f>Raw_Data!I319</f>
        <v>9</v>
      </c>
      <c r="J319" s="3">
        <f>Raw_Data!J319</f>
        <v>23.92</v>
      </c>
      <c r="K319" s="4">
        <f>Raw_Data!K319</f>
        <v>0.15</v>
      </c>
      <c r="L319" s="3">
        <f>Raw_Data!L319</f>
        <v>182.99</v>
      </c>
      <c r="M319" s="3">
        <f>Raw_Data!M319</f>
        <v>147.71</v>
      </c>
      <c r="N319" s="3">
        <f>Raw_Data!N319</f>
        <v>35.28</v>
      </c>
      <c r="O319" t="str">
        <f t="shared" si="12"/>
        <v>2025-04</v>
      </c>
      <c r="P319" s="5">
        <f t="shared" si="13"/>
        <v>0.19279742062407781</v>
      </c>
      <c r="Q319" s="3">
        <f t="shared" si="14"/>
        <v>182.99</v>
      </c>
    </row>
    <row r="320" spans="1:17" x14ac:dyDescent="0.35">
      <c r="A320" t="str">
        <f>Raw_Data!A320</f>
        <v>ORD-0809</v>
      </c>
      <c r="B320" s="2">
        <f>Raw_Data!B320</f>
        <v>45775</v>
      </c>
      <c r="C320" t="str">
        <f>Raw_Data!C320</f>
        <v>West</v>
      </c>
      <c r="D320" t="str">
        <f>Raw_Data!D320</f>
        <v>Mumbai</v>
      </c>
      <c r="E320" t="str">
        <f>Raw_Data!E320</f>
        <v>Home &amp; Kitchen</v>
      </c>
      <c r="F320" t="str">
        <f>Raw_Data!F320</f>
        <v>Storage Box</v>
      </c>
      <c r="G320" t="str">
        <f>Raw_Data!G320</f>
        <v>Consumer</v>
      </c>
      <c r="H320" t="str">
        <f>Raw_Data!H320</f>
        <v>In-Store</v>
      </c>
      <c r="I320">
        <f>Raw_Data!I320</f>
        <v>4</v>
      </c>
      <c r="J320" s="3">
        <f>Raw_Data!J320</f>
        <v>14.26</v>
      </c>
      <c r="K320" s="4">
        <f>Raw_Data!K320</f>
        <v>0.05</v>
      </c>
      <c r="L320" s="3">
        <f>Raw_Data!L320</f>
        <v>54.19</v>
      </c>
      <c r="M320" s="3">
        <f>Raw_Data!M320</f>
        <v>41.19</v>
      </c>
      <c r="N320" s="3">
        <f>Raw_Data!N320</f>
        <v>13</v>
      </c>
      <c r="O320" t="str">
        <f t="shared" si="12"/>
        <v>2025-04</v>
      </c>
      <c r="P320" s="5">
        <f t="shared" si="13"/>
        <v>0.23989665990035064</v>
      </c>
      <c r="Q320" s="3">
        <f t="shared" si="14"/>
        <v>54.19</v>
      </c>
    </row>
    <row r="321" spans="1:17" x14ac:dyDescent="0.35">
      <c r="A321" t="str">
        <f>Raw_Data!A321</f>
        <v>ORD-0019</v>
      </c>
      <c r="B321" s="2">
        <f>Raw_Data!B321</f>
        <v>45775</v>
      </c>
      <c r="C321" t="str">
        <f>Raw_Data!C321</f>
        <v>West</v>
      </c>
      <c r="D321" t="str">
        <f>Raw_Data!D321</f>
        <v>Mumbai</v>
      </c>
      <c r="E321" t="str">
        <f>Raw_Data!E321</f>
        <v>Technology</v>
      </c>
      <c r="F321" t="str">
        <f>Raw_Data!F321</f>
        <v>Wireless Mouse</v>
      </c>
      <c r="G321" t="str">
        <f>Raw_Data!G321</f>
        <v>Consumer</v>
      </c>
      <c r="H321" t="str">
        <f>Raw_Data!H321</f>
        <v>Marketplace</v>
      </c>
      <c r="I321">
        <f>Raw_Data!I321</f>
        <v>6</v>
      </c>
      <c r="J321" s="3">
        <f>Raw_Data!J321</f>
        <v>15.75</v>
      </c>
      <c r="K321" s="4">
        <f>Raw_Data!K321</f>
        <v>0</v>
      </c>
      <c r="L321" s="3">
        <f>Raw_Data!L321</f>
        <v>94.5</v>
      </c>
      <c r="M321" s="3">
        <f>Raw_Data!M321</f>
        <v>53.25</v>
      </c>
      <c r="N321" s="3">
        <f>Raw_Data!N321</f>
        <v>41.25</v>
      </c>
      <c r="O321" t="str">
        <f t="shared" si="12"/>
        <v>2025-04</v>
      </c>
      <c r="P321" s="5">
        <f t="shared" si="13"/>
        <v>0.43650793650793651</v>
      </c>
      <c r="Q321" s="3">
        <f t="shared" si="14"/>
        <v>94.5</v>
      </c>
    </row>
    <row r="322" spans="1:17" x14ac:dyDescent="0.35">
      <c r="A322" t="str">
        <f>Raw_Data!A322</f>
        <v>ORD-0856</v>
      </c>
      <c r="B322" s="2">
        <f>Raw_Data!B322</f>
        <v>45775</v>
      </c>
      <c r="C322" t="str">
        <f>Raw_Data!C322</f>
        <v>South</v>
      </c>
      <c r="D322" t="str">
        <f>Raw_Data!D322</f>
        <v>Hyderabad</v>
      </c>
      <c r="E322" t="str">
        <f>Raw_Data!E322</f>
        <v>Furniture</v>
      </c>
      <c r="F322" t="str">
        <f>Raw_Data!F322</f>
        <v>Bookshelf</v>
      </c>
      <c r="G322" t="str">
        <f>Raw_Data!G322</f>
        <v>Corporate</v>
      </c>
      <c r="H322" t="str">
        <f>Raw_Data!H322</f>
        <v>Marketplace</v>
      </c>
      <c r="I322">
        <f>Raw_Data!I322</f>
        <v>4</v>
      </c>
      <c r="J322" s="3">
        <f>Raw_Data!J322</f>
        <v>101.42</v>
      </c>
      <c r="K322" s="4">
        <f>Raw_Data!K322</f>
        <v>0</v>
      </c>
      <c r="L322" s="3">
        <f>Raw_Data!L322</f>
        <v>405.68</v>
      </c>
      <c r="M322" s="3">
        <f>Raw_Data!M322</f>
        <v>305.07</v>
      </c>
      <c r="N322" s="3">
        <f>Raw_Data!N322</f>
        <v>100.61</v>
      </c>
      <c r="O322" t="str">
        <f t="shared" ref="O322:O385" si="15">TEXT(B322,"yyyy-mm")</f>
        <v>2025-04</v>
      </c>
      <c r="P322" s="5">
        <f t="shared" ref="P322:P385" si="16">IFERROR(N322/L322,0)</f>
        <v>0.24800335239597712</v>
      </c>
      <c r="Q322" s="3">
        <f t="shared" ref="Q322:Q385" si="17">IFERROR(L322,0)</f>
        <v>405.68</v>
      </c>
    </row>
    <row r="323" spans="1:17" x14ac:dyDescent="0.35">
      <c r="A323" t="str">
        <f>Raw_Data!A323</f>
        <v>ORD-0518</v>
      </c>
      <c r="B323" s="2">
        <f>Raw_Data!B323</f>
        <v>45776</v>
      </c>
      <c r="C323" t="str">
        <f>Raw_Data!C323</f>
        <v>South</v>
      </c>
      <c r="D323" t="str">
        <f>Raw_Data!D323</f>
        <v>Chennai</v>
      </c>
      <c r="E323" t="str">
        <f>Raw_Data!E323</f>
        <v>Home &amp; Kitchen</v>
      </c>
      <c r="F323" t="str">
        <f>Raw_Data!F323</f>
        <v>Water Bottle</v>
      </c>
      <c r="G323" t="str">
        <f>Raw_Data!G323</f>
        <v>Consumer</v>
      </c>
      <c r="H323" t="str">
        <f>Raw_Data!H323</f>
        <v>Marketplace</v>
      </c>
      <c r="I323">
        <f>Raw_Data!I323</f>
        <v>6</v>
      </c>
      <c r="J323" s="3">
        <f>Raw_Data!J323</f>
        <v>16.309999999999999</v>
      </c>
      <c r="K323" s="4">
        <f>Raw_Data!K323</f>
        <v>0.15</v>
      </c>
      <c r="L323" s="3">
        <f>Raw_Data!L323</f>
        <v>83.18</v>
      </c>
      <c r="M323" s="3">
        <f>Raw_Data!M323</f>
        <v>62.58</v>
      </c>
      <c r="N323" s="3">
        <f>Raw_Data!N323</f>
        <v>20.6</v>
      </c>
      <c r="O323" t="str">
        <f t="shared" si="15"/>
        <v>2025-04</v>
      </c>
      <c r="P323" s="5">
        <f t="shared" si="16"/>
        <v>0.24765568646309208</v>
      </c>
      <c r="Q323" s="3">
        <f t="shared" si="17"/>
        <v>83.18</v>
      </c>
    </row>
    <row r="324" spans="1:17" x14ac:dyDescent="0.35">
      <c r="A324" t="str">
        <f>Raw_Data!A324</f>
        <v>ORD-0096</v>
      </c>
      <c r="B324" s="2">
        <f>Raw_Data!B324</f>
        <v>45776</v>
      </c>
      <c r="C324" t="str">
        <f>Raw_Data!C324</f>
        <v>West</v>
      </c>
      <c r="D324" t="str">
        <f>Raw_Data!D324</f>
        <v>Ahmedabad</v>
      </c>
      <c r="E324" t="str">
        <f>Raw_Data!E324</f>
        <v>Home &amp; Kitchen</v>
      </c>
      <c r="F324" t="str">
        <f>Raw_Data!F324</f>
        <v>Coffee Maker</v>
      </c>
      <c r="G324" t="str">
        <f>Raw_Data!G324</f>
        <v>Small Business</v>
      </c>
      <c r="H324" t="str">
        <f>Raw_Data!H324</f>
        <v>Marketplace</v>
      </c>
      <c r="I324">
        <f>Raw_Data!I324</f>
        <v>8</v>
      </c>
      <c r="J324" s="3">
        <f>Raw_Data!J324</f>
        <v>67.63</v>
      </c>
      <c r="K324" s="4">
        <f>Raw_Data!K324</f>
        <v>0</v>
      </c>
      <c r="L324" s="3">
        <f>Raw_Data!L324</f>
        <v>541.04</v>
      </c>
      <c r="M324" s="3">
        <f>Raw_Data!M324</f>
        <v>405.6</v>
      </c>
      <c r="N324" s="3">
        <f>Raw_Data!N324</f>
        <v>135.44</v>
      </c>
      <c r="O324" t="str">
        <f t="shared" si="15"/>
        <v>2025-04</v>
      </c>
      <c r="P324" s="5">
        <f t="shared" si="16"/>
        <v>0.25033269259204494</v>
      </c>
      <c r="Q324" s="3">
        <f t="shared" si="17"/>
        <v>541.04</v>
      </c>
    </row>
    <row r="325" spans="1:17" x14ac:dyDescent="0.35">
      <c r="A325" t="str">
        <f>Raw_Data!A325</f>
        <v>ORD-0744</v>
      </c>
      <c r="B325" s="2">
        <f>Raw_Data!B325</f>
        <v>45776</v>
      </c>
      <c r="C325" t="str">
        <f>Raw_Data!C325</f>
        <v>East</v>
      </c>
      <c r="D325" t="str">
        <f>Raw_Data!D325</f>
        <v>Bhubaneswar</v>
      </c>
      <c r="E325" t="str">
        <f>Raw_Data!E325</f>
        <v>Office Supplies</v>
      </c>
      <c r="F325" t="str">
        <f>Raw_Data!F325</f>
        <v>Desk Organizer</v>
      </c>
      <c r="G325" t="str">
        <f>Raw_Data!G325</f>
        <v>Corporate</v>
      </c>
      <c r="H325" t="str">
        <f>Raw_Data!H325</f>
        <v>Marketplace</v>
      </c>
      <c r="I325">
        <f>Raw_Data!I325</f>
        <v>10</v>
      </c>
      <c r="J325" s="3">
        <f>Raw_Data!J325</f>
        <v>24.12</v>
      </c>
      <c r="K325" s="4">
        <f>Raw_Data!K325</f>
        <v>0.1</v>
      </c>
      <c r="L325" s="3">
        <f>Raw_Data!L325</f>
        <v>217.08</v>
      </c>
      <c r="M325" s="3">
        <f>Raw_Data!M325</f>
        <v>125.27</v>
      </c>
      <c r="N325" s="3">
        <f>Raw_Data!N325</f>
        <v>91.81</v>
      </c>
      <c r="O325" t="str">
        <f t="shared" si="15"/>
        <v>2025-04</v>
      </c>
      <c r="P325" s="5">
        <f t="shared" si="16"/>
        <v>0.42293163810576745</v>
      </c>
      <c r="Q325" s="3">
        <f t="shared" si="17"/>
        <v>217.08</v>
      </c>
    </row>
    <row r="326" spans="1:17" x14ac:dyDescent="0.35">
      <c r="A326" t="str">
        <f>Raw_Data!A326</f>
        <v>ORD-0822</v>
      </c>
      <c r="B326" s="2">
        <f>Raw_Data!B326</f>
        <v>45777</v>
      </c>
      <c r="C326" t="str">
        <f>Raw_Data!C326</f>
        <v>North</v>
      </c>
      <c r="D326" t="str">
        <f>Raw_Data!D326</f>
        <v>Delhi</v>
      </c>
      <c r="E326" t="str">
        <f>Raw_Data!E326</f>
        <v>Furniture</v>
      </c>
      <c r="F326" t="str">
        <f>Raw_Data!F326</f>
        <v>Office Chair</v>
      </c>
      <c r="G326" t="str">
        <f>Raw_Data!G326</f>
        <v>Small Business</v>
      </c>
      <c r="H326" t="str">
        <f>Raw_Data!H326</f>
        <v>Online</v>
      </c>
      <c r="I326">
        <f>Raw_Data!I326</f>
        <v>6</v>
      </c>
      <c r="J326" s="3">
        <f>Raw_Data!J326</f>
        <v>169</v>
      </c>
      <c r="K326" s="4">
        <f>Raw_Data!K326</f>
        <v>0.05</v>
      </c>
      <c r="L326" s="3">
        <f>Raw_Data!L326</f>
        <v>963.3</v>
      </c>
      <c r="M326" s="3">
        <f>Raw_Data!M326</f>
        <v>743.04</v>
      </c>
      <c r="N326" s="3">
        <f>Raw_Data!N326</f>
        <v>220.26</v>
      </c>
      <c r="O326" t="str">
        <f t="shared" si="15"/>
        <v>2025-04</v>
      </c>
      <c r="P326" s="5">
        <f t="shared" si="16"/>
        <v>0.22865151043288695</v>
      </c>
      <c r="Q326" s="3">
        <f t="shared" si="17"/>
        <v>963.3</v>
      </c>
    </row>
    <row r="327" spans="1:17" x14ac:dyDescent="0.35">
      <c r="A327" t="str">
        <f>Raw_Data!A327</f>
        <v>ORD-0832</v>
      </c>
      <c r="B327" s="2">
        <f>Raw_Data!B327</f>
        <v>45777</v>
      </c>
      <c r="C327" t="str">
        <f>Raw_Data!C327</f>
        <v>East</v>
      </c>
      <c r="D327" t="str">
        <f>Raw_Data!D327</f>
        <v>Kolkata</v>
      </c>
      <c r="E327" t="str">
        <f>Raw_Data!E327</f>
        <v>Furniture</v>
      </c>
      <c r="F327" t="str">
        <f>Raw_Data!F327</f>
        <v>Office Chair</v>
      </c>
      <c r="G327" t="str">
        <f>Raw_Data!G327</f>
        <v>Small Business</v>
      </c>
      <c r="H327" t="str">
        <f>Raw_Data!H327</f>
        <v>In-Store</v>
      </c>
      <c r="I327">
        <f>Raw_Data!I327</f>
        <v>8</v>
      </c>
      <c r="J327" s="3">
        <f>Raw_Data!J327</f>
        <v>126.17</v>
      </c>
      <c r="K327" s="4">
        <f>Raw_Data!K327</f>
        <v>0.15</v>
      </c>
      <c r="L327" s="3">
        <f>Raw_Data!L327</f>
        <v>857.96</v>
      </c>
      <c r="M327" s="3">
        <f>Raw_Data!M327</f>
        <v>487.84</v>
      </c>
      <c r="N327" s="3">
        <f>Raw_Data!N327</f>
        <v>370.12</v>
      </c>
      <c r="O327" t="str">
        <f t="shared" si="15"/>
        <v>2025-04</v>
      </c>
      <c r="P327" s="5">
        <f t="shared" si="16"/>
        <v>0.43139540304909318</v>
      </c>
      <c r="Q327" s="3">
        <f t="shared" si="17"/>
        <v>857.96</v>
      </c>
    </row>
    <row r="328" spans="1:17" x14ac:dyDescent="0.35">
      <c r="A328" t="str">
        <f>Raw_Data!A328</f>
        <v>ORD-0853</v>
      </c>
      <c r="B328" s="2">
        <f>Raw_Data!B328</f>
        <v>45777</v>
      </c>
      <c r="C328" t="str">
        <f>Raw_Data!C328</f>
        <v>West</v>
      </c>
      <c r="D328" t="str">
        <f>Raw_Data!D328</f>
        <v>Mumbai</v>
      </c>
      <c r="E328" t="str">
        <f>Raw_Data!E328</f>
        <v>Technology</v>
      </c>
      <c r="F328" t="str">
        <f>Raw_Data!F328</f>
        <v>Keyboard</v>
      </c>
      <c r="G328" t="str">
        <f>Raw_Data!G328</f>
        <v>Consumer</v>
      </c>
      <c r="H328" t="str">
        <f>Raw_Data!H328</f>
        <v>Marketplace</v>
      </c>
      <c r="I328">
        <f>Raw_Data!I328</f>
        <v>1</v>
      </c>
      <c r="J328" s="3">
        <f>Raw_Data!J328</f>
        <v>34.1</v>
      </c>
      <c r="K328" s="4">
        <f>Raw_Data!K328</f>
        <v>0</v>
      </c>
      <c r="L328" s="3">
        <f>Raw_Data!L328</f>
        <v>34.1</v>
      </c>
      <c r="M328" s="3">
        <f>Raw_Data!M328</f>
        <v>19.53</v>
      </c>
      <c r="N328" s="3">
        <f>Raw_Data!N328</f>
        <v>14.57</v>
      </c>
      <c r="O328" t="str">
        <f t="shared" si="15"/>
        <v>2025-04</v>
      </c>
      <c r="P328" s="5">
        <f t="shared" si="16"/>
        <v>0.42727272727272725</v>
      </c>
      <c r="Q328" s="3">
        <f t="shared" si="17"/>
        <v>34.1</v>
      </c>
    </row>
    <row r="329" spans="1:17" x14ac:dyDescent="0.35">
      <c r="A329" t="str">
        <f>Raw_Data!A329</f>
        <v>ORD-0454</v>
      </c>
      <c r="B329" s="2">
        <f>Raw_Data!B329</f>
        <v>45778</v>
      </c>
      <c r="C329" t="str">
        <f>Raw_Data!C329</f>
        <v>East</v>
      </c>
      <c r="D329" t="str">
        <f>Raw_Data!D329</f>
        <v>Kolkata</v>
      </c>
      <c r="E329" t="str">
        <f>Raw_Data!E329</f>
        <v>Office Supplies</v>
      </c>
      <c r="F329" t="str">
        <f>Raw_Data!F329</f>
        <v>Desk Organizer</v>
      </c>
      <c r="G329" t="str">
        <f>Raw_Data!G329</f>
        <v>Consumer</v>
      </c>
      <c r="H329" t="str">
        <f>Raw_Data!H329</f>
        <v>Online</v>
      </c>
      <c r="I329">
        <f>Raw_Data!I329</f>
        <v>4</v>
      </c>
      <c r="J329" s="3">
        <f>Raw_Data!J329</f>
        <v>19.53</v>
      </c>
      <c r="K329" s="4">
        <f>Raw_Data!K329</f>
        <v>0</v>
      </c>
      <c r="L329" s="3">
        <f>Raw_Data!L329</f>
        <v>78.12</v>
      </c>
      <c r="M329" s="3">
        <f>Raw_Data!M329</f>
        <v>57.1</v>
      </c>
      <c r="N329" s="3">
        <f>Raw_Data!N329</f>
        <v>21.02</v>
      </c>
      <c r="O329" t="str">
        <f t="shared" si="15"/>
        <v>2025-05</v>
      </c>
      <c r="P329" s="5">
        <f t="shared" si="16"/>
        <v>0.26907322068612388</v>
      </c>
      <c r="Q329" s="3">
        <f t="shared" si="17"/>
        <v>78.12</v>
      </c>
    </row>
    <row r="330" spans="1:17" x14ac:dyDescent="0.35">
      <c r="A330" t="str">
        <f>Raw_Data!A330</f>
        <v>ORD-0573</v>
      </c>
      <c r="B330" s="2">
        <f>Raw_Data!B330</f>
        <v>45778</v>
      </c>
      <c r="C330" t="str">
        <f>Raw_Data!C330</f>
        <v>West</v>
      </c>
      <c r="D330" t="str">
        <f>Raw_Data!D330</f>
        <v>Ahmedabad</v>
      </c>
      <c r="E330" t="str">
        <f>Raw_Data!E330</f>
        <v>Home &amp; Kitchen</v>
      </c>
      <c r="F330" t="str">
        <f>Raw_Data!F330</f>
        <v>Lunch Box</v>
      </c>
      <c r="G330" t="str">
        <f>Raw_Data!G330</f>
        <v>Corporate</v>
      </c>
      <c r="H330" t="str">
        <f>Raw_Data!H330</f>
        <v>Online</v>
      </c>
      <c r="I330">
        <f>Raw_Data!I330</f>
        <v>11</v>
      </c>
      <c r="J330" s="3">
        <f>Raw_Data!J330</f>
        <v>19.23</v>
      </c>
      <c r="K330" s="4">
        <f>Raw_Data!K330</f>
        <v>0.1</v>
      </c>
      <c r="L330" s="3">
        <f>Raw_Data!L330</f>
        <v>190.38</v>
      </c>
      <c r="M330" s="3">
        <f>Raw_Data!M330</f>
        <v>127.3</v>
      </c>
      <c r="N330" s="3">
        <f>Raw_Data!N330</f>
        <v>63.08</v>
      </c>
      <c r="O330" t="str">
        <f t="shared" si="15"/>
        <v>2025-05</v>
      </c>
      <c r="P330" s="5">
        <f t="shared" si="16"/>
        <v>0.33133732534930138</v>
      </c>
      <c r="Q330" s="3">
        <f t="shared" si="17"/>
        <v>190.38</v>
      </c>
    </row>
    <row r="331" spans="1:17" x14ac:dyDescent="0.35">
      <c r="A331" t="str">
        <f>Raw_Data!A331</f>
        <v>ORD-0461</v>
      </c>
      <c r="B331" s="2">
        <f>Raw_Data!B331</f>
        <v>45778</v>
      </c>
      <c r="C331" t="str">
        <f>Raw_Data!C331</f>
        <v>North</v>
      </c>
      <c r="D331" t="str">
        <f>Raw_Data!D331</f>
        <v>Chandigarh</v>
      </c>
      <c r="E331" t="str">
        <f>Raw_Data!E331</f>
        <v>Home &amp; Kitchen</v>
      </c>
      <c r="F331" t="str">
        <f>Raw_Data!F331</f>
        <v>Lunch Box</v>
      </c>
      <c r="G331" t="str">
        <f>Raw_Data!G331</f>
        <v>Consumer</v>
      </c>
      <c r="H331" t="str">
        <f>Raw_Data!H331</f>
        <v>In-Store</v>
      </c>
      <c r="I331">
        <f>Raw_Data!I331</f>
        <v>4</v>
      </c>
      <c r="J331" s="3">
        <f>Raw_Data!J331</f>
        <v>18.02</v>
      </c>
      <c r="K331" s="4">
        <f>Raw_Data!K331</f>
        <v>0</v>
      </c>
      <c r="L331" s="3">
        <f>Raw_Data!L331</f>
        <v>72.08</v>
      </c>
      <c r="M331" s="3">
        <f>Raw_Data!M331</f>
        <v>44.83</v>
      </c>
      <c r="N331" s="3">
        <f>Raw_Data!N331</f>
        <v>27.25</v>
      </c>
      <c r="O331" t="str">
        <f t="shared" si="15"/>
        <v>2025-05</v>
      </c>
      <c r="P331" s="5">
        <f t="shared" si="16"/>
        <v>0.37805216426193122</v>
      </c>
      <c r="Q331" s="3">
        <f t="shared" si="17"/>
        <v>72.08</v>
      </c>
    </row>
    <row r="332" spans="1:17" x14ac:dyDescent="0.35">
      <c r="A332" t="str">
        <f>Raw_Data!A332</f>
        <v>ORD-0682</v>
      </c>
      <c r="B332" s="2">
        <f>Raw_Data!B332</f>
        <v>45778</v>
      </c>
      <c r="C332" t="str">
        <f>Raw_Data!C332</f>
        <v>South</v>
      </c>
      <c r="D332" t="str">
        <f>Raw_Data!D332</f>
        <v>Chennai</v>
      </c>
      <c r="E332" t="str">
        <f>Raw_Data!E332</f>
        <v>Furniture</v>
      </c>
      <c r="F332" t="str">
        <f>Raw_Data!F332</f>
        <v>Office Chair</v>
      </c>
      <c r="G332" t="str">
        <f>Raw_Data!G332</f>
        <v>Consumer</v>
      </c>
      <c r="H332" t="str">
        <f>Raw_Data!H332</f>
        <v>Marketplace</v>
      </c>
      <c r="I332">
        <f>Raw_Data!I332</f>
        <v>12</v>
      </c>
      <c r="J332" s="3">
        <f>Raw_Data!J332</f>
        <v>126.57</v>
      </c>
      <c r="K332" s="4">
        <f>Raw_Data!K332</f>
        <v>0.05</v>
      </c>
      <c r="L332" s="3">
        <f>Raw_Data!L332</f>
        <v>1442.9</v>
      </c>
      <c r="M332" s="3">
        <f>Raw_Data!M332</f>
        <v>781.2</v>
      </c>
      <c r="N332" s="3">
        <f>Raw_Data!N332</f>
        <v>661.7</v>
      </c>
      <c r="O332" t="str">
        <f t="shared" si="15"/>
        <v>2025-05</v>
      </c>
      <c r="P332" s="5">
        <f t="shared" si="16"/>
        <v>0.45859033890082473</v>
      </c>
      <c r="Q332" s="3">
        <f t="shared" si="17"/>
        <v>1442.9</v>
      </c>
    </row>
    <row r="333" spans="1:17" x14ac:dyDescent="0.35">
      <c r="A333" t="str">
        <f>Raw_Data!A333</f>
        <v>ORD-0459</v>
      </c>
      <c r="B333" s="2">
        <f>Raw_Data!B333</f>
        <v>45779</v>
      </c>
      <c r="C333" t="str">
        <f>Raw_Data!C333</f>
        <v>South</v>
      </c>
      <c r="D333" t="str">
        <f>Raw_Data!D333</f>
        <v>Chennai</v>
      </c>
      <c r="E333" t="str">
        <f>Raw_Data!E333</f>
        <v>Furniture</v>
      </c>
      <c r="F333" t="str">
        <f>Raw_Data!F333</f>
        <v>Standing Desk</v>
      </c>
      <c r="G333" t="str">
        <f>Raw_Data!G333</f>
        <v>Small Business</v>
      </c>
      <c r="H333" t="str">
        <f>Raw_Data!H333</f>
        <v>Marketplace</v>
      </c>
      <c r="I333">
        <f>Raw_Data!I333</f>
        <v>10</v>
      </c>
      <c r="J333" s="3">
        <f>Raw_Data!J333</f>
        <v>252.22</v>
      </c>
      <c r="K333" s="4">
        <f>Raw_Data!K333</f>
        <v>0</v>
      </c>
      <c r="L333" s="3">
        <f>Raw_Data!L333</f>
        <v>2522.1999999999998</v>
      </c>
      <c r="M333" s="3">
        <f>Raw_Data!M333</f>
        <v>1588.06</v>
      </c>
      <c r="N333" s="3">
        <f>Raw_Data!N333</f>
        <v>934.14</v>
      </c>
      <c r="O333" t="str">
        <f t="shared" si="15"/>
        <v>2025-05</v>
      </c>
      <c r="P333" s="5">
        <f t="shared" si="16"/>
        <v>0.37036713979858854</v>
      </c>
      <c r="Q333" s="3">
        <f t="shared" si="17"/>
        <v>2522.1999999999998</v>
      </c>
    </row>
    <row r="334" spans="1:17" x14ac:dyDescent="0.35">
      <c r="A334" t="str">
        <f>Raw_Data!A334</f>
        <v>ORD-0947</v>
      </c>
      <c r="B334" s="2">
        <f>Raw_Data!B334</f>
        <v>45779</v>
      </c>
      <c r="C334" t="str">
        <f>Raw_Data!C334</f>
        <v>East</v>
      </c>
      <c r="D334" t="str">
        <f>Raw_Data!D334</f>
        <v>Kolkata</v>
      </c>
      <c r="E334" t="str">
        <f>Raw_Data!E334</f>
        <v>Furniture</v>
      </c>
      <c r="F334" t="str">
        <f>Raw_Data!F334</f>
        <v>Office Chair</v>
      </c>
      <c r="G334" t="str">
        <f>Raw_Data!G334</f>
        <v>Consumer</v>
      </c>
      <c r="H334" t="str">
        <f>Raw_Data!H334</f>
        <v>Marketplace</v>
      </c>
      <c r="I334">
        <f>Raw_Data!I334</f>
        <v>11</v>
      </c>
      <c r="J334" s="3">
        <f>Raw_Data!J334</f>
        <v>130.77000000000001</v>
      </c>
      <c r="K334" s="4">
        <f>Raw_Data!K334</f>
        <v>0.05</v>
      </c>
      <c r="L334" s="3">
        <f>Raw_Data!L334</f>
        <v>1366.55</v>
      </c>
      <c r="M334" s="3">
        <f>Raw_Data!M334</f>
        <v>1090.6099999999999</v>
      </c>
      <c r="N334" s="3">
        <f>Raw_Data!N334</f>
        <v>275.94</v>
      </c>
      <c r="O334" t="str">
        <f t="shared" si="15"/>
        <v>2025-05</v>
      </c>
      <c r="P334" s="5">
        <f t="shared" si="16"/>
        <v>0.20192455453514324</v>
      </c>
      <c r="Q334" s="3">
        <f t="shared" si="17"/>
        <v>1366.55</v>
      </c>
    </row>
    <row r="335" spans="1:17" x14ac:dyDescent="0.35">
      <c r="A335" t="str">
        <f>Raw_Data!A335</f>
        <v>ORD-0290</v>
      </c>
      <c r="B335" s="2">
        <f>Raw_Data!B335</f>
        <v>45780</v>
      </c>
      <c r="C335" t="str">
        <f>Raw_Data!C335</f>
        <v>North</v>
      </c>
      <c r="D335" t="str">
        <f>Raw_Data!D335</f>
        <v>Jaipur</v>
      </c>
      <c r="E335" t="str">
        <f>Raw_Data!E335</f>
        <v>Technology</v>
      </c>
      <c r="F335" t="str">
        <f>Raw_Data!F335</f>
        <v>Keyboard</v>
      </c>
      <c r="G335" t="str">
        <f>Raw_Data!G335</f>
        <v>Small Business</v>
      </c>
      <c r="H335" t="str">
        <f>Raw_Data!H335</f>
        <v>Marketplace</v>
      </c>
      <c r="I335">
        <f>Raw_Data!I335</f>
        <v>2</v>
      </c>
      <c r="J335" s="3">
        <f>Raw_Data!J335</f>
        <v>37.56</v>
      </c>
      <c r="K335" s="4">
        <f>Raw_Data!K335</f>
        <v>0</v>
      </c>
      <c r="L335" s="3">
        <f>Raw_Data!L335</f>
        <v>75.12</v>
      </c>
      <c r="M335" s="3">
        <f>Raw_Data!M335</f>
        <v>46.27</v>
      </c>
      <c r="N335" s="3">
        <f>Raw_Data!N335</f>
        <v>28.85</v>
      </c>
      <c r="O335" t="str">
        <f t="shared" si="15"/>
        <v>2025-05</v>
      </c>
      <c r="P335" s="5">
        <f t="shared" si="16"/>
        <v>0.38405218317358891</v>
      </c>
      <c r="Q335" s="3">
        <f t="shared" si="17"/>
        <v>75.12</v>
      </c>
    </row>
    <row r="336" spans="1:17" x14ac:dyDescent="0.35">
      <c r="A336" t="str">
        <f>Raw_Data!A336</f>
        <v>ORD-0316</v>
      </c>
      <c r="B336" s="2">
        <f>Raw_Data!B336</f>
        <v>45781</v>
      </c>
      <c r="C336" t="str">
        <f>Raw_Data!C336</f>
        <v>South</v>
      </c>
      <c r="D336" t="str">
        <f>Raw_Data!D336</f>
        <v>Hyderabad</v>
      </c>
      <c r="E336" t="str">
        <f>Raw_Data!E336</f>
        <v>Furniture</v>
      </c>
      <c r="F336" t="str">
        <f>Raw_Data!F336</f>
        <v>Office Chair</v>
      </c>
      <c r="G336" t="str">
        <f>Raw_Data!G336</f>
        <v>Consumer</v>
      </c>
      <c r="H336" t="str">
        <f>Raw_Data!H336</f>
        <v>Online</v>
      </c>
      <c r="I336">
        <f>Raw_Data!I336</f>
        <v>4</v>
      </c>
      <c r="J336" s="3">
        <f>Raw_Data!J336</f>
        <v>152.47</v>
      </c>
      <c r="K336" s="4">
        <f>Raw_Data!K336</f>
        <v>0.1</v>
      </c>
      <c r="L336" s="3">
        <f>Raw_Data!L336</f>
        <v>548.89</v>
      </c>
      <c r="M336" s="3">
        <f>Raw_Data!M336</f>
        <v>357.66</v>
      </c>
      <c r="N336" s="3">
        <f>Raw_Data!N336</f>
        <v>191.23</v>
      </c>
      <c r="O336" t="str">
        <f t="shared" si="15"/>
        <v>2025-05</v>
      </c>
      <c r="P336" s="5">
        <f t="shared" si="16"/>
        <v>0.34839403159102916</v>
      </c>
      <c r="Q336" s="3">
        <f t="shared" si="17"/>
        <v>548.89</v>
      </c>
    </row>
    <row r="337" spans="1:17" x14ac:dyDescent="0.35">
      <c r="A337" t="str">
        <f>Raw_Data!A337</f>
        <v>ORD-0610</v>
      </c>
      <c r="B337" s="2">
        <f>Raw_Data!B337</f>
        <v>45782</v>
      </c>
      <c r="C337" t="str">
        <f>Raw_Data!C337</f>
        <v>South</v>
      </c>
      <c r="D337" t="str">
        <f>Raw_Data!D337</f>
        <v>Bengaluru</v>
      </c>
      <c r="E337" t="str">
        <f>Raw_Data!E337</f>
        <v>Technology</v>
      </c>
      <c r="F337" t="str">
        <f>Raw_Data!F337</f>
        <v>Keyboard</v>
      </c>
      <c r="G337" t="str">
        <f>Raw_Data!G337</f>
        <v>Consumer</v>
      </c>
      <c r="H337" t="str">
        <f>Raw_Data!H337</f>
        <v>In-Store</v>
      </c>
      <c r="I337">
        <f>Raw_Data!I337</f>
        <v>2</v>
      </c>
      <c r="J337" s="3">
        <f>Raw_Data!J337</f>
        <v>36.06</v>
      </c>
      <c r="K337" s="4">
        <f>Raw_Data!K337</f>
        <v>0.15</v>
      </c>
      <c r="L337" s="3">
        <f>Raw_Data!L337</f>
        <v>61.3</v>
      </c>
      <c r="M337" s="3">
        <f>Raw_Data!M337</f>
        <v>42.76</v>
      </c>
      <c r="N337" s="3">
        <f>Raw_Data!N337</f>
        <v>18.54</v>
      </c>
      <c r="O337" t="str">
        <f t="shared" si="15"/>
        <v>2025-05</v>
      </c>
      <c r="P337" s="5">
        <f t="shared" si="16"/>
        <v>0.30244698205546494</v>
      </c>
      <c r="Q337" s="3">
        <f t="shared" si="17"/>
        <v>61.3</v>
      </c>
    </row>
    <row r="338" spans="1:17" x14ac:dyDescent="0.35">
      <c r="A338" t="str">
        <f>Raw_Data!A338</f>
        <v>ORD-0774</v>
      </c>
      <c r="B338" s="2">
        <f>Raw_Data!B338</f>
        <v>45783</v>
      </c>
      <c r="C338" t="str">
        <f>Raw_Data!C338</f>
        <v>West</v>
      </c>
      <c r="D338" t="str">
        <f>Raw_Data!D338</f>
        <v>Pune</v>
      </c>
      <c r="E338" t="str">
        <f>Raw_Data!E338</f>
        <v>Home &amp; Kitchen</v>
      </c>
      <c r="F338" t="str">
        <f>Raw_Data!F338</f>
        <v>Water Bottle</v>
      </c>
      <c r="G338" t="str">
        <f>Raw_Data!G338</f>
        <v>Consumer</v>
      </c>
      <c r="H338" t="str">
        <f>Raw_Data!H338</f>
        <v>In-Store</v>
      </c>
      <c r="I338">
        <f>Raw_Data!I338</f>
        <v>9</v>
      </c>
      <c r="J338" s="3">
        <f>Raw_Data!J338</f>
        <v>17</v>
      </c>
      <c r="K338" s="4">
        <f>Raw_Data!K338</f>
        <v>0.1</v>
      </c>
      <c r="L338" s="3">
        <f>Raw_Data!L338</f>
        <v>137.69999999999999</v>
      </c>
      <c r="M338" s="3">
        <f>Raw_Data!M338</f>
        <v>100.47</v>
      </c>
      <c r="N338" s="3">
        <f>Raw_Data!N338</f>
        <v>37.229999999999997</v>
      </c>
      <c r="O338" t="str">
        <f t="shared" si="15"/>
        <v>2025-05</v>
      </c>
      <c r="P338" s="5">
        <f t="shared" si="16"/>
        <v>0.27037037037037037</v>
      </c>
      <c r="Q338" s="3">
        <f t="shared" si="17"/>
        <v>137.69999999999999</v>
      </c>
    </row>
    <row r="339" spans="1:17" x14ac:dyDescent="0.35">
      <c r="A339" t="str">
        <f>Raw_Data!A339</f>
        <v>ORD-0989</v>
      </c>
      <c r="B339" s="2">
        <f>Raw_Data!B339</f>
        <v>45783</v>
      </c>
      <c r="C339" t="str">
        <f>Raw_Data!C339</f>
        <v>North</v>
      </c>
      <c r="D339" t="str">
        <f>Raw_Data!D339</f>
        <v>Chandigarh</v>
      </c>
      <c r="E339" t="str">
        <f>Raw_Data!E339</f>
        <v>Technology</v>
      </c>
      <c r="F339" t="str">
        <f>Raw_Data!F339</f>
        <v>Keyboard</v>
      </c>
      <c r="G339" t="str">
        <f>Raw_Data!G339</f>
        <v>Consumer</v>
      </c>
      <c r="H339" t="str">
        <f>Raw_Data!H339</f>
        <v>In-Store</v>
      </c>
      <c r="I339">
        <f>Raw_Data!I339</f>
        <v>2</v>
      </c>
      <c r="J339" s="3">
        <f>Raw_Data!J339</f>
        <v>30.46</v>
      </c>
      <c r="K339" s="4">
        <f>Raw_Data!K339</f>
        <v>0</v>
      </c>
      <c r="L339" s="3">
        <f>Raw_Data!L339</f>
        <v>60.92</v>
      </c>
      <c r="M339" s="3">
        <f>Raw_Data!M339</f>
        <v>39.659999999999997</v>
      </c>
      <c r="N339" s="3">
        <f>Raw_Data!N339</f>
        <v>21.26</v>
      </c>
      <c r="O339" t="str">
        <f t="shared" si="15"/>
        <v>2025-05</v>
      </c>
      <c r="P339" s="5">
        <f t="shared" si="16"/>
        <v>0.34898227183191072</v>
      </c>
      <c r="Q339" s="3">
        <f t="shared" si="17"/>
        <v>60.92</v>
      </c>
    </row>
    <row r="340" spans="1:17" x14ac:dyDescent="0.35">
      <c r="A340" t="str">
        <f>Raw_Data!A340</f>
        <v>ORD-0932</v>
      </c>
      <c r="B340" s="2">
        <f>Raw_Data!B340</f>
        <v>45784</v>
      </c>
      <c r="C340" t="str">
        <f>Raw_Data!C340</f>
        <v>South</v>
      </c>
      <c r="D340" t="str">
        <f>Raw_Data!D340</f>
        <v>Bengaluru</v>
      </c>
      <c r="E340" t="str">
        <f>Raw_Data!E340</f>
        <v>Office Supplies</v>
      </c>
      <c r="F340" t="str">
        <f>Raw_Data!F340</f>
        <v>Pen Set</v>
      </c>
      <c r="G340" t="str">
        <f>Raw_Data!G340</f>
        <v>Corporate</v>
      </c>
      <c r="H340" t="str">
        <f>Raw_Data!H340</f>
        <v>In-Store</v>
      </c>
      <c r="I340">
        <f>Raw_Data!I340</f>
        <v>4</v>
      </c>
      <c r="J340" s="3">
        <f>Raw_Data!J340</f>
        <v>7.59</v>
      </c>
      <c r="K340" s="4">
        <f>Raw_Data!K340</f>
        <v>0</v>
      </c>
      <c r="L340" s="3">
        <f>Raw_Data!L340</f>
        <v>30.36</v>
      </c>
      <c r="M340" s="3">
        <f>Raw_Data!M340</f>
        <v>22.44</v>
      </c>
      <c r="N340" s="3">
        <f>Raw_Data!N340</f>
        <v>7.92</v>
      </c>
      <c r="O340" t="str">
        <f t="shared" si="15"/>
        <v>2025-05</v>
      </c>
      <c r="P340" s="5">
        <f t="shared" si="16"/>
        <v>0.2608695652173913</v>
      </c>
      <c r="Q340" s="3">
        <f t="shared" si="17"/>
        <v>30.36</v>
      </c>
    </row>
    <row r="341" spans="1:17" x14ac:dyDescent="0.35">
      <c r="A341" t="str">
        <f>Raw_Data!A341</f>
        <v>ORD-0240</v>
      </c>
      <c r="B341" s="2">
        <f>Raw_Data!B341</f>
        <v>45784</v>
      </c>
      <c r="C341" t="str">
        <f>Raw_Data!C341</f>
        <v>East</v>
      </c>
      <c r="D341" t="str">
        <f>Raw_Data!D341</f>
        <v>Kolkata</v>
      </c>
      <c r="E341" t="str">
        <f>Raw_Data!E341</f>
        <v>Technology</v>
      </c>
      <c r="F341" t="str">
        <f>Raw_Data!F341</f>
        <v>Wireless Mouse</v>
      </c>
      <c r="G341" t="str">
        <f>Raw_Data!G341</f>
        <v>Small Business</v>
      </c>
      <c r="H341" t="str">
        <f>Raw_Data!H341</f>
        <v>Online</v>
      </c>
      <c r="I341">
        <f>Raw_Data!I341</f>
        <v>5</v>
      </c>
      <c r="J341" s="3">
        <f>Raw_Data!J341</f>
        <v>16.27</v>
      </c>
      <c r="K341" s="4">
        <f>Raw_Data!K341</f>
        <v>0</v>
      </c>
      <c r="L341" s="3">
        <f>Raw_Data!L341</f>
        <v>81.349999999999994</v>
      </c>
      <c r="M341" s="3">
        <f>Raw_Data!M341</f>
        <v>57.1</v>
      </c>
      <c r="N341" s="3">
        <f>Raw_Data!N341</f>
        <v>24.25</v>
      </c>
      <c r="O341" t="str">
        <f t="shared" si="15"/>
        <v>2025-05</v>
      </c>
      <c r="P341" s="5">
        <f t="shared" si="16"/>
        <v>0.29809465273509528</v>
      </c>
      <c r="Q341" s="3">
        <f t="shared" si="17"/>
        <v>81.349999999999994</v>
      </c>
    </row>
    <row r="342" spans="1:17" x14ac:dyDescent="0.35">
      <c r="A342" t="str">
        <f>Raw_Data!A342</f>
        <v>ORD-0214</v>
      </c>
      <c r="B342" s="2">
        <f>Raw_Data!B342</f>
        <v>45784</v>
      </c>
      <c r="C342" t="str">
        <f>Raw_Data!C342</f>
        <v>West</v>
      </c>
      <c r="D342" t="str">
        <f>Raw_Data!D342</f>
        <v>Mumbai</v>
      </c>
      <c r="E342" t="str">
        <f>Raw_Data!E342</f>
        <v>Home &amp; Kitchen</v>
      </c>
      <c r="F342" t="str">
        <f>Raw_Data!F342</f>
        <v>Coffee Maker</v>
      </c>
      <c r="G342" t="str">
        <f>Raw_Data!G342</f>
        <v>Corporate</v>
      </c>
      <c r="H342" t="str">
        <f>Raw_Data!H342</f>
        <v>Online</v>
      </c>
      <c r="I342">
        <f>Raw_Data!I342</f>
        <v>3</v>
      </c>
      <c r="J342" s="3">
        <f>Raw_Data!J342</f>
        <v>68.150000000000006</v>
      </c>
      <c r="K342" s="4">
        <f>Raw_Data!K342</f>
        <v>0</v>
      </c>
      <c r="L342" s="3">
        <f>Raw_Data!L342</f>
        <v>204.45</v>
      </c>
      <c r="M342" s="3">
        <f>Raw_Data!M342</f>
        <v>100.11</v>
      </c>
      <c r="N342" s="3">
        <f>Raw_Data!N342</f>
        <v>104.34</v>
      </c>
      <c r="O342" t="str">
        <f t="shared" si="15"/>
        <v>2025-05</v>
      </c>
      <c r="P342" s="5">
        <f t="shared" si="16"/>
        <v>0.51034482758620692</v>
      </c>
      <c r="Q342" s="3">
        <f t="shared" si="17"/>
        <v>204.45</v>
      </c>
    </row>
    <row r="343" spans="1:17" x14ac:dyDescent="0.35">
      <c r="A343" t="str">
        <f>Raw_Data!A343</f>
        <v>ORD-0284</v>
      </c>
      <c r="B343" s="2">
        <f>Raw_Data!B343</f>
        <v>45785</v>
      </c>
      <c r="C343" t="str">
        <f>Raw_Data!C343</f>
        <v>South</v>
      </c>
      <c r="D343" t="str">
        <f>Raw_Data!D343</f>
        <v>Chennai</v>
      </c>
      <c r="E343" t="str">
        <f>Raw_Data!E343</f>
        <v>Furniture</v>
      </c>
      <c r="F343" t="str">
        <f>Raw_Data!F343</f>
        <v>Office Chair</v>
      </c>
      <c r="G343" t="str">
        <f>Raw_Data!G343</f>
        <v>Corporate</v>
      </c>
      <c r="H343" t="str">
        <f>Raw_Data!H343</f>
        <v>In-Store</v>
      </c>
      <c r="I343">
        <f>Raw_Data!I343</f>
        <v>11</v>
      </c>
      <c r="J343" s="3">
        <f>Raw_Data!J343</f>
        <v>167.7</v>
      </c>
      <c r="K343" s="4">
        <f>Raw_Data!K343</f>
        <v>0</v>
      </c>
      <c r="L343" s="3">
        <f>Raw_Data!L343</f>
        <v>1844.7</v>
      </c>
      <c r="M343" s="3">
        <f>Raw_Data!M343</f>
        <v>1171.98</v>
      </c>
      <c r="N343" s="3">
        <f>Raw_Data!N343</f>
        <v>672.72</v>
      </c>
      <c r="O343" t="str">
        <f t="shared" si="15"/>
        <v>2025-05</v>
      </c>
      <c r="P343" s="5">
        <f t="shared" si="16"/>
        <v>0.36467718328183446</v>
      </c>
      <c r="Q343" s="3">
        <f t="shared" si="17"/>
        <v>1844.7</v>
      </c>
    </row>
    <row r="344" spans="1:17" x14ac:dyDescent="0.35">
      <c r="A344" t="str">
        <f>Raw_Data!A344</f>
        <v>ORD-0147</v>
      </c>
      <c r="B344" s="2">
        <f>Raw_Data!B344</f>
        <v>45786</v>
      </c>
      <c r="C344" t="str">
        <f>Raw_Data!C344</f>
        <v>North</v>
      </c>
      <c r="D344" t="str">
        <f>Raw_Data!D344</f>
        <v>Delhi</v>
      </c>
      <c r="E344" t="str">
        <f>Raw_Data!E344</f>
        <v>Technology</v>
      </c>
      <c r="F344" t="str">
        <f>Raw_Data!F344</f>
        <v>USB Hub</v>
      </c>
      <c r="G344" t="str">
        <f>Raw_Data!G344</f>
        <v>Small Business</v>
      </c>
      <c r="H344" t="str">
        <f>Raw_Data!H344</f>
        <v>Online</v>
      </c>
      <c r="I344">
        <f>Raw_Data!I344</f>
        <v>6</v>
      </c>
      <c r="J344" s="3">
        <f>Raw_Data!J344</f>
        <v>25.06</v>
      </c>
      <c r="K344" s="4">
        <f>Raw_Data!K344</f>
        <v>0</v>
      </c>
      <c r="L344" s="3">
        <f>Raw_Data!L344</f>
        <v>150.36000000000001</v>
      </c>
      <c r="M344" s="3">
        <f>Raw_Data!M344</f>
        <v>104.26</v>
      </c>
      <c r="N344" s="3">
        <f>Raw_Data!N344</f>
        <v>46.1</v>
      </c>
      <c r="O344" t="str">
        <f t="shared" si="15"/>
        <v>2025-05</v>
      </c>
      <c r="P344" s="5">
        <f t="shared" si="16"/>
        <v>0.30659749933492947</v>
      </c>
      <c r="Q344" s="3">
        <f t="shared" si="17"/>
        <v>150.36000000000001</v>
      </c>
    </row>
    <row r="345" spans="1:17" x14ac:dyDescent="0.35">
      <c r="A345" t="str">
        <f>Raw_Data!A345</f>
        <v>ORD-0616</v>
      </c>
      <c r="B345" s="2">
        <f>Raw_Data!B345</f>
        <v>45786</v>
      </c>
      <c r="C345" t="str">
        <f>Raw_Data!C345</f>
        <v>South</v>
      </c>
      <c r="D345" t="str">
        <f>Raw_Data!D345</f>
        <v>Chennai</v>
      </c>
      <c r="E345" t="str">
        <f>Raw_Data!E345</f>
        <v>Furniture</v>
      </c>
      <c r="F345" t="str">
        <f>Raw_Data!F345</f>
        <v>Standing Desk</v>
      </c>
      <c r="G345" t="str">
        <f>Raw_Data!G345</f>
        <v>Consumer</v>
      </c>
      <c r="H345" t="str">
        <f>Raw_Data!H345</f>
        <v>Online</v>
      </c>
      <c r="I345">
        <f>Raw_Data!I345</f>
        <v>1</v>
      </c>
      <c r="J345" s="3">
        <f>Raw_Data!J345</f>
        <v>230.5</v>
      </c>
      <c r="K345" s="4">
        <f>Raw_Data!K345</f>
        <v>0</v>
      </c>
      <c r="L345" s="3">
        <f>Raw_Data!L345</f>
        <v>230.5</v>
      </c>
      <c r="M345" s="3">
        <f>Raw_Data!M345</f>
        <v>174.59</v>
      </c>
      <c r="N345" s="3">
        <f>Raw_Data!N345</f>
        <v>55.91</v>
      </c>
      <c r="O345" t="str">
        <f t="shared" si="15"/>
        <v>2025-05</v>
      </c>
      <c r="P345" s="5">
        <f t="shared" si="16"/>
        <v>0.24255965292841647</v>
      </c>
      <c r="Q345" s="3">
        <f t="shared" si="17"/>
        <v>230.5</v>
      </c>
    </row>
    <row r="346" spans="1:17" x14ac:dyDescent="0.35">
      <c r="A346" t="str">
        <f>Raw_Data!A346</f>
        <v>ORD-0594</v>
      </c>
      <c r="B346" s="2">
        <f>Raw_Data!B346</f>
        <v>45787</v>
      </c>
      <c r="C346" t="str">
        <f>Raw_Data!C346</f>
        <v>East</v>
      </c>
      <c r="D346" t="str">
        <f>Raw_Data!D346</f>
        <v>Guwahati</v>
      </c>
      <c r="E346" t="str">
        <f>Raw_Data!E346</f>
        <v>Furniture</v>
      </c>
      <c r="F346" t="str">
        <f>Raw_Data!F346</f>
        <v>Standing Desk</v>
      </c>
      <c r="G346" t="str">
        <f>Raw_Data!G346</f>
        <v>Small Business</v>
      </c>
      <c r="H346" t="str">
        <f>Raw_Data!H346</f>
        <v>Marketplace</v>
      </c>
      <c r="I346">
        <f>Raw_Data!I346</f>
        <v>11</v>
      </c>
      <c r="J346" s="3">
        <f>Raw_Data!J346</f>
        <v>306.19</v>
      </c>
      <c r="K346" s="4">
        <f>Raw_Data!K346</f>
        <v>0.1</v>
      </c>
      <c r="L346" s="3">
        <f>Raw_Data!L346</f>
        <v>3031.28</v>
      </c>
      <c r="M346" s="3">
        <f>Raw_Data!M346</f>
        <v>2549</v>
      </c>
      <c r="N346" s="3">
        <f>Raw_Data!N346</f>
        <v>482.28</v>
      </c>
      <c r="O346" t="str">
        <f t="shared" si="15"/>
        <v>2025-05</v>
      </c>
      <c r="P346" s="5">
        <f t="shared" si="16"/>
        <v>0.15910110580348893</v>
      </c>
      <c r="Q346" s="3">
        <f t="shared" si="17"/>
        <v>3031.28</v>
      </c>
    </row>
    <row r="347" spans="1:17" x14ac:dyDescent="0.35">
      <c r="A347" t="str">
        <f>Raw_Data!A347</f>
        <v>ORD-0869</v>
      </c>
      <c r="B347" s="2">
        <f>Raw_Data!B347</f>
        <v>45787</v>
      </c>
      <c r="C347" t="str">
        <f>Raw_Data!C347</f>
        <v>North</v>
      </c>
      <c r="D347" t="str">
        <f>Raw_Data!D347</f>
        <v>Jaipur</v>
      </c>
      <c r="E347" t="str">
        <f>Raw_Data!E347</f>
        <v>Furniture</v>
      </c>
      <c r="F347" t="str">
        <f>Raw_Data!F347</f>
        <v>Standing Desk</v>
      </c>
      <c r="G347" t="str">
        <f>Raw_Data!G347</f>
        <v>Consumer</v>
      </c>
      <c r="H347" t="str">
        <f>Raw_Data!H347</f>
        <v>Marketplace</v>
      </c>
      <c r="I347">
        <f>Raw_Data!I347</f>
        <v>10</v>
      </c>
      <c r="J347" s="3">
        <f>Raw_Data!J347</f>
        <v>249.03</v>
      </c>
      <c r="K347" s="4">
        <f>Raw_Data!K347</f>
        <v>0.1</v>
      </c>
      <c r="L347" s="3">
        <f>Raw_Data!L347</f>
        <v>2241.27</v>
      </c>
      <c r="M347" s="3">
        <f>Raw_Data!M347</f>
        <v>1757.5</v>
      </c>
      <c r="N347" s="3">
        <f>Raw_Data!N347</f>
        <v>483.77</v>
      </c>
      <c r="O347" t="str">
        <f t="shared" si="15"/>
        <v>2025-05</v>
      </c>
      <c r="P347" s="5">
        <f t="shared" si="16"/>
        <v>0.21584637281541269</v>
      </c>
      <c r="Q347" s="3">
        <f t="shared" si="17"/>
        <v>2241.27</v>
      </c>
    </row>
    <row r="348" spans="1:17" x14ac:dyDescent="0.35">
      <c r="A348" t="str">
        <f>Raw_Data!A348</f>
        <v>ORD-0732</v>
      </c>
      <c r="B348" s="2">
        <f>Raw_Data!B348</f>
        <v>45787</v>
      </c>
      <c r="C348" t="str">
        <f>Raw_Data!C348</f>
        <v>West</v>
      </c>
      <c r="D348" t="str">
        <f>Raw_Data!D348</f>
        <v>Pune</v>
      </c>
      <c r="E348" t="str">
        <f>Raw_Data!E348</f>
        <v>Furniture</v>
      </c>
      <c r="F348" t="str">
        <f>Raw_Data!F348</f>
        <v>Bookshelf</v>
      </c>
      <c r="G348" t="str">
        <f>Raw_Data!G348</f>
        <v>Consumer</v>
      </c>
      <c r="H348" t="str">
        <f>Raw_Data!H348</f>
        <v>Online</v>
      </c>
      <c r="I348">
        <f>Raw_Data!I348</f>
        <v>10</v>
      </c>
      <c r="J348" s="3">
        <f>Raw_Data!J348</f>
        <v>96.65</v>
      </c>
      <c r="K348" s="4">
        <f>Raw_Data!K348</f>
        <v>0.15</v>
      </c>
      <c r="L348" s="3">
        <f>Raw_Data!L348</f>
        <v>821.52</v>
      </c>
      <c r="M348" s="3">
        <f>Raw_Data!M348</f>
        <v>468.64</v>
      </c>
      <c r="N348" s="3">
        <f>Raw_Data!N348</f>
        <v>352.88</v>
      </c>
      <c r="O348" t="str">
        <f t="shared" si="15"/>
        <v>2025-05</v>
      </c>
      <c r="P348" s="5">
        <f t="shared" si="16"/>
        <v>0.42954523322621485</v>
      </c>
      <c r="Q348" s="3">
        <f t="shared" si="17"/>
        <v>821.52</v>
      </c>
    </row>
    <row r="349" spans="1:17" x14ac:dyDescent="0.35">
      <c r="A349" t="str">
        <f>Raw_Data!A349</f>
        <v>ORD-0909</v>
      </c>
      <c r="B349" s="2">
        <f>Raw_Data!B349</f>
        <v>45788</v>
      </c>
      <c r="C349" t="str">
        <f>Raw_Data!C349</f>
        <v>South</v>
      </c>
      <c r="D349" t="str">
        <f>Raw_Data!D349</f>
        <v>Hyderabad</v>
      </c>
      <c r="E349" t="str">
        <f>Raw_Data!E349</f>
        <v>Home &amp; Kitchen</v>
      </c>
      <c r="F349" t="str">
        <f>Raw_Data!F349</f>
        <v>Storage Box</v>
      </c>
      <c r="G349" t="str">
        <f>Raw_Data!G349</f>
        <v>Corporate</v>
      </c>
      <c r="H349" t="str">
        <f>Raw_Data!H349</f>
        <v>In-Store</v>
      </c>
      <c r="I349">
        <f>Raw_Data!I349</f>
        <v>9</v>
      </c>
      <c r="J349" s="3">
        <f>Raw_Data!J349</f>
        <v>12.9</v>
      </c>
      <c r="K349" s="4">
        <f>Raw_Data!K349</f>
        <v>0.05</v>
      </c>
      <c r="L349" s="3">
        <f>Raw_Data!L349</f>
        <v>110.3</v>
      </c>
      <c r="M349" s="3">
        <f>Raw_Data!M349</f>
        <v>90.4</v>
      </c>
      <c r="N349" s="3">
        <f>Raw_Data!N349</f>
        <v>19.899999999999999</v>
      </c>
      <c r="O349" t="str">
        <f t="shared" si="15"/>
        <v>2025-05</v>
      </c>
      <c r="P349" s="5">
        <f t="shared" si="16"/>
        <v>0.18041704442429737</v>
      </c>
      <c r="Q349" s="3">
        <f t="shared" si="17"/>
        <v>110.3</v>
      </c>
    </row>
    <row r="350" spans="1:17" x14ac:dyDescent="0.35">
      <c r="A350" t="str">
        <f>Raw_Data!A350</f>
        <v>ORD-0210</v>
      </c>
      <c r="B350" s="2">
        <f>Raw_Data!B350</f>
        <v>45788</v>
      </c>
      <c r="C350" t="str">
        <f>Raw_Data!C350</f>
        <v>North</v>
      </c>
      <c r="D350" t="str">
        <f>Raw_Data!D350</f>
        <v>Delhi</v>
      </c>
      <c r="E350" t="str">
        <f>Raw_Data!E350</f>
        <v>Technology</v>
      </c>
      <c r="F350" t="str">
        <f>Raw_Data!F350</f>
        <v>Keyboard</v>
      </c>
      <c r="G350" t="str">
        <f>Raw_Data!G350</f>
        <v>Corporate</v>
      </c>
      <c r="H350" t="str">
        <f>Raw_Data!H350</f>
        <v>Online</v>
      </c>
      <c r="I350">
        <f>Raw_Data!I350</f>
        <v>10</v>
      </c>
      <c r="J350" s="3">
        <f>Raw_Data!J350</f>
        <v>28.02</v>
      </c>
      <c r="K350" s="4">
        <f>Raw_Data!K350</f>
        <v>0.1</v>
      </c>
      <c r="L350" s="3">
        <f>Raw_Data!L350</f>
        <v>252.18</v>
      </c>
      <c r="M350" s="3">
        <f>Raw_Data!M350</f>
        <v>163.46</v>
      </c>
      <c r="N350" s="3">
        <f>Raw_Data!N350</f>
        <v>88.72</v>
      </c>
      <c r="O350" t="str">
        <f t="shared" si="15"/>
        <v>2025-05</v>
      </c>
      <c r="P350" s="5">
        <f t="shared" si="16"/>
        <v>0.35181219763660876</v>
      </c>
      <c r="Q350" s="3">
        <f t="shared" si="17"/>
        <v>252.18</v>
      </c>
    </row>
    <row r="351" spans="1:17" x14ac:dyDescent="0.35">
      <c r="A351" t="str">
        <f>Raw_Data!A351</f>
        <v>ORD-0501</v>
      </c>
      <c r="B351" s="2">
        <f>Raw_Data!B351</f>
        <v>45788</v>
      </c>
      <c r="C351" t="str">
        <f>Raw_Data!C351</f>
        <v>East</v>
      </c>
      <c r="D351" t="str">
        <f>Raw_Data!D351</f>
        <v>Guwahati</v>
      </c>
      <c r="E351" t="str">
        <f>Raw_Data!E351</f>
        <v>Furniture</v>
      </c>
      <c r="F351" t="str">
        <f>Raw_Data!F351</f>
        <v>Standing Desk</v>
      </c>
      <c r="G351" t="str">
        <f>Raw_Data!G351</f>
        <v>Corporate</v>
      </c>
      <c r="H351" t="str">
        <f>Raw_Data!H351</f>
        <v>Online</v>
      </c>
      <c r="I351">
        <f>Raw_Data!I351</f>
        <v>8</v>
      </c>
      <c r="J351" s="3">
        <f>Raw_Data!J351</f>
        <v>308.33999999999997</v>
      </c>
      <c r="K351" s="4">
        <f>Raw_Data!K351</f>
        <v>0</v>
      </c>
      <c r="L351" s="3">
        <f>Raw_Data!L351</f>
        <v>2466.7199999999998</v>
      </c>
      <c r="M351" s="3">
        <f>Raw_Data!M351</f>
        <v>1721.51</v>
      </c>
      <c r="N351" s="3">
        <f>Raw_Data!N351</f>
        <v>745.21</v>
      </c>
      <c r="O351" t="str">
        <f t="shared" si="15"/>
        <v>2025-05</v>
      </c>
      <c r="P351" s="5">
        <f t="shared" si="16"/>
        <v>0.30210563014853736</v>
      </c>
      <c r="Q351" s="3">
        <f t="shared" si="17"/>
        <v>2466.7199999999998</v>
      </c>
    </row>
    <row r="352" spans="1:17" x14ac:dyDescent="0.35">
      <c r="A352" t="str">
        <f>Raw_Data!A352</f>
        <v>ORD-0504</v>
      </c>
      <c r="B352" s="2">
        <f>Raw_Data!B352</f>
        <v>45789</v>
      </c>
      <c r="C352" t="str">
        <f>Raw_Data!C352</f>
        <v>East</v>
      </c>
      <c r="D352" t="str">
        <f>Raw_Data!D352</f>
        <v>Bhubaneswar</v>
      </c>
      <c r="E352" t="str">
        <f>Raw_Data!E352</f>
        <v>Furniture</v>
      </c>
      <c r="F352" t="str">
        <f>Raw_Data!F352</f>
        <v>Office Chair</v>
      </c>
      <c r="G352" t="str">
        <f>Raw_Data!G352</f>
        <v>Small Business</v>
      </c>
      <c r="H352" t="str">
        <f>Raw_Data!H352</f>
        <v>Online</v>
      </c>
      <c r="I352">
        <f>Raw_Data!I352</f>
        <v>10</v>
      </c>
      <c r="J352" s="3">
        <f>Raw_Data!J352</f>
        <v>143.54</v>
      </c>
      <c r="K352" s="4">
        <f>Raw_Data!K352</f>
        <v>0</v>
      </c>
      <c r="L352" s="3">
        <f>Raw_Data!L352</f>
        <v>1435.4</v>
      </c>
      <c r="M352" s="3">
        <f>Raw_Data!M352</f>
        <v>1005.18</v>
      </c>
      <c r="N352" s="3">
        <f>Raw_Data!N352</f>
        <v>430.22</v>
      </c>
      <c r="O352" t="str">
        <f t="shared" si="15"/>
        <v>2025-05</v>
      </c>
      <c r="P352" s="5">
        <f t="shared" si="16"/>
        <v>0.29972133203288281</v>
      </c>
      <c r="Q352" s="3">
        <f t="shared" si="17"/>
        <v>1435.4</v>
      </c>
    </row>
    <row r="353" spans="1:17" x14ac:dyDescent="0.35">
      <c r="A353" t="str">
        <f>Raw_Data!A353</f>
        <v>ORD-0884</v>
      </c>
      <c r="B353" s="2">
        <f>Raw_Data!B353</f>
        <v>45789</v>
      </c>
      <c r="C353" t="str">
        <f>Raw_Data!C353</f>
        <v>West</v>
      </c>
      <c r="D353" t="str">
        <f>Raw_Data!D353</f>
        <v>Pune</v>
      </c>
      <c r="E353" t="str">
        <f>Raw_Data!E353</f>
        <v>Home &amp; Kitchen</v>
      </c>
      <c r="F353" t="str">
        <f>Raw_Data!F353</f>
        <v>Water Bottle</v>
      </c>
      <c r="G353" t="str">
        <f>Raw_Data!G353</f>
        <v>Consumer</v>
      </c>
      <c r="H353" t="str">
        <f>Raw_Data!H353</f>
        <v>Marketplace</v>
      </c>
      <c r="I353">
        <f>Raw_Data!I353</f>
        <v>11</v>
      </c>
      <c r="J353" s="3">
        <f>Raw_Data!J353</f>
        <v>14.36</v>
      </c>
      <c r="K353" s="4">
        <f>Raw_Data!K353</f>
        <v>0.15</v>
      </c>
      <c r="L353" s="3">
        <f>Raw_Data!L353</f>
        <v>134.27000000000001</v>
      </c>
      <c r="M353" s="3">
        <f>Raw_Data!M353</f>
        <v>105.84</v>
      </c>
      <c r="N353" s="3">
        <f>Raw_Data!N353</f>
        <v>28.43</v>
      </c>
      <c r="O353" t="str">
        <f t="shared" si="15"/>
        <v>2025-05</v>
      </c>
      <c r="P353" s="5">
        <f t="shared" si="16"/>
        <v>0.21173754375512027</v>
      </c>
      <c r="Q353" s="3">
        <f t="shared" si="17"/>
        <v>134.27000000000001</v>
      </c>
    </row>
    <row r="354" spans="1:17" x14ac:dyDescent="0.35">
      <c r="A354" t="str">
        <f>Raw_Data!A354</f>
        <v>ORD-0373</v>
      </c>
      <c r="B354" s="2">
        <f>Raw_Data!B354</f>
        <v>45789</v>
      </c>
      <c r="C354" t="str">
        <f>Raw_Data!C354</f>
        <v>South</v>
      </c>
      <c r="D354" t="str">
        <f>Raw_Data!D354</f>
        <v>Chennai</v>
      </c>
      <c r="E354" t="str">
        <f>Raw_Data!E354</f>
        <v>Office Supplies</v>
      </c>
      <c r="F354" t="str">
        <f>Raw_Data!F354</f>
        <v>Printer Paper</v>
      </c>
      <c r="G354" t="str">
        <f>Raw_Data!G354</f>
        <v>Consumer</v>
      </c>
      <c r="H354" t="str">
        <f>Raw_Data!H354</f>
        <v>In-Store</v>
      </c>
      <c r="I354">
        <f>Raw_Data!I354</f>
        <v>5</v>
      </c>
      <c r="J354" s="3">
        <f>Raw_Data!J354</f>
        <v>14.14</v>
      </c>
      <c r="K354" s="4">
        <f>Raw_Data!K354</f>
        <v>0</v>
      </c>
      <c r="L354" s="3">
        <f>Raw_Data!L354</f>
        <v>70.7</v>
      </c>
      <c r="M354" s="3">
        <f>Raw_Data!M354</f>
        <v>36.049999999999997</v>
      </c>
      <c r="N354" s="3">
        <f>Raw_Data!N354</f>
        <v>34.65</v>
      </c>
      <c r="O354" t="str">
        <f t="shared" si="15"/>
        <v>2025-05</v>
      </c>
      <c r="P354" s="5">
        <f t="shared" si="16"/>
        <v>0.49009900990099003</v>
      </c>
      <c r="Q354" s="3">
        <f t="shared" si="17"/>
        <v>70.7</v>
      </c>
    </row>
    <row r="355" spans="1:17" x14ac:dyDescent="0.35">
      <c r="A355" t="str">
        <f>Raw_Data!A355</f>
        <v>ORD-0292</v>
      </c>
      <c r="B355" s="2">
        <f>Raw_Data!B355</f>
        <v>45790</v>
      </c>
      <c r="C355" t="str">
        <f>Raw_Data!C355</f>
        <v>North</v>
      </c>
      <c r="D355" t="str">
        <f>Raw_Data!D355</f>
        <v>Chandigarh</v>
      </c>
      <c r="E355" t="str">
        <f>Raw_Data!E355</f>
        <v>Office Supplies</v>
      </c>
      <c r="F355" t="str">
        <f>Raw_Data!F355</f>
        <v>Desk Organizer</v>
      </c>
      <c r="G355" t="str">
        <f>Raw_Data!G355</f>
        <v>Consumer</v>
      </c>
      <c r="H355" t="str">
        <f>Raw_Data!H355</f>
        <v>In-Store</v>
      </c>
      <c r="I355">
        <f>Raw_Data!I355</f>
        <v>3</v>
      </c>
      <c r="J355" s="3">
        <f>Raw_Data!J355</f>
        <v>23.36</v>
      </c>
      <c r="K355" s="4">
        <f>Raw_Data!K355</f>
        <v>0.05</v>
      </c>
      <c r="L355" s="3">
        <f>Raw_Data!L355</f>
        <v>66.58</v>
      </c>
      <c r="M355" s="3">
        <f>Raw_Data!M355</f>
        <v>49.05</v>
      </c>
      <c r="N355" s="3">
        <f>Raw_Data!N355</f>
        <v>17.53</v>
      </c>
      <c r="O355" t="str">
        <f t="shared" si="15"/>
        <v>2025-05</v>
      </c>
      <c r="P355" s="5">
        <f t="shared" si="16"/>
        <v>0.26329227996395316</v>
      </c>
      <c r="Q355" s="3">
        <f t="shared" si="17"/>
        <v>66.58</v>
      </c>
    </row>
    <row r="356" spans="1:17" x14ac:dyDescent="0.35">
      <c r="A356" t="str">
        <f>Raw_Data!A356</f>
        <v>ORD-0915</v>
      </c>
      <c r="B356" s="2">
        <f>Raw_Data!B356</f>
        <v>45790</v>
      </c>
      <c r="C356" t="str">
        <f>Raw_Data!C356</f>
        <v>East</v>
      </c>
      <c r="D356" t="str">
        <f>Raw_Data!D356</f>
        <v>Guwahati</v>
      </c>
      <c r="E356" t="str">
        <f>Raw_Data!E356</f>
        <v>Technology</v>
      </c>
      <c r="F356" t="str">
        <f>Raw_Data!F356</f>
        <v>Keyboard</v>
      </c>
      <c r="G356" t="str">
        <f>Raw_Data!G356</f>
        <v>Consumer</v>
      </c>
      <c r="H356" t="str">
        <f>Raw_Data!H356</f>
        <v>Marketplace</v>
      </c>
      <c r="I356">
        <f>Raw_Data!I356</f>
        <v>11</v>
      </c>
      <c r="J356" s="3">
        <f>Raw_Data!J356</f>
        <v>28.62</v>
      </c>
      <c r="K356" s="4">
        <f>Raw_Data!K356</f>
        <v>0.1</v>
      </c>
      <c r="L356" s="3">
        <f>Raw_Data!L356</f>
        <v>283.33999999999997</v>
      </c>
      <c r="M356" s="3">
        <f>Raw_Data!M356</f>
        <v>204.72</v>
      </c>
      <c r="N356" s="3">
        <f>Raw_Data!N356</f>
        <v>78.62</v>
      </c>
      <c r="O356" t="str">
        <f t="shared" si="15"/>
        <v>2025-05</v>
      </c>
      <c r="P356" s="5">
        <f t="shared" si="16"/>
        <v>0.27747582409825655</v>
      </c>
      <c r="Q356" s="3">
        <f t="shared" si="17"/>
        <v>283.33999999999997</v>
      </c>
    </row>
    <row r="357" spans="1:17" x14ac:dyDescent="0.35">
      <c r="A357" t="str">
        <f>Raw_Data!A357</f>
        <v>ORD-0226</v>
      </c>
      <c r="B357" s="2">
        <f>Raw_Data!B357</f>
        <v>45791</v>
      </c>
      <c r="C357" t="str">
        <f>Raw_Data!C357</f>
        <v>South</v>
      </c>
      <c r="D357" t="str">
        <f>Raw_Data!D357</f>
        <v>Hyderabad</v>
      </c>
      <c r="E357" t="str">
        <f>Raw_Data!E357</f>
        <v>Home &amp; Kitchen</v>
      </c>
      <c r="F357" t="str">
        <f>Raw_Data!F357</f>
        <v>Coffee Maker</v>
      </c>
      <c r="G357" t="str">
        <f>Raw_Data!G357</f>
        <v>Small Business</v>
      </c>
      <c r="H357" t="str">
        <f>Raw_Data!H357</f>
        <v>Marketplace</v>
      </c>
      <c r="I357">
        <f>Raw_Data!I357</f>
        <v>3</v>
      </c>
      <c r="J357" s="3">
        <f>Raw_Data!J357</f>
        <v>66.14</v>
      </c>
      <c r="K357" s="4">
        <f>Raw_Data!K357</f>
        <v>0</v>
      </c>
      <c r="L357" s="3">
        <f>Raw_Data!L357</f>
        <v>198.42</v>
      </c>
      <c r="M357" s="3">
        <f>Raw_Data!M357</f>
        <v>117.85</v>
      </c>
      <c r="N357" s="3">
        <f>Raw_Data!N357</f>
        <v>80.569999999999993</v>
      </c>
      <c r="O357" t="str">
        <f t="shared" si="15"/>
        <v>2025-05</v>
      </c>
      <c r="P357" s="5">
        <f t="shared" si="16"/>
        <v>0.40605785707085978</v>
      </c>
      <c r="Q357" s="3">
        <f t="shared" si="17"/>
        <v>198.42</v>
      </c>
    </row>
    <row r="358" spans="1:17" x14ac:dyDescent="0.35">
      <c r="A358" t="str">
        <f>Raw_Data!A358</f>
        <v>ORD-0353</v>
      </c>
      <c r="B358" s="2">
        <f>Raw_Data!B358</f>
        <v>45791</v>
      </c>
      <c r="C358" t="str">
        <f>Raw_Data!C358</f>
        <v>West</v>
      </c>
      <c r="D358" t="str">
        <f>Raw_Data!D358</f>
        <v>Ahmedabad</v>
      </c>
      <c r="E358" t="str">
        <f>Raw_Data!E358</f>
        <v>Furniture</v>
      </c>
      <c r="F358" t="str">
        <f>Raw_Data!F358</f>
        <v>Desk Lamp</v>
      </c>
      <c r="G358" t="str">
        <f>Raw_Data!G358</f>
        <v>Corporate</v>
      </c>
      <c r="H358" t="str">
        <f>Raw_Data!H358</f>
        <v>In-Store</v>
      </c>
      <c r="I358">
        <f>Raw_Data!I358</f>
        <v>3</v>
      </c>
      <c r="J358" s="3">
        <f>Raw_Data!J358</f>
        <v>39.18</v>
      </c>
      <c r="K358" s="4">
        <f>Raw_Data!K358</f>
        <v>0</v>
      </c>
      <c r="L358" s="3">
        <f>Raw_Data!L358</f>
        <v>117.54</v>
      </c>
      <c r="M358" s="3">
        <f>Raw_Data!M358</f>
        <v>88.14</v>
      </c>
      <c r="N358" s="3">
        <f>Raw_Data!N358</f>
        <v>29.4</v>
      </c>
      <c r="O358" t="str">
        <f t="shared" si="15"/>
        <v>2025-05</v>
      </c>
      <c r="P358" s="5">
        <f t="shared" si="16"/>
        <v>0.25012761613067891</v>
      </c>
      <c r="Q358" s="3">
        <f t="shared" si="17"/>
        <v>117.54</v>
      </c>
    </row>
    <row r="359" spans="1:17" x14ac:dyDescent="0.35">
      <c r="A359" t="str">
        <f>Raw_Data!A359</f>
        <v>ORD-0334</v>
      </c>
      <c r="B359" s="2">
        <f>Raw_Data!B359</f>
        <v>45792</v>
      </c>
      <c r="C359" t="str">
        <f>Raw_Data!C359</f>
        <v>East</v>
      </c>
      <c r="D359" t="str">
        <f>Raw_Data!D359</f>
        <v>Guwahati</v>
      </c>
      <c r="E359" t="str">
        <f>Raw_Data!E359</f>
        <v>Office Supplies</v>
      </c>
      <c r="F359" t="str">
        <f>Raw_Data!F359</f>
        <v>Desk Organizer</v>
      </c>
      <c r="G359" t="str">
        <f>Raw_Data!G359</f>
        <v>Corporate</v>
      </c>
      <c r="H359" t="str">
        <f>Raw_Data!H359</f>
        <v>In-Store</v>
      </c>
      <c r="I359">
        <f>Raw_Data!I359</f>
        <v>10</v>
      </c>
      <c r="J359" s="3">
        <f>Raw_Data!J359</f>
        <v>18.3</v>
      </c>
      <c r="K359" s="4">
        <f>Raw_Data!K359</f>
        <v>0</v>
      </c>
      <c r="L359" s="3">
        <f>Raw_Data!L359</f>
        <v>183</v>
      </c>
      <c r="M359" s="3">
        <f>Raw_Data!M359</f>
        <v>92.55</v>
      </c>
      <c r="N359" s="3">
        <f>Raw_Data!N359</f>
        <v>90.45</v>
      </c>
      <c r="O359" t="str">
        <f t="shared" si="15"/>
        <v>2025-05</v>
      </c>
      <c r="P359" s="5">
        <f t="shared" si="16"/>
        <v>0.49426229508196723</v>
      </c>
      <c r="Q359" s="3">
        <f t="shared" si="17"/>
        <v>183</v>
      </c>
    </row>
    <row r="360" spans="1:17" x14ac:dyDescent="0.35">
      <c r="A360" t="str">
        <f>Raw_Data!A360</f>
        <v>ORD-0708</v>
      </c>
      <c r="B360" s="2">
        <f>Raw_Data!B360</f>
        <v>45792</v>
      </c>
      <c r="C360" t="str">
        <f>Raw_Data!C360</f>
        <v>North</v>
      </c>
      <c r="D360" t="str">
        <f>Raw_Data!D360</f>
        <v>Jaipur</v>
      </c>
      <c r="E360" t="str">
        <f>Raw_Data!E360</f>
        <v>Office Supplies</v>
      </c>
      <c r="F360" t="str">
        <f>Raw_Data!F360</f>
        <v>Notebook Pack</v>
      </c>
      <c r="G360" t="str">
        <f>Raw_Data!G360</f>
        <v>Small Business</v>
      </c>
      <c r="H360" t="str">
        <f>Raw_Data!H360</f>
        <v>Online</v>
      </c>
      <c r="I360">
        <f>Raw_Data!I360</f>
        <v>7</v>
      </c>
      <c r="J360" s="3">
        <f>Raw_Data!J360</f>
        <v>12.8</v>
      </c>
      <c r="K360" s="4">
        <f>Raw_Data!K360</f>
        <v>0.15</v>
      </c>
      <c r="L360" s="3">
        <f>Raw_Data!L360</f>
        <v>76.16</v>
      </c>
      <c r="M360" s="3">
        <f>Raw_Data!M360</f>
        <v>50</v>
      </c>
      <c r="N360" s="3">
        <f>Raw_Data!N360</f>
        <v>26.16</v>
      </c>
      <c r="O360" t="str">
        <f t="shared" si="15"/>
        <v>2025-05</v>
      </c>
      <c r="P360" s="5">
        <f t="shared" si="16"/>
        <v>0.34348739495798319</v>
      </c>
      <c r="Q360" s="3">
        <f t="shared" si="17"/>
        <v>76.16</v>
      </c>
    </row>
    <row r="361" spans="1:17" x14ac:dyDescent="0.35">
      <c r="A361" t="str">
        <f>Raw_Data!A361</f>
        <v>ORD-0182</v>
      </c>
      <c r="B361" s="2">
        <f>Raw_Data!B361</f>
        <v>45793</v>
      </c>
      <c r="C361" t="str">
        <f>Raw_Data!C361</f>
        <v>South</v>
      </c>
      <c r="D361" t="str">
        <f>Raw_Data!D361</f>
        <v>Chennai</v>
      </c>
      <c r="E361" t="str">
        <f>Raw_Data!E361</f>
        <v>Furniture</v>
      </c>
      <c r="F361" t="str">
        <f>Raw_Data!F361</f>
        <v>Standing Desk</v>
      </c>
      <c r="G361" t="str">
        <f>Raw_Data!G361</f>
        <v>Small Business</v>
      </c>
      <c r="H361" t="str">
        <f>Raw_Data!H361</f>
        <v>Marketplace</v>
      </c>
      <c r="I361">
        <f>Raw_Data!I361</f>
        <v>6</v>
      </c>
      <c r="J361" s="3">
        <f>Raw_Data!J361</f>
        <v>225.12</v>
      </c>
      <c r="K361" s="4">
        <f>Raw_Data!K361</f>
        <v>0</v>
      </c>
      <c r="L361" s="3">
        <f>Raw_Data!L361</f>
        <v>1350.72</v>
      </c>
      <c r="M361" s="3">
        <f>Raw_Data!M361</f>
        <v>879.43</v>
      </c>
      <c r="N361" s="3">
        <f>Raw_Data!N361</f>
        <v>471.29</v>
      </c>
      <c r="O361" t="str">
        <f t="shared" si="15"/>
        <v>2025-05</v>
      </c>
      <c r="P361" s="5">
        <f t="shared" si="16"/>
        <v>0.34891761430940538</v>
      </c>
      <c r="Q361" s="3">
        <f t="shared" si="17"/>
        <v>1350.72</v>
      </c>
    </row>
    <row r="362" spans="1:17" x14ac:dyDescent="0.35">
      <c r="A362" t="str">
        <f>Raw_Data!A362</f>
        <v>ORD-0949</v>
      </c>
      <c r="B362" s="2">
        <f>Raw_Data!B362</f>
        <v>45793</v>
      </c>
      <c r="C362" t="str">
        <f>Raw_Data!C362</f>
        <v>North</v>
      </c>
      <c r="D362" t="str">
        <f>Raw_Data!D362</f>
        <v>Jaipur</v>
      </c>
      <c r="E362" t="str">
        <f>Raw_Data!E362</f>
        <v>Office Supplies</v>
      </c>
      <c r="F362" t="str">
        <f>Raw_Data!F362</f>
        <v>Printer Paper</v>
      </c>
      <c r="G362" t="str">
        <f>Raw_Data!G362</f>
        <v>Small Business</v>
      </c>
      <c r="H362" t="str">
        <f>Raw_Data!H362</f>
        <v>Online</v>
      </c>
      <c r="I362">
        <f>Raw_Data!I362</f>
        <v>10</v>
      </c>
      <c r="J362" s="3">
        <f>Raw_Data!J362</f>
        <v>14.3</v>
      </c>
      <c r="K362" s="4">
        <f>Raw_Data!K362</f>
        <v>0</v>
      </c>
      <c r="L362" s="3">
        <f>Raw_Data!L362</f>
        <v>143</v>
      </c>
      <c r="M362" s="3">
        <f>Raw_Data!M362</f>
        <v>95.49</v>
      </c>
      <c r="N362" s="3">
        <f>Raw_Data!N362</f>
        <v>47.51</v>
      </c>
      <c r="O362" t="str">
        <f t="shared" si="15"/>
        <v>2025-05</v>
      </c>
      <c r="P362" s="5">
        <f t="shared" si="16"/>
        <v>0.33223776223776225</v>
      </c>
      <c r="Q362" s="3">
        <f t="shared" si="17"/>
        <v>143</v>
      </c>
    </row>
    <row r="363" spans="1:17" x14ac:dyDescent="0.35">
      <c r="A363" t="str">
        <f>Raw_Data!A363</f>
        <v>ORD-0686</v>
      </c>
      <c r="B363" s="2">
        <f>Raw_Data!B363</f>
        <v>45793</v>
      </c>
      <c r="C363" t="str">
        <f>Raw_Data!C363</f>
        <v>North</v>
      </c>
      <c r="D363" t="str">
        <f>Raw_Data!D363</f>
        <v>Delhi</v>
      </c>
      <c r="E363" t="str">
        <f>Raw_Data!E363</f>
        <v>Technology</v>
      </c>
      <c r="F363" t="str">
        <f>Raw_Data!F363</f>
        <v>Headphones</v>
      </c>
      <c r="G363" t="str">
        <f>Raw_Data!G363</f>
        <v>Corporate</v>
      </c>
      <c r="H363" t="str">
        <f>Raw_Data!H363</f>
        <v>Marketplace</v>
      </c>
      <c r="I363">
        <f>Raw_Data!I363</f>
        <v>10</v>
      </c>
      <c r="J363" s="3">
        <f>Raw_Data!J363</f>
        <v>54.49</v>
      </c>
      <c r="K363" s="4">
        <f>Raw_Data!K363</f>
        <v>0</v>
      </c>
      <c r="L363" s="3">
        <f>Raw_Data!L363</f>
        <v>544.9</v>
      </c>
      <c r="M363" s="3">
        <f>Raw_Data!M363</f>
        <v>363.65</v>
      </c>
      <c r="N363" s="3">
        <f>Raw_Data!N363</f>
        <v>181.25</v>
      </c>
      <c r="O363" t="str">
        <f t="shared" si="15"/>
        <v>2025-05</v>
      </c>
      <c r="P363" s="5">
        <f t="shared" si="16"/>
        <v>0.33262984033767667</v>
      </c>
      <c r="Q363" s="3">
        <f t="shared" si="17"/>
        <v>544.9</v>
      </c>
    </row>
    <row r="364" spans="1:17" x14ac:dyDescent="0.35">
      <c r="A364" t="str">
        <f>Raw_Data!A364</f>
        <v>ORD-0104</v>
      </c>
      <c r="B364" s="2">
        <f>Raw_Data!B364</f>
        <v>45793</v>
      </c>
      <c r="C364" t="str">
        <f>Raw_Data!C364</f>
        <v>East</v>
      </c>
      <c r="D364" t="str">
        <f>Raw_Data!D364</f>
        <v>Kolkata</v>
      </c>
      <c r="E364" t="str">
        <f>Raw_Data!E364</f>
        <v>Technology</v>
      </c>
      <c r="F364" t="str">
        <f>Raw_Data!F364</f>
        <v>USB Hub</v>
      </c>
      <c r="G364" t="str">
        <f>Raw_Data!G364</f>
        <v>Consumer</v>
      </c>
      <c r="H364" t="str">
        <f>Raw_Data!H364</f>
        <v>Marketplace</v>
      </c>
      <c r="I364">
        <f>Raw_Data!I364</f>
        <v>6</v>
      </c>
      <c r="J364" s="3">
        <f>Raw_Data!J364</f>
        <v>26.05</v>
      </c>
      <c r="K364" s="4">
        <f>Raw_Data!K364</f>
        <v>0.05</v>
      </c>
      <c r="L364" s="3">
        <f>Raw_Data!L364</f>
        <v>148.49</v>
      </c>
      <c r="M364" s="3">
        <f>Raw_Data!M364</f>
        <v>102.43</v>
      </c>
      <c r="N364" s="3">
        <f>Raw_Data!N364</f>
        <v>46.06</v>
      </c>
      <c r="O364" t="str">
        <f t="shared" si="15"/>
        <v>2025-05</v>
      </c>
      <c r="P364" s="5">
        <f t="shared" si="16"/>
        <v>0.31018923833254763</v>
      </c>
      <c r="Q364" s="3">
        <f t="shared" si="17"/>
        <v>148.49</v>
      </c>
    </row>
    <row r="365" spans="1:17" x14ac:dyDescent="0.35">
      <c r="A365" t="str">
        <f>Raw_Data!A365</f>
        <v>ORD-0876</v>
      </c>
      <c r="B365" s="2">
        <f>Raw_Data!B365</f>
        <v>45794</v>
      </c>
      <c r="C365" t="str">
        <f>Raw_Data!C365</f>
        <v>East</v>
      </c>
      <c r="D365" t="str">
        <f>Raw_Data!D365</f>
        <v>Bhubaneswar</v>
      </c>
      <c r="E365" t="str">
        <f>Raw_Data!E365</f>
        <v>Home &amp; Kitchen</v>
      </c>
      <c r="F365" t="str">
        <f>Raw_Data!F365</f>
        <v>Lunch Box</v>
      </c>
      <c r="G365" t="str">
        <f>Raw_Data!G365</f>
        <v>Small Business</v>
      </c>
      <c r="H365" t="str">
        <f>Raw_Data!H365</f>
        <v>Online</v>
      </c>
      <c r="I365">
        <f>Raw_Data!I365</f>
        <v>6</v>
      </c>
      <c r="J365" s="3">
        <f>Raw_Data!J365</f>
        <v>21.23</v>
      </c>
      <c r="K365" s="4">
        <f>Raw_Data!K365</f>
        <v>0.05</v>
      </c>
      <c r="L365" s="3">
        <f>Raw_Data!L365</f>
        <v>121.01</v>
      </c>
      <c r="M365" s="3">
        <f>Raw_Data!M365</f>
        <v>75.31</v>
      </c>
      <c r="N365" s="3">
        <f>Raw_Data!N365</f>
        <v>45.7</v>
      </c>
      <c r="O365" t="str">
        <f t="shared" si="15"/>
        <v>2025-05</v>
      </c>
      <c r="P365" s="5">
        <f t="shared" si="16"/>
        <v>0.37765473927774562</v>
      </c>
      <c r="Q365" s="3">
        <f t="shared" si="17"/>
        <v>121.01</v>
      </c>
    </row>
    <row r="366" spans="1:17" x14ac:dyDescent="0.35">
      <c r="A366" t="str">
        <f>Raw_Data!A366</f>
        <v>ORD-0599</v>
      </c>
      <c r="B366" s="2">
        <f>Raw_Data!B366</f>
        <v>45794</v>
      </c>
      <c r="C366" t="str">
        <f>Raw_Data!C366</f>
        <v>West</v>
      </c>
      <c r="D366" t="str">
        <f>Raw_Data!D366</f>
        <v>Pune</v>
      </c>
      <c r="E366" t="str">
        <f>Raw_Data!E366</f>
        <v>Office Supplies</v>
      </c>
      <c r="F366" t="str">
        <f>Raw_Data!F366</f>
        <v>Desk Organizer</v>
      </c>
      <c r="G366" t="str">
        <f>Raw_Data!G366</f>
        <v>Small Business</v>
      </c>
      <c r="H366" t="str">
        <f>Raw_Data!H366</f>
        <v>In-Store</v>
      </c>
      <c r="I366">
        <f>Raw_Data!I366</f>
        <v>7</v>
      </c>
      <c r="J366" s="3">
        <f>Raw_Data!J366</f>
        <v>22.07</v>
      </c>
      <c r="K366" s="4">
        <f>Raw_Data!K366</f>
        <v>0.15</v>
      </c>
      <c r="L366" s="3">
        <f>Raw_Data!L366</f>
        <v>131.32</v>
      </c>
      <c r="M366" s="3">
        <f>Raw_Data!M366</f>
        <v>106.95</v>
      </c>
      <c r="N366" s="3">
        <f>Raw_Data!N366</f>
        <v>24.37</v>
      </c>
      <c r="O366" t="str">
        <f t="shared" si="15"/>
        <v>2025-05</v>
      </c>
      <c r="P366" s="5">
        <f t="shared" si="16"/>
        <v>0.18557721596101129</v>
      </c>
      <c r="Q366" s="3">
        <f t="shared" si="17"/>
        <v>131.32</v>
      </c>
    </row>
    <row r="367" spans="1:17" x14ac:dyDescent="0.35">
      <c r="A367" t="str">
        <f>Raw_Data!A367</f>
        <v>ORD-0728</v>
      </c>
      <c r="B367" s="2">
        <f>Raw_Data!B367</f>
        <v>45795</v>
      </c>
      <c r="C367" t="str">
        <f>Raw_Data!C367</f>
        <v>West</v>
      </c>
      <c r="D367" t="str">
        <f>Raw_Data!D367</f>
        <v>Ahmedabad</v>
      </c>
      <c r="E367" t="str">
        <f>Raw_Data!E367</f>
        <v>Home &amp; Kitchen</v>
      </c>
      <c r="F367" t="str">
        <f>Raw_Data!F367</f>
        <v>Water Bottle</v>
      </c>
      <c r="G367" t="str">
        <f>Raw_Data!G367</f>
        <v>Consumer</v>
      </c>
      <c r="H367" t="str">
        <f>Raw_Data!H367</f>
        <v>Online</v>
      </c>
      <c r="I367">
        <f>Raw_Data!I367</f>
        <v>7</v>
      </c>
      <c r="J367" s="3">
        <f>Raw_Data!J367</f>
        <v>18.14</v>
      </c>
      <c r="K367" s="4">
        <f>Raw_Data!K367</f>
        <v>0.15</v>
      </c>
      <c r="L367" s="3">
        <f>Raw_Data!L367</f>
        <v>107.93</v>
      </c>
      <c r="M367" s="3">
        <f>Raw_Data!M367</f>
        <v>68.05</v>
      </c>
      <c r="N367" s="3">
        <f>Raw_Data!N367</f>
        <v>39.880000000000003</v>
      </c>
      <c r="O367" t="str">
        <f t="shared" si="15"/>
        <v>2025-05</v>
      </c>
      <c r="P367" s="5">
        <f t="shared" si="16"/>
        <v>0.36949874918928938</v>
      </c>
      <c r="Q367" s="3">
        <f t="shared" si="17"/>
        <v>107.93</v>
      </c>
    </row>
    <row r="368" spans="1:17" x14ac:dyDescent="0.35">
      <c r="A368" t="str">
        <f>Raw_Data!A368</f>
        <v>ORD-0690</v>
      </c>
      <c r="B368" s="2">
        <f>Raw_Data!B368</f>
        <v>45795</v>
      </c>
      <c r="C368" t="str">
        <f>Raw_Data!C368</f>
        <v>South</v>
      </c>
      <c r="D368" t="str">
        <f>Raw_Data!D368</f>
        <v>Chennai</v>
      </c>
      <c r="E368" t="str">
        <f>Raw_Data!E368</f>
        <v>Home &amp; Kitchen</v>
      </c>
      <c r="F368" t="str">
        <f>Raw_Data!F368</f>
        <v>Water Bottle</v>
      </c>
      <c r="G368" t="str">
        <f>Raw_Data!G368</f>
        <v>Corporate</v>
      </c>
      <c r="H368" t="str">
        <f>Raw_Data!H368</f>
        <v>Marketplace</v>
      </c>
      <c r="I368">
        <f>Raw_Data!I368</f>
        <v>9</v>
      </c>
      <c r="J368" s="3">
        <f>Raw_Data!J368</f>
        <v>14.72</v>
      </c>
      <c r="K368" s="4">
        <f>Raw_Data!K368</f>
        <v>0.1</v>
      </c>
      <c r="L368" s="3">
        <f>Raw_Data!L368</f>
        <v>119.23</v>
      </c>
      <c r="M368" s="3">
        <f>Raw_Data!M368</f>
        <v>69.459999999999994</v>
      </c>
      <c r="N368" s="3">
        <f>Raw_Data!N368</f>
        <v>49.77</v>
      </c>
      <c r="O368" t="str">
        <f t="shared" si="15"/>
        <v>2025-05</v>
      </c>
      <c r="P368" s="5">
        <f t="shared" si="16"/>
        <v>0.4174284995387067</v>
      </c>
      <c r="Q368" s="3">
        <f t="shared" si="17"/>
        <v>119.23</v>
      </c>
    </row>
    <row r="369" spans="1:17" x14ac:dyDescent="0.35">
      <c r="A369" t="str">
        <f>Raw_Data!A369</f>
        <v>ORD-0479</v>
      </c>
      <c r="B369" s="2">
        <f>Raw_Data!B369</f>
        <v>45795</v>
      </c>
      <c r="C369" t="str">
        <f>Raw_Data!C369</f>
        <v>West</v>
      </c>
      <c r="D369" t="str">
        <f>Raw_Data!D369</f>
        <v>Pune</v>
      </c>
      <c r="E369" t="str">
        <f>Raw_Data!E369</f>
        <v>Office Supplies</v>
      </c>
      <c r="F369" t="str">
        <f>Raw_Data!F369</f>
        <v>Printer Paper</v>
      </c>
      <c r="G369" t="str">
        <f>Raw_Data!G369</f>
        <v>Consumer</v>
      </c>
      <c r="H369" t="str">
        <f>Raw_Data!H369</f>
        <v>In-Store</v>
      </c>
      <c r="I369">
        <f>Raw_Data!I369</f>
        <v>12</v>
      </c>
      <c r="J369" s="3">
        <f>Raw_Data!J369</f>
        <v>12.79</v>
      </c>
      <c r="K369" s="4">
        <f>Raw_Data!K369</f>
        <v>0</v>
      </c>
      <c r="L369" s="3">
        <f>Raw_Data!L369</f>
        <v>153.47999999999999</v>
      </c>
      <c r="M369" s="3">
        <f>Raw_Data!M369</f>
        <v>80.61</v>
      </c>
      <c r="N369" s="3">
        <f>Raw_Data!N369</f>
        <v>72.87</v>
      </c>
      <c r="O369" t="str">
        <f t="shared" si="15"/>
        <v>2025-05</v>
      </c>
      <c r="P369" s="5">
        <f t="shared" si="16"/>
        <v>0.47478498827208765</v>
      </c>
      <c r="Q369" s="3">
        <f t="shared" si="17"/>
        <v>153.47999999999999</v>
      </c>
    </row>
    <row r="370" spans="1:17" x14ac:dyDescent="0.35">
      <c r="A370" t="str">
        <f>Raw_Data!A370</f>
        <v>ORD-0956</v>
      </c>
      <c r="B370" s="2">
        <f>Raw_Data!B370</f>
        <v>45795</v>
      </c>
      <c r="C370" t="str">
        <f>Raw_Data!C370</f>
        <v>East</v>
      </c>
      <c r="D370" t="str">
        <f>Raw_Data!D370</f>
        <v>Kolkata</v>
      </c>
      <c r="E370" t="str">
        <f>Raw_Data!E370</f>
        <v>Office Supplies</v>
      </c>
      <c r="F370" t="str">
        <f>Raw_Data!F370</f>
        <v>Notebook Pack</v>
      </c>
      <c r="G370" t="str">
        <f>Raw_Data!G370</f>
        <v>Corporate</v>
      </c>
      <c r="H370" t="str">
        <f>Raw_Data!H370</f>
        <v>Online</v>
      </c>
      <c r="I370">
        <f>Raw_Data!I370</f>
        <v>1</v>
      </c>
      <c r="J370" s="3">
        <f>Raw_Data!J370</f>
        <v>14.22</v>
      </c>
      <c r="K370" s="4">
        <f>Raw_Data!K370</f>
        <v>0</v>
      </c>
      <c r="L370" s="3">
        <f>Raw_Data!L370</f>
        <v>14.22</v>
      </c>
      <c r="M370" s="3">
        <f>Raw_Data!M370</f>
        <v>9.14</v>
      </c>
      <c r="N370" s="3">
        <f>Raw_Data!N370</f>
        <v>5.08</v>
      </c>
      <c r="O370" t="str">
        <f t="shared" si="15"/>
        <v>2025-05</v>
      </c>
      <c r="P370" s="5">
        <f t="shared" si="16"/>
        <v>0.35724331926863573</v>
      </c>
      <c r="Q370" s="3">
        <f t="shared" si="17"/>
        <v>14.22</v>
      </c>
    </row>
    <row r="371" spans="1:17" x14ac:dyDescent="0.35">
      <c r="A371" t="str">
        <f>Raw_Data!A371</f>
        <v>ORD-0068</v>
      </c>
      <c r="B371" s="2">
        <f>Raw_Data!B371</f>
        <v>45796</v>
      </c>
      <c r="C371" t="str">
        <f>Raw_Data!C371</f>
        <v>South</v>
      </c>
      <c r="D371" t="str">
        <f>Raw_Data!D371</f>
        <v>Hyderabad</v>
      </c>
      <c r="E371" t="str">
        <f>Raw_Data!E371</f>
        <v>Furniture</v>
      </c>
      <c r="F371" t="str">
        <f>Raw_Data!F371</f>
        <v>Bookshelf</v>
      </c>
      <c r="G371" t="str">
        <f>Raw_Data!G371</f>
        <v>Consumer</v>
      </c>
      <c r="H371" t="str">
        <f>Raw_Data!H371</f>
        <v>Online</v>
      </c>
      <c r="I371">
        <f>Raw_Data!I371</f>
        <v>4</v>
      </c>
      <c r="J371" s="3">
        <f>Raw_Data!J371</f>
        <v>98.15</v>
      </c>
      <c r="K371" s="4">
        <f>Raw_Data!K371</f>
        <v>0</v>
      </c>
      <c r="L371" s="3">
        <f>Raw_Data!L371</f>
        <v>392.6</v>
      </c>
      <c r="M371" s="3">
        <f>Raw_Data!M371</f>
        <v>225.61</v>
      </c>
      <c r="N371" s="3">
        <f>Raw_Data!N371</f>
        <v>166.99</v>
      </c>
      <c r="O371" t="str">
        <f t="shared" si="15"/>
        <v>2025-05</v>
      </c>
      <c r="P371" s="5">
        <f t="shared" si="16"/>
        <v>0.42534386143657665</v>
      </c>
      <c r="Q371" s="3">
        <f t="shared" si="17"/>
        <v>392.6</v>
      </c>
    </row>
    <row r="372" spans="1:17" x14ac:dyDescent="0.35">
      <c r="A372" t="str">
        <f>Raw_Data!A372</f>
        <v>ORD-0528</v>
      </c>
      <c r="B372" s="2">
        <f>Raw_Data!B372</f>
        <v>45796</v>
      </c>
      <c r="C372" t="str">
        <f>Raw_Data!C372</f>
        <v>North</v>
      </c>
      <c r="D372" t="str">
        <f>Raw_Data!D372</f>
        <v>Jaipur</v>
      </c>
      <c r="E372" t="str">
        <f>Raw_Data!E372</f>
        <v>Home &amp; Kitchen</v>
      </c>
      <c r="F372" t="str">
        <f>Raw_Data!F372</f>
        <v>Storage Box</v>
      </c>
      <c r="G372" t="str">
        <f>Raw_Data!G372</f>
        <v>Consumer</v>
      </c>
      <c r="H372" t="str">
        <f>Raw_Data!H372</f>
        <v>In-Store</v>
      </c>
      <c r="I372">
        <f>Raw_Data!I372</f>
        <v>12</v>
      </c>
      <c r="J372" s="3">
        <f>Raw_Data!J372</f>
        <v>15.19</v>
      </c>
      <c r="K372" s="4">
        <f>Raw_Data!K372</f>
        <v>0</v>
      </c>
      <c r="L372" s="3">
        <f>Raw_Data!L372</f>
        <v>182.28</v>
      </c>
      <c r="M372" s="3">
        <f>Raw_Data!M372</f>
        <v>128.93</v>
      </c>
      <c r="N372" s="3">
        <f>Raw_Data!N372</f>
        <v>53.35</v>
      </c>
      <c r="O372" t="str">
        <f t="shared" si="15"/>
        <v>2025-05</v>
      </c>
      <c r="P372" s="5">
        <f t="shared" si="16"/>
        <v>0.29268158876453809</v>
      </c>
      <c r="Q372" s="3">
        <f t="shared" si="17"/>
        <v>182.28</v>
      </c>
    </row>
    <row r="373" spans="1:17" x14ac:dyDescent="0.35">
      <c r="A373" t="str">
        <f>Raw_Data!A373</f>
        <v>ORD-0239</v>
      </c>
      <c r="B373" s="2">
        <f>Raw_Data!B373</f>
        <v>45797</v>
      </c>
      <c r="C373" t="str">
        <f>Raw_Data!C373</f>
        <v>West</v>
      </c>
      <c r="D373" t="str">
        <f>Raw_Data!D373</f>
        <v>Pune</v>
      </c>
      <c r="E373" t="str">
        <f>Raw_Data!E373</f>
        <v>Home &amp; Kitchen</v>
      </c>
      <c r="F373" t="str">
        <f>Raw_Data!F373</f>
        <v>Lunch Box</v>
      </c>
      <c r="G373" t="str">
        <f>Raw_Data!G373</f>
        <v>Consumer</v>
      </c>
      <c r="H373" t="str">
        <f>Raw_Data!H373</f>
        <v>Marketplace</v>
      </c>
      <c r="I373">
        <f>Raw_Data!I373</f>
        <v>4</v>
      </c>
      <c r="J373" s="3">
        <f>Raw_Data!J373</f>
        <v>19.489999999999998</v>
      </c>
      <c r="K373" s="4">
        <f>Raw_Data!K373</f>
        <v>0.1</v>
      </c>
      <c r="L373" s="3">
        <f>Raw_Data!L373</f>
        <v>70.16</v>
      </c>
      <c r="M373" s="3">
        <f>Raw_Data!M373</f>
        <v>47.52</v>
      </c>
      <c r="N373" s="3">
        <f>Raw_Data!N373</f>
        <v>22.64</v>
      </c>
      <c r="O373" t="str">
        <f t="shared" si="15"/>
        <v>2025-05</v>
      </c>
      <c r="P373" s="5">
        <f t="shared" si="16"/>
        <v>0.32269099201824403</v>
      </c>
      <c r="Q373" s="3">
        <f t="shared" si="17"/>
        <v>70.16</v>
      </c>
    </row>
    <row r="374" spans="1:17" x14ac:dyDescent="0.35">
      <c r="A374" t="str">
        <f>Raw_Data!A374</f>
        <v>ORD-0673</v>
      </c>
      <c r="B374" s="2">
        <f>Raw_Data!B374</f>
        <v>45797</v>
      </c>
      <c r="C374" t="str">
        <f>Raw_Data!C374</f>
        <v>East</v>
      </c>
      <c r="D374" t="str">
        <f>Raw_Data!D374</f>
        <v>Kolkata</v>
      </c>
      <c r="E374" t="str">
        <f>Raw_Data!E374</f>
        <v>Home &amp; Kitchen</v>
      </c>
      <c r="F374" t="str">
        <f>Raw_Data!F374</f>
        <v>Coffee Maker</v>
      </c>
      <c r="G374" t="str">
        <f>Raw_Data!G374</f>
        <v>Consumer</v>
      </c>
      <c r="H374" t="str">
        <f>Raw_Data!H374</f>
        <v>In-Store</v>
      </c>
      <c r="I374">
        <f>Raw_Data!I374</f>
        <v>8</v>
      </c>
      <c r="J374" s="3">
        <f>Raw_Data!J374</f>
        <v>78</v>
      </c>
      <c r="K374" s="4">
        <f>Raw_Data!K374</f>
        <v>0.1</v>
      </c>
      <c r="L374" s="3">
        <f>Raw_Data!L374</f>
        <v>561.6</v>
      </c>
      <c r="M374" s="3">
        <f>Raw_Data!M374</f>
        <v>484.38</v>
      </c>
      <c r="N374" s="3">
        <f>Raw_Data!N374</f>
        <v>77.22</v>
      </c>
      <c r="O374" t="str">
        <f t="shared" si="15"/>
        <v>2025-05</v>
      </c>
      <c r="P374" s="5">
        <f t="shared" si="16"/>
        <v>0.13749999999999998</v>
      </c>
      <c r="Q374" s="3">
        <f t="shared" si="17"/>
        <v>561.6</v>
      </c>
    </row>
    <row r="375" spans="1:17" x14ac:dyDescent="0.35">
      <c r="A375" t="str">
        <f>Raw_Data!A375</f>
        <v>ORD-0656</v>
      </c>
      <c r="B375" s="2">
        <f>Raw_Data!B375</f>
        <v>45797</v>
      </c>
      <c r="C375" t="str">
        <f>Raw_Data!C375</f>
        <v>East</v>
      </c>
      <c r="D375" t="str">
        <f>Raw_Data!D375</f>
        <v>Kolkata</v>
      </c>
      <c r="E375" t="str">
        <f>Raw_Data!E375</f>
        <v>Furniture</v>
      </c>
      <c r="F375" t="str">
        <f>Raw_Data!F375</f>
        <v>Standing Desk</v>
      </c>
      <c r="G375" t="str">
        <f>Raw_Data!G375</f>
        <v>Corporate</v>
      </c>
      <c r="H375" t="str">
        <f>Raw_Data!H375</f>
        <v>Marketplace</v>
      </c>
      <c r="I375">
        <f>Raw_Data!I375</f>
        <v>11</v>
      </c>
      <c r="J375" s="3">
        <f>Raw_Data!J375</f>
        <v>304</v>
      </c>
      <c r="K375" s="4">
        <f>Raw_Data!K375</f>
        <v>0.05</v>
      </c>
      <c r="L375" s="3">
        <f>Raw_Data!L375</f>
        <v>3176.8</v>
      </c>
      <c r="M375" s="3">
        <f>Raw_Data!M375</f>
        <v>1653.99</v>
      </c>
      <c r="N375" s="3">
        <f>Raw_Data!N375</f>
        <v>1522.81</v>
      </c>
      <c r="O375" t="str">
        <f t="shared" si="15"/>
        <v>2025-05</v>
      </c>
      <c r="P375" s="5">
        <f t="shared" si="16"/>
        <v>0.47935343742130443</v>
      </c>
      <c r="Q375" s="3">
        <f t="shared" si="17"/>
        <v>3176.8</v>
      </c>
    </row>
    <row r="376" spans="1:17" x14ac:dyDescent="0.35">
      <c r="A376" t="str">
        <f>Raw_Data!A376</f>
        <v>ORD-0293</v>
      </c>
      <c r="B376" s="2">
        <f>Raw_Data!B376</f>
        <v>45797</v>
      </c>
      <c r="C376" t="str">
        <f>Raw_Data!C376</f>
        <v>East</v>
      </c>
      <c r="D376" t="str">
        <f>Raw_Data!D376</f>
        <v>Guwahati</v>
      </c>
      <c r="E376" t="str">
        <f>Raw_Data!E376</f>
        <v>Technology</v>
      </c>
      <c r="F376" t="str">
        <f>Raw_Data!F376</f>
        <v>Headphones</v>
      </c>
      <c r="G376" t="str">
        <f>Raw_Data!G376</f>
        <v>Consumer</v>
      </c>
      <c r="H376" t="str">
        <f>Raw_Data!H376</f>
        <v>In-Store</v>
      </c>
      <c r="I376">
        <f>Raw_Data!I376</f>
        <v>12</v>
      </c>
      <c r="J376" s="3">
        <f>Raw_Data!J376</f>
        <v>65.52</v>
      </c>
      <c r="K376" s="4">
        <f>Raw_Data!K376</f>
        <v>0</v>
      </c>
      <c r="L376" s="3">
        <f>Raw_Data!L376</f>
        <v>786.24</v>
      </c>
      <c r="M376" s="3">
        <f>Raw_Data!M376</f>
        <v>494.42</v>
      </c>
      <c r="N376" s="3">
        <f>Raw_Data!N376</f>
        <v>291.82</v>
      </c>
      <c r="O376" t="str">
        <f t="shared" si="15"/>
        <v>2025-05</v>
      </c>
      <c r="P376" s="5">
        <f t="shared" si="16"/>
        <v>0.37115893365893365</v>
      </c>
      <c r="Q376" s="3">
        <f t="shared" si="17"/>
        <v>786.24</v>
      </c>
    </row>
    <row r="377" spans="1:17" x14ac:dyDescent="0.35">
      <c r="A377" t="str">
        <f>Raw_Data!A377</f>
        <v>ORD-0148</v>
      </c>
      <c r="B377" s="2">
        <f>Raw_Data!B377</f>
        <v>45797</v>
      </c>
      <c r="C377" t="str">
        <f>Raw_Data!C377</f>
        <v>East</v>
      </c>
      <c r="D377" t="str">
        <f>Raw_Data!D377</f>
        <v>Kolkata</v>
      </c>
      <c r="E377" t="str">
        <f>Raw_Data!E377</f>
        <v>Home &amp; Kitchen</v>
      </c>
      <c r="F377" t="str">
        <f>Raw_Data!F377</f>
        <v>Storage Box</v>
      </c>
      <c r="G377" t="str">
        <f>Raw_Data!G377</f>
        <v>Consumer</v>
      </c>
      <c r="H377" t="str">
        <f>Raw_Data!H377</f>
        <v>In-Store</v>
      </c>
      <c r="I377">
        <f>Raw_Data!I377</f>
        <v>7</v>
      </c>
      <c r="J377" s="3">
        <f>Raw_Data!J377</f>
        <v>12.35</v>
      </c>
      <c r="K377" s="4">
        <f>Raw_Data!K377</f>
        <v>0</v>
      </c>
      <c r="L377" s="3">
        <f>Raw_Data!L377</f>
        <v>86.45</v>
      </c>
      <c r="M377" s="3">
        <f>Raw_Data!M377</f>
        <v>62.68</v>
      </c>
      <c r="N377" s="3">
        <f>Raw_Data!N377</f>
        <v>23.77</v>
      </c>
      <c r="O377" t="str">
        <f t="shared" si="15"/>
        <v>2025-05</v>
      </c>
      <c r="P377" s="5">
        <f t="shared" si="16"/>
        <v>0.27495662232504336</v>
      </c>
      <c r="Q377" s="3">
        <f t="shared" si="17"/>
        <v>86.45</v>
      </c>
    </row>
    <row r="378" spans="1:17" x14ac:dyDescent="0.35">
      <c r="A378" t="str">
        <f>Raw_Data!A378</f>
        <v>ORD-0912</v>
      </c>
      <c r="B378" s="2">
        <f>Raw_Data!B378</f>
        <v>45798</v>
      </c>
      <c r="C378" t="str">
        <f>Raw_Data!C378</f>
        <v>North</v>
      </c>
      <c r="D378" t="str">
        <f>Raw_Data!D378</f>
        <v>Jaipur</v>
      </c>
      <c r="E378" t="str">
        <f>Raw_Data!E378</f>
        <v>Technology</v>
      </c>
      <c r="F378" t="str">
        <f>Raw_Data!F378</f>
        <v>Wireless Mouse</v>
      </c>
      <c r="G378" t="str">
        <f>Raw_Data!G378</f>
        <v>Consumer</v>
      </c>
      <c r="H378" t="str">
        <f>Raw_Data!H378</f>
        <v>Online</v>
      </c>
      <c r="I378">
        <f>Raw_Data!I378</f>
        <v>7</v>
      </c>
      <c r="J378" s="3">
        <f>Raw_Data!J378</f>
        <v>21.47</v>
      </c>
      <c r="K378" s="4">
        <f>Raw_Data!K378</f>
        <v>0</v>
      </c>
      <c r="L378" s="3">
        <f>Raw_Data!L378</f>
        <v>150.29</v>
      </c>
      <c r="M378" s="3">
        <f>Raw_Data!M378</f>
        <v>89.21</v>
      </c>
      <c r="N378" s="3">
        <f>Raw_Data!N378</f>
        <v>61.08</v>
      </c>
      <c r="O378" t="str">
        <f t="shared" si="15"/>
        <v>2025-05</v>
      </c>
      <c r="P378" s="5">
        <f t="shared" si="16"/>
        <v>0.40641426575287776</v>
      </c>
      <c r="Q378" s="3">
        <f t="shared" si="17"/>
        <v>150.29</v>
      </c>
    </row>
    <row r="379" spans="1:17" x14ac:dyDescent="0.35">
      <c r="A379" t="str">
        <f>Raw_Data!A379</f>
        <v>ORD-0890</v>
      </c>
      <c r="B379" s="2">
        <f>Raw_Data!B379</f>
        <v>45798</v>
      </c>
      <c r="C379" t="str">
        <f>Raw_Data!C379</f>
        <v>East</v>
      </c>
      <c r="D379" t="str">
        <f>Raw_Data!D379</f>
        <v>Kolkata</v>
      </c>
      <c r="E379" t="str">
        <f>Raw_Data!E379</f>
        <v>Home &amp; Kitchen</v>
      </c>
      <c r="F379" t="str">
        <f>Raw_Data!F379</f>
        <v>Storage Box</v>
      </c>
      <c r="G379" t="str">
        <f>Raw_Data!G379</f>
        <v>Consumer</v>
      </c>
      <c r="H379" t="str">
        <f>Raw_Data!H379</f>
        <v>Marketplace</v>
      </c>
      <c r="I379">
        <f>Raw_Data!I379</f>
        <v>8</v>
      </c>
      <c r="J379" s="3">
        <f>Raw_Data!J379</f>
        <v>13.33</v>
      </c>
      <c r="K379" s="4">
        <f>Raw_Data!K379</f>
        <v>0.1</v>
      </c>
      <c r="L379" s="3">
        <f>Raw_Data!L379</f>
        <v>95.98</v>
      </c>
      <c r="M379" s="3">
        <f>Raw_Data!M379</f>
        <v>53.07</v>
      </c>
      <c r="N379" s="3">
        <f>Raw_Data!N379</f>
        <v>42.91</v>
      </c>
      <c r="O379" t="str">
        <f t="shared" si="15"/>
        <v>2025-05</v>
      </c>
      <c r="P379" s="5">
        <f t="shared" si="16"/>
        <v>0.4470723067305688</v>
      </c>
      <c r="Q379" s="3">
        <f t="shared" si="17"/>
        <v>95.98</v>
      </c>
    </row>
    <row r="380" spans="1:17" x14ac:dyDescent="0.35">
      <c r="A380" t="str">
        <f>Raw_Data!A380</f>
        <v>ORD-0166</v>
      </c>
      <c r="B380" s="2">
        <f>Raw_Data!B380</f>
        <v>45800</v>
      </c>
      <c r="C380" t="str">
        <f>Raw_Data!C380</f>
        <v>North</v>
      </c>
      <c r="D380" t="str">
        <f>Raw_Data!D380</f>
        <v>Jaipur</v>
      </c>
      <c r="E380" t="str">
        <f>Raw_Data!E380</f>
        <v>Office Supplies</v>
      </c>
      <c r="F380" t="str">
        <f>Raw_Data!F380</f>
        <v>Notebook Pack</v>
      </c>
      <c r="G380" t="str">
        <f>Raw_Data!G380</f>
        <v>Small Business</v>
      </c>
      <c r="H380" t="str">
        <f>Raw_Data!H380</f>
        <v>In-Store</v>
      </c>
      <c r="I380">
        <f>Raw_Data!I380</f>
        <v>1</v>
      </c>
      <c r="J380" s="3">
        <f>Raw_Data!J380</f>
        <v>13.29</v>
      </c>
      <c r="K380" s="4">
        <f>Raw_Data!K380</f>
        <v>0.1</v>
      </c>
      <c r="L380" s="3">
        <f>Raw_Data!L380</f>
        <v>11.96</v>
      </c>
      <c r="M380" s="3">
        <f>Raw_Data!M380</f>
        <v>8.44</v>
      </c>
      <c r="N380" s="3">
        <f>Raw_Data!N380</f>
        <v>3.52</v>
      </c>
      <c r="O380" t="str">
        <f t="shared" si="15"/>
        <v>2025-05</v>
      </c>
      <c r="P380" s="5">
        <f t="shared" si="16"/>
        <v>0.29431438127090298</v>
      </c>
      <c r="Q380" s="3">
        <f t="shared" si="17"/>
        <v>11.96</v>
      </c>
    </row>
    <row r="381" spans="1:17" x14ac:dyDescent="0.35">
      <c r="A381" t="str">
        <f>Raw_Data!A381</f>
        <v>ORD-0623</v>
      </c>
      <c r="B381" s="2">
        <f>Raw_Data!B381</f>
        <v>45800</v>
      </c>
      <c r="C381" t="str">
        <f>Raw_Data!C381</f>
        <v>South</v>
      </c>
      <c r="D381" t="str">
        <f>Raw_Data!D381</f>
        <v>Hyderabad</v>
      </c>
      <c r="E381" t="str">
        <f>Raw_Data!E381</f>
        <v>Technology</v>
      </c>
      <c r="F381" t="str">
        <f>Raw_Data!F381</f>
        <v>USB Hub</v>
      </c>
      <c r="G381" t="str">
        <f>Raw_Data!G381</f>
        <v>Corporate</v>
      </c>
      <c r="H381" t="str">
        <f>Raw_Data!H381</f>
        <v>Online</v>
      </c>
      <c r="I381">
        <f>Raw_Data!I381</f>
        <v>12</v>
      </c>
      <c r="J381" s="3">
        <f>Raw_Data!J381</f>
        <v>27.73</v>
      </c>
      <c r="K381" s="4">
        <f>Raw_Data!K381</f>
        <v>0</v>
      </c>
      <c r="L381" s="3">
        <f>Raw_Data!L381</f>
        <v>332.76</v>
      </c>
      <c r="M381" s="3">
        <f>Raw_Data!M381</f>
        <v>192.4</v>
      </c>
      <c r="N381" s="3">
        <f>Raw_Data!N381</f>
        <v>140.36000000000001</v>
      </c>
      <c r="O381" t="str">
        <f t="shared" si="15"/>
        <v>2025-05</v>
      </c>
      <c r="P381" s="5">
        <f t="shared" si="16"/>
        <v>0.42180550546940743</v>
      </c>
      <c r="Q381" s="3">
        <f t="shared" si="17"/>
        <v>332.76</v>
      </c>
    </row>
    <row r="382" spans="1:17" x14ac:dyDescent="0.35">
      <c r="A382" t="str">
        <f>Raw_Data!A382</f>
        <v>ORD-0964</v>
      </c>
      <c r="B382" s="2">
        <f>Raw_Data!B382</f>
        <v>45800</v>
      </c>
      <c r="C382" t="str">
        <f>Raw_Data!C382</f>
        <v>East</v>
      </c>
      <c r="D382" t="str">
        <f>Raw_Data!D382</f>
        <v>Bhubaneswar</v>
      </c>
      <c r="E382" t="str">
        <f>Raw_Data!E382</f>
        <v>Office Supplies</v>
      </c>
      <c r="F382" t="str">
        <f>Raw_Data!F382</f>
        <v>Notebook Pack</v>
      </c>
      <c r="G382" t="str">
        <f>Raw_Data!G382</f>
        <v>Small Business</v>
      </c>
      <c r="H382" t="str">
        <f>Raw_Data!H382</f>
        <v>In-Store</v>
      </c>
      <c r="I382">
        <f>Raw_Data!I382</f>
        <v>6</v>
      </c>
      <c r="J382" s="3">
        <f>Raw_Data!J382</f>
        <v>14.38</v>
      </c>
      <c r="K382" s="4">
        <f>Raw_Data!K382</f>
        <v>0</v>
      </c>
      <c r="L382" s="3">
        <f>Raw_Data!L382</f>
        <v>86.28</v>
      </c>
      <c r="M382" s="3">
        <f>Raw_Data!M382</f>
        <v>61.28</v>
      </c>
      <c r="N382" s="3">
        <f>Raw_Data!N382</f>
        <v>25</v>
      </c>
      <c r="O382" t="str">
        <f t="shared" si="15"/>
        <v>2025-05</v>
      </c>
      <c r="P382" s="5">
        <f t="shared" si="16"/>
        <v>0.28975428836346778</v>
      </c>
      <c r="Q382" s="3">
        <f t="shared" si="17"/>
        <v>86.28</v>
      </c>
    </row>
    <row r="383" spans="1:17" x14ac:dyDescent="0.35">
      <c r="A383" t="str">
        <f>Raw_Data!A383</f>
        <v>ORD-0791</v>
      </c>
      <c r="B383" s="2">
        <f>Raw_Data!B383</f>
        <v>45800</v>
      </c>
      <c r="C383" t="str">
        <f>Raw_Data!C383</f>
        <v>South</v>
      </c>
      <c r="D383" t="str">
        <f>Raw_Data!D383</f>
        <v>Bengaluru</v>
      </c>
      <c r="E383" t="str">
        <f>Raw_Data!E383</f>
        <v>Home &amp; Kitchen</v>
      </c>
      <c r="F383" t="str">
        <f>Raw_Data!F383</f>
        <v>Storage Box</v>
      </c>
      <c r="G383" t="str">
        <f>Raw_Data!G383</f>
        <v>Consumer</v>
      </c>
      <c r="H383" t="str">
        <f>Raw_Data!H383</f>
        <v>Marketplace</v>
      </c>
      <c r="I383">
        <f>Raw_Data!I383</f>
        <v>9</v>
      </c>
      <c r="J383" s="3">
        <f>Raw_Data!J383</f>
        <v>12.85</v>
      </c>
      <c r="K383" s="4">
        <f>Raw_Data!K383</f>
        <v>0.15</v>
      </c>
      <c r="L383" s="3">
        <f>Raw_Data!L383</f>
        <v>98.3</v>
      </c>
      <c r="M383" s="3">
        <f>Raw_Data!M383</f>
        <v>78.83</v>
      </c>
      <c r="N383" s="3">
        <f>Raw_Data!N383</f>
        <v>19.47</v>
      </c>
      <c r="O383" t="str">
        <f t="shared" si="15"/>
        <v>2025-05</v>
      </c>
      <c r="P383" s="5">
        <f t="shared" si="16"/>
        <v>0.19806714140386572</v>
      </c>
      <c r="Q383" s="3">
        <f t="shared" si="17"/>
        <v>98.3</v>
      </c>
    </row>
    <row r="384" spans="1:17" x14ac:dyDescent="0.35">
      <c r="A384" t="str">
        <f>Raw_Data!A384</f>
        <v>ORD-0699</v>
      </c>
      <c r="B384" s="2">
        <f>Raw_Data!B384</f>
        <v>45800</v>
      </c>
      <c r="C384" t="str">
        <f>Raw_Data!C384</f>
        <v>North</v>
      </c>
      <c r="D384" t="str">
        <f>Raw_Data!D384</f>
        <v>Delhi</v>
      </c>
      <c r="E384" t="str">
        <f>Raw_Data!E384</f>
        <v>Office Supplies</v>
      </c>
      <c r="F384" t="str">
        <f>Raw_Data!F384</f>
        <v>Desk Organizer</v>
      </c>
      <c r="G384" t="str">
        <f>Raw_Data!G384</f>
        <v>Corporate</v>
      </c>
      <c r="H384" t="str">
        <f>Raw_Data!H384</f>
        <v>Marketplace</v>
      </c>
      <c r="I384">
        <f>Raw_Data!I384</f>
        <v>8</v>
      </c>
      <c r="J384" s="3">
        <f>Raw_Data!J384</f>
        <v>23.11</v>
      </c>
      <c r="K384" s="4">
        <f>Raw_Data!K384</f>
        <v>0.05</v>
      </c>
      <c r="L384" s="3">
        <f>Raw_Data!L384</f>
        <v>175.64</v>
      </c>
      <c r="M384" s="3">
        <f>Raw_Data!M384</f>
        <v>89.91</v>
      </c>
      <c r="N384" s="3">
        <f>Raw_Data!N384</f>
        <v>85.73</v>
      </c>
      <c r="O384" t="str">
        <f t="shared" si="15"/>
        <v>2025-05</v>
      </c>
      <c r="P384" s="5">
        <f t="shared" si="16"/>
        <v>0.48810066044181288</v>
      </c>
      <c r="Q384" s="3">
        <f t="shared" si="17"/>
        <v>175.64</v>
      </c>
    </row>
    <row r="385" spans="1:17" x14ac:dyDescent="0.35">
      <c r="A385" t="str">
        <f>Raw_Data!A385</f>
        <v>ORD-0004</v>
      </c>
      <c r="B385" s="2">
        <f>Raw_Data!B385</f>
        <v>45800</v>
      </c>
      <c r="C385" t="str">
        <f>Raw_Data!C385</f>
        <v>East</v>
      </c>
      <c r="D385" t="str">
        <f>Raw_Data!D385</f>
        <v>Kolkata</v>
      </c>
      <c r="E385" t="str">
        <f>Raw_Data!E385</f>
        <v>Office Supplies</v>
      </c>
      <c r="F385" t="str">
        <f>Raw_Data!F385</f>
        <v>Pen Set</v>
      </c>
      <c r="G385" t="str">
        <f>Raw_Data!G385</f>
        <v>Corporate</v>
      </c>
      <c r="H385" t="str">
        <f>Raw_Data!H385</f>
        <v>In-Store</v>
      </c>
      <c r="I385">
        <f>Raw_Data!I385</f>
        <v>6</v>
      </c>
      <c r="J385" s="3">
        <f>Raw_Data!J385</f>
        <v>7.09</v>
      </c>
      <c r="K385" s="4">
        <f>Raw_Data!K385</f>
        <v>0.1</v>
      </c>
      <c r="L385" s="3">
        <f>Raw_Data!L385</f>
        <v>38.29</v>
      </c>
      <c r="M385" s="3">
        <f>Raw_Data!M385</f>
        <v>21.65</v>
      </c>
      <c r="N385" s="3">
        <f>Raw_Data!N385</f>
        <v>16.64</v>
      </c>
      <c r="O385" t="str">
        <f t="shared" si="15"/>
        <v>2025-05</v>
      </c>
      <c r="P385" s="5">
        <f t="shared" si="16"/>
        <v>0.43457821885609821</v>
      </c>
      <c r="Q385" s="3">
        <f t="shared" si="17"/>
        <v>38.29</v>
      </c>
    </row>
    <row r="386" spans="1:17" x14ac:dyDescent="0.35">
      <c r="A386" t="str">
        <f>Raw_Data!A386</f>
        <v>ORD-0343</v>
      </c>
      <c r="B386" s="2">
        <f>Raw_Data!B386</f>
        <v>45801</v>
      </c>
      <c r="C386" t="str">
        <f>Raw_Data!C386</f>
        <v>East</v>
      </c>
      <c r="D386" t="str">
        <f>Raw_Data!D386</f>
        <v>Bhubaneswar</v>
      </c>
      <c r="E386" t="str">
        <f>Raw_Data!E386</f>
        <v>Home &amp; Kitchen</v>
      </c>
      <c r="F386" t="str">
        <f>Raw_Data!F386</f>
        <v>Water Bottle</v>
      </c>
      <c r="G386" t="str">
        <f>Raw_Data!G386</f>
        <v>Small Business</v>
      </c>
      <c r="H386" t="str">
        <f>Raw_Data!H386</f>
        <v>Marketplace</v>
      </c>
      <c r="I386">
        <f>Raw_Data!I386</f>
        <v>4</v>
      </c>
      <c r="J386" s="3">
        <f>Raw_Data!J386</f>
        <v>14.35</v>
      </c>
      <c r="K386" s="4">
        <f>Raw_Data!K386</f>
        <v>0.1</v>
      </c>
      <c r="L386" s="3">
        <f>Raw_Data!L386</f>
        <v>51.66</v>
      </c>
      <c r="M386" s="3">
        <f>Raw_Data!M386</f>
        <v>40.880000000000003</v>
      </c>
      <c r="N386" s="3">
        <f>Raw_Data!N386</f>
        <v>10.78</v>
      </c>
      <c r="O386" t="str">
        <f t="shared" ref="O386:O449" si="18">TEXT(B386,"yyyy-mm")</f>
        <v>2025-05</v>
      </c>
      <c r="P386" s="5">
        <f t="shared" ref="P386:P449" si="19">IFERROR(N386/L386,0)</f>
        <v>0.20867208672086721</v>
      </c>
      <c r="Q386" s="3">
        <f t="shared" ref="Q386:Q449" si="20">IFERROR(L386,0)</f>
        <v>51.66</v>
      </c>
    </row>
    <row r="387" spans="1:17" x14ac:dyDescent="0.35">
      <c r="A387" t="str">
        <f>Raw_Data!A387</f>
        <v>ORD-0065</v>
      </c>
      <c r="B387" s="2">
        <f>Raw_Data!B387</f>
        <v>45801</v>
      </c>
      <c r="C387" t="str">
        <f>Raw_Data!C387</f>
        <v>West</v>
      </c>
      <c r="D387" t="str">
        <f>Raw_Data!D387</f>
        <v>Mumbai</v>
      </c>
      <c r="E387" t="str">
        <f>Raw_Data!E387</f>
        <v>Furniture</v>
      </c>
      <c r="F387" t="str">
        <f>Raw_Data!F387</f>
        <v>Office Chair</v>
      </c>
      <c r="G387" t="str">
        <f>Raw_Data!G387</f>
        <v>Small Business</v>
      </c>
      <c r="H387" t="str">
        <f>Raw_Data!H387</f>
        <v>Marketplace</v>
      </c>
      <c r="I387">
        <f>Raw_Data!I387</f>
        <v>9</v>
      </c>
      <c r="J387" s="3">
        <f>Raw_Data!J387</f>
        <v>171.36</v>
      </c>
      <c r="K387" s="4">
        <f>Raw_Data!K387</f>
        <v>0</v>
      </c>
      <c r="L387" s="3">
        <f>Raw_Data!L387</f>
        <v>1542.24</v>
      </c>
      <c r="M387" s="3">
        <f>Raw_Data!M387</f>
        <v>851.94</v>
      </c>
      <c r="N387" s="3">
        <f>Raw_Data!N387</f>
        <v>690.3</v>
      </c>
      <c r="O387" t="str">
        <f t="shared" si="18"/>
        <v>2025-05</v>
      </c>
      <c r="P387" s="5">
        <f t="shared" si="19"/>
        <v>0.44759570494864609</v>
      </c>
      <c r="Q387" s="3">
        <f t="shared" si="20"/>
        <v>1542.24</v>
      </c>
    </row>
    <row r="388" spans="1:17" x14ac:dyDescent="0.35">
      <c r="A388" t="str">
        <f>Raw_Data!A388</f>
        <v>ORD-0551</v>
      </c>
      <c r="B388" s="2">
        <f>Raw_Data!B388</f>
        <v>45801</v>
      </c>
      <c r="C388" t="str">
        <f>Raw_Data!C388</f>
        <v>West</v>
      </c>
      <c r="D388" t="str">
        <f>Raw_Data!D388</f>
        <v>Mumbai</v>
      </c>
      <c r="E388" t="str">
        <f>Raw_Data!E388</f>
        <v>Technology</v>
      </c>
      <c r="F388" t="str">
        <f>Raw_Data!F388</f>
        <v>Headphones</v>
      </c>
      <c r="G388" t="str">
        <f>Raw_Data!G388</f>
        <v>Consumer</v>
      </c>
      <c r="H388" t="str">
        <f>Raw_Data!H388</f>
        <v>Marketplace</v>
      </c>
      <c r="I388">
        <f>Raw_Data!I388</f>
        <v>7</v>
      </c>
      <c r="J388" s="3">
        <f>Raw_Data!J388</f>
        <v>58.81</v>
      </c>
      <c r="K388" s="4">
        <f>Raw_Data!K388</f>
        <v>0</v>
      </c>
      <c r="L388" s="3">
        <f>Raw_Data!L388</f>
        <v>411.67</v>
      </c>
      <c r="M388" s="3">
        <f>Raw_Data!M388</f>
        <v>268.12</v>
      </c>
      <c r="N388" s="3">
        <f>Raw_Data!N388</f>
        <v>143.55000000000001</v>
      </c>
      <c r="O388" t="str">
        <f t="shared" si="18"/>
        <v>2025-05</v>
      </c>
      <c r="P388" s="5">
        <f t="shared" si="19"/>
        <v>0.34870162994631626</v>
      </c>
      <c r="Q388" s="3">
        <f t="shared" si="20"/>
        <v>411.67</v>
      </c>
    </row>
    <row r="389" spans="1:17" x14ac:dyDescent="0.35">
      <c r="A389" t="str">
        <f>Raw_Data!A389</f>
        <v>ORD-0950</v>
      </c>
      <c r="B389" s="2">
        <f>Raw_Data!B389</f>
        <v>45801</v>
      </c>
      <c r="C389" t="str">
        <f>Raw_Data!C389</f>
        <v>West</v>
      </c>
      <c r="D389" t="str">
        <f>Raw_Data!D389</f>
        <v>Ahmedabad</v>
      </c>
      <c r="E389" t="str">
        <f>Raw_Data!E389</f>
        <v>Office Supplies</v>
      </c>
      <c r="F389" t="str">
        <f>Raw_Data!F389</f>
        <v>Desk Organizer</v>
      </c>
      <c r="G389" t="str">
        <f>Raw_Data!G389</f>
        <v>Corporate</v>
      </c>
      <c r="H389" t="str">
        <f>Raw_Data!H389</f>
        <v>In-Store</v>
      </c>
      <c r="I389">
        <f>Raw_Data!I389</f>
        <v>1</v>
      </c>
      <c r="J389" s="3">
        <f>Raw_Data!J389</f>
        <v>21.8</v>
      </c>
      <c r="K389" s="4">
        <f>Raw_Data!K389</f>
        <v>0.15</v>
      </c>
      <c r="L389" s="3">
        <f>Raw_Data!L389</f>
        <v>18.53</v>
      </c>
      <c r="M389" s="3">
        <f>Raw_Data!M389</f>
        <v>11.16</v>
      </c>
      <c r="N389" s="3">
        <f>Raw_Data!N389</f>
        <v>7.37</v>
      </c>
      <c r="O389" t="str">
        <f t="shared" si="18"/>
        <v>2025-05</v>
      </c>
      <c r="P389" s="5">
        <f t="shared" si="19"/>
        <v>0.39773340528872098</v>
      </c>
      <c r="Q389" s="3">
        <f t="shared" si="20"/>
        <v>18.53</v>
      </c>
    </row>
    <row r="390" spans="1:17" x14ac:dyDescent="0.35">
      <c r="A390" t="str">
        <f>Raw_Data!A390</f>
        <v>ORD-0030</v>
      </c>
      <c r="B390" s="2">
        <f>Raw_Data!B390</f>
        <v>45803</v>
      </c>
      <c r="C390" t="str">
        <f>Raw_Data!C390</f>
        <v>North</v>
      </c>
      <c r="D390" t="str">
        <f>Raw_Data!D390</f>
        <v>Chandigarh</v>
      </c>
      <c r="E390" t="str">
        <f>Raw_Data!E390</f>
        <v>Office Supplies</v>
      </c>
      <c r="F390" t="str">
        <f>Raw_Data!F390</f>
        <v>Printer Paper</v>
      </c>
      <c r="G390" t="str">
        <f>Raw_Data!G390</f>
        <v>Corporate</v>
      </c>
      <c r="H390" t="str">
        <f>Raw_Data!H390</f>
        <v>Marketplace</v>
      </c>
      <c r="I390">
        <f>Raw_Data!I390</f>
        <v>9</v>
      </c>
      <c r="J390" s="3">
        <f>Raw_Data!J390</f>
        <v>16.440000000000001</v>
      </c>
      <c r="K390" s="4">
        <f>Raw_Data!K390</f>
        <v>0.15</v>
      </c>
      <c r="L390" s="3">
        <f>Raw_Data!L390</f>
        <v>125.77</v>
      </c>
      <c r="M390" s="3">
        <f>Raw_Data!M390</f>
        <v>114.69</v>
      </c>
      <c r="N390" s="3">
        <f>Raw_Data!N390</f>
        <v>11.08</v>
      </c>
      <c r="O390" t="str">
        <f t="shared" si="18"/>
        <v>2025-05</v>
      </c>
      <c r="P390" s="5">
        <f t="shared" si="19"/>
        <v>8.8097320505684987E-2</v>
      </c>
      <c r="Q390" s="3">
        <f t="shared" si="20"/>
        <v>125.77</v>
      </c>
    </row>
    <row r="391" spans="1:17" x14ac:dyDescent="0.35">
      <c r="A391" t="str">
        <f>Raw_Data!A391</f>
        <v>ORD-0592</v>
      </c>
      <c r="B391" s="2">
        <f>Raw_Data!B391</f>
        <v>45803</v>
      </c>
      <c r="C391" t="str">
        <f>Raw_Data!C391</f>
        <v>South</v>
      </c>
      <c r="D391" t="str">
        <f>Raw_Data!D391</f>
        <v>Bengaluru</v>
      </c>
      <c r="E391" t="str">
        <f>Raw_Data!E391</f>
        <v>Furniture</v>
      </c>
      <c r="F391" t="str">
        <f>Raw_Data!F391</f>
        <v>Desk Lamp</v>
      </c>
      <c r="G391" t="str">
        <f>Raw_Data!G391</f>
        <v>Corporate</v>
      </c>
      <c r="H391" t="str">
        <f>Raw_Data!H391</f>
        <v>Marketplace</v>
      </c>
      <c r="I391">
        <f>Raw_Data!I391</f>
        <v>1</v>
      </c>
      <c r="J391" s="3">
        <f>Raw_Data!J391</f>
        <v>32.619999999999997</v>
      </c>
      <c r="K391" s="4">
        <f>Raw_Data!K391</f>
        <v>0</v>
      </c>
      <c r="L391" s="3">
        <f>Raw_Data!L391</f>
        <v>32.619999999999997</v>
      </c>
      <c r="M391" s="3">
        <f>Raw_Data!M391</f>
        <v>16.21</v>
      </c>
      <c r="N391" s="3">
        <f>Raw_Data!N391</f>
        <v>16.41</v>
      </c>
      <c r="O391" t="str">
        <f t="shared" si="18"/>
        <v>2025-05</v>
      </c>
      <c r="P391" s="5">
        <f t="shared" si="19"/>
        <v>0.50306560392397304</v>
      </c>
      <c r="Q391" s="3">
        <f t="shared" si="20"/>
        <v>32.619999999999997</v>
      </c>
    </row>
    <row r="392" spans="1:17" x14ac:dyDescent="0.35">
      <c r="A392" t="str">
        <f>Raw_Data!A392</f>
        <v>ORD-0474</v>
      </c>
      <c r="B392" s="2">
        <f>Raw_Data!B392</f>
        <v>45804</v>
      </c>
      <c r="C392" t="str">
        <f>Raw_Data!C392</f>
        <v>West</v>
      </c>
      <c r="D392" t="str">
        <f>Raw_Data!D392</f>
        <v>Mumbai</v>
      </c>
      <c r="E392" t="str">
        <f>Raw_Data!E392</f>
        <v>Home &amp; Kitchen</v>
      </c>
      <c r="F392" t="str">
        <f>Raw_Data!F392</f>
        <v>Water Bottle</v>
      </c>
      <c r="G392" t="str">
        <f>Raw_Data!G392</f>
        <v>Small Business</v>
      </c>
      <c r="H392" t="str">
        <f>Raw_Data!H392</f>
        <v>Marketplace</v>
      </c>
      <c r="I392">
        <f>Raw_Data!I392</f>
        <v>12</v>
      </c>
      <c r="J392" s="3">
        <f>Raw_Data!J392</f>
        <v>18.760000000000002</v>
      </c>
      <c r="K392" s="4">
        <f>Raw_Data!K392</f>
        <v>0.1</v>
      </c>
      <c r="L392" s="3">
        <f>Raw_Data!L392</f>
        <v>202.61</v>
      </c>
      <c r="M392" s="3">
        <f>Raw_Data!M392</f>
        <v>128.29</v>
      </c>
      <c r="N392" s="3">
        <f>Raw_Data!N392</f>
        <v>74.319999999999993</v>
      </c>
      <c r="O392" t="str">
        <f t="shared" si="18"/>
        <v>2025-05</v>
      </c>
      <c r="P392" s="5">
        <f t="shared" si="19"/>
        <v>0.36681308918612104</v>
      </c>
      <c r="Q392" s="3">
        <f t="shared" si="20"/>
        <v>202.61</v>
      </c>
    </row>
    <row r="393" spans="1:17" x14ac:dyDescent="0.35">
      <c r="A393" t="str">
        <f>Raw_Data!A393</f>
        <v>ORD-0583</v>
      </c>
      <c r="B393" s="2">
        <f>Raw_Data!B393</f>
        <v>45804</v>
      </c>
      <c r="C393" t="str">
        <f>Raw_Data!C393</f>
        <v>East</v>
      </c>
      <c r="D393" t="str">
        <f>Raw_Data!D393</f>
        <v>Kolkata</v>
      </c>
      <c r="E393" t="str">
        <f>Raw_Data!E393</f>
        <v>Home &amp; Kitchen</v>
      </c>
      <c r="F393" t="str">
        <f>Raw_Data!F393</f>
        <v>Water Bottle</v>
      </c>
      <c r="G393" t="str">
        <f>Raw_Data!G393</f>
        <v>Small Business</v>
      </c>
      <c r="H393" t="str">
        <f>Raw_Data!H393</f>
        <v>In-Store</v>
      </c>
      <c r="I393">
        <f>Raw_Data!I393</f>
        <v>3</v>
      </c>
      <c r="J393" s="3">
        <f>Raw_Data!J393</f>
        <v>16.43</v>
      </c>
      <c r="K393" s="4">
        <f>Raw_Data!K393</f>
        <v>0.05</v>
      </c>
      <c r="L393" s="3">
        <f>Raw_Data!L393</f>
        <v>46.83</v>
      </c>
      <c r="M393" s="3">
        <f>Raw_Data!M393</f>
        <v>27.39</v>
      </c>
      <c r="N393" s="3">
        <f>Raw_Data!N393</f>
        <v>19.440000000000001</v>
      </c>
      <c r="O393" t="str">
        <f t="shared" si="18"/>
        <v>2025-05</v>
      </c>
      <c r="P393" s="5">
        <f t="shared" si="19"/>
        <v>0.41511851377322234</v>
      </c>
      <c r="Q393" s="3">
        <f t="shared" si="20"/>
        <v>46.83</v>
      </c>
    </row>
    <row r="394" spans="1:17" x14ac:dyDescent="0.35">
      <c r="A394" t="str">
        <f>Raw_Data!A394</f>
        <v>ORD-0050</v>
      </c>
      <c r="B394" s="2">
        <f>Raw_Data!B394</f>
        <v>45804</v>
      </c>
      <c r="C394" t="str">
        <f>Raw_Data!C394</f>
        <v>South</v>
      </c>
      <c r="D394" t="str">
        <f>Raw_Data!D394</f>
        <v>Hyderabad</v>
      </c>
      <c r="E394" t="str">
        <f>Raw_Data!E394</f>
        <v>Office Supplies</v>
      </c>
      <c r="F394" t="str">
        <f>Raw_Data!F394</f>
        <v>Desk Organizer</v>
      </c>
      <c r="G394" t="str">
        <f>Raw_Data!G394</f>
        <v>Consumer</v>
      </c>
      <c r="H394" t="str">
        <f>Raw_Data!H394</f>
        <v>In-Store</v>
      </c>
      <c r="I394">
        <f>Raw_Data!I394</f>
        <v>6</v>
      </c>
      <c r="J394" s="3">
        <f>Raw_Data!J394</f>
        <v>20.2</v>
      </c>
      <c r="K394" s="4">
        <f>Raw_Data!K394</f>
        <v>0.15</v>
      </c>
      <c r="L394" s="3">
        <f>Raw_Data!L394</f>
        <v>103.02</v>
      </c>
      <c r="M394" s="3">
        <f>Raw_Data!M394</f>
        <v>61.11</v>
      </c>
      <c r="N394" s="3">
        <f>Raw_Data!N394</f>
        <v>41.91</v>
      </c>
      <c r="O394" t="str">
        <f t="shared" si="18"/>
        <v>2025-05</v>
      </c>
      <c r="P394" s="5">
        <f t="shared" si="19"/>
        <v>0.40681421083284797</v>
      </c>
      <c r="Q394" s="3">
        <f t="shared" si="20"/>
        <v>103.02</v>
      </c>
    </row>
    <row r="395" spans="1:17" x14ac:dyDescent="0.35">
      <c r="A395" t="str">
        <f>Raw_Data!A395</f>
        <v>ORD-0264</v>
      </c>
      <c r="B395" s="2">
        <f>Raw_Data!B395</f>
        <v>45805</v>
      </c>
      <c r="C395" t="str">
        <f>Raw_Data!C395</f>
        <v>East</v>
      </c>
      <c r="D395" t="str">
        <f>Raw_Data!D395</f>
        <v>Kolkata</v>
      </c>
      <c r="E395" t="str">
        <f>Raw_Data!E395</f>
        <v>Office Supplies</v>
      </c>
      <c r="F395" t="str">
        <f>Raw_Data!F395</f>
        <v>Pen Set</v>
      </c>
      <c r="G395" t="str">
        <f>Raw_Data!G395</f>
        <v>Consumer</v>
      </c>
      <c r="H395" t="str">
        <f>Raw_Data!H395</f>
        <v>In-Store</v>
      </c>
      <c r="I395">
        <f>Raw_Data!I395</f>
        <v>6</v>
      </c>
      <c r="J395" s="3">
        <f>Raw_Data!J395</f>
        <v>9.16</v>
      </c>
      <c r="K395" s="4">
        <f>Raw_Data!K395</f>
        <v>0.15</v>
      </c>
      <c r="L395" s="3">
        <f>Raw_Data!L395</f>
        <v>46.72</v>
      </c>
      <c r="M395" s="3">
        <f>Raw_Data!M395</f>
        <v>27.26</v>
      </c>
      <c r="N395" s="3">
        <f>Raw_Data!N395</f>
        <v>19.46</v>
      </c>
      <c r="O395" t="str">
        <f t="shared" si="18"/>
        <v>2025-05</v>
      </c>
      <c r="P395" s="5">
        <f t="shared" si="19"/>
        <v>0.41652397260273977</v>
      </c>
      <c r="Q395" s="3">
        <f t="shared" si="20"/>
        <v>46.72</v>
      </c>
    </row>
    <row r="396" spans="1:17" x14ac:dyDescent="0.35">
      <c r="A396" t="str">
        <f>Raw_Data!A396</f>
        <v>ORD-0514</v>
      </c>
      <c r="B396" s="2">
        <f>Raw_Data!B396</f>
        <v>45805</v>
      </c>
      <c r="C396" t="str">
        <f>Raw_Data!C396</f>
        <v>North</v>
      </c>
      <c r="D396" t="str">
        <f>Raw_Data!D396</f>
        <v>Jaipur</v>
      </c>
      <c r="E396" t="str">
        <f>Raw_Data!E396</f>
        <v>Technology</v>
      </c>
      <c r="F396" t="str">
        <f>Raw_Data!F396</f>
        <v>Headphones</v>
      </c>
      <c r="G396" t="str">
        <f>Raw_Data!G396</f>
        <v>Small Business</v>
      </c>
      <c r="H396" t="str">
        <f>Raw_Data!H396</f>
        <v>Online</v>
      </c>
      <c r="I396">
        <f>Raw_Data!I396</f>
        <v>12</v>
      </c>
      <c r="J396" s="3">
        <f>Raw_Data!J396</f>
        <v>62.23</v>
      </c>
      <c r="K396" s="4">
        <f>Raw_Data!K396</f>
        <v>0.05</v>
      </c>
      <c r="L396" s="3">
        <f>Raw_Data!L396</f>
        <v>709.42</v>
      </c>
      <c r="M396" s="3">
        <f>Raw_Data!M396</f>
        <v>459.27</v>
      </c>
      <c r="N396" s="3">
        <f>Raw_Data!N396</f>
        <v>250.15</v>
      </c>
      <c r="O396" t="str">
        <f t="shared" si="18"/>
        <v>2025-05</v>
      </c>
      <c r="P396" s="5">
        <f t="shared" si="19"/>
        <v>0.35261199289560491</v>
      </c>
      <c r="Q396" s="3">
        <f t="shared" si="20"/>
        <v>709.42</v>
      </c>
    </row>
    <row r="397" spans="1:17" x14ac:dyDescent="0.35">
      <c r="A397" t="str">
        <f>Raw_Data!A397</f>
        <v>ORD-0082</v>
      </c>
      <c r="B397" s="2">
        <f>Raw_Data!B397</f>
        <v>45805</v>
      </c>
      <c r="C397" t="str">
        <f>Raw_Data!C397</f>
        <v>West</v>
      </c>
      <c r="D397" t="str">
        <f>Raw_Data!D397</f>
        <v>Ahmedabad</v>
      </c>
      <c r="E397" t="str">
        <f>Raw_Data!E397</f>
        <v>Home &amp; Kitchen</v>
      </c>
      <c r="F397" t="str">
        <f>Raw_Data!F397</f>
        <v>Water Bottle</v>
      </c>
      <c r="G397" t="str">
        <f>Raw_Data!G397</f>
        <v>Corporate</v>
      </c>
      <c r="H397" t="str">
        <f>Raw_Data!H397</f>
        <v>Online</v>
      </c>
      <c r="I397">
        <f>Raw_Data!I397</f>
        <v>8</v>
      </c>
      <c r="J397" s="3">
        <f>Raw_Data!J397</f>
        <v>14.09</v>
      </c>
      <c r="K397" s="4">
        <f>Raw_Data!K397</f>
        <v>0.05</v>
      </c>
      <c r="L397" s="3">
        <f>Raw_Data!L397</f>
        <v>107.08</v>
      </c>
      <c r="M397" s="3">
        <f>Raw_Data!M397</f>
        <v>65.040000000000006</v>
      </c>
      <c r="N397" s="3">
        <f>Raw_Data!N397</f>
        <v>42.04</v>
      </c>
      <c r="O397" t="str">
        <f t="shared" si="18"/>
        <v>2025-05</v>
      </c>
      <c r="P397" s="5">
        <f t="shared" si="19"/>
        <v>0.39260366081434439</v>
      </c>
      <c r="Q397" s="3">
        <f t="shared" si="20"/>
        <v>107.08</v>
      </c>
    </row>
    <row r="398" spans="1:17" x14ac:dyDescent="0.35">
      <c r="A398" t="str">
        <f>Raw_Data!A398</f>
        <v>ORD-0416</v>
      </c>
      <c r="B398" s="2">
        <f>Raw_Data!B398</f>
        <v>45806</v>
      </c>
      <c r="C398" t="str">
        <f>Raw_Data!C398</f>
        <v>East</v>
      </c>
      <c r="D398" t="str">
        <f>Raw_Data!D398</f>
        <v>Guwahati</v>
      </c>
      <c r="E398" t="str">
        <f>Raw_Data!E398</f>
        <v>Technology</v>
      </c>
      <c r="F398" t="str">
        <f>Raw_Data!F398</f>
        <v>Headphones</v>
      </c>
      <c r="G398" t="str">
        <f>Raw_Data!G398</f>
        <v>Small Business</v>
      </c>
      <c r="H398" t="str">
        <f>Raw_Data!H398</f>
        <v>Online</v>
      </c>
      <c r="I398">
        <f>Raw_Data!I398</f>
        <v>2</v>
      </c>
      <c r="J398" s="3">
        <f>Raw_Data!J398</f>
        <v>50.55</v>
      </c>
      <c r="K398" s="4">
        <f>Raw_Data!K398</f>
        <v>0.15</v>
      </c>
      <c r="L398" s="3">
        <f>Raw_Data!L398</f>
        <v>85.93</v>
      </c>
      <c r="M398" s="3">
        <f>Raw_Data!M398</f>
        <v>63.3</v>
      </c>
      <c r="N398" s="3">
        <f>Raw_Data!N398</f>
        <v>22.63</v>
      </c>
      <c r="O398" t="str">
        <f t="shared" si="18"/>
        <v>2025-05</v>
      </c>
      <c r="P398" s="5">
        <f t="shared" si="19"/>
        <v>0.26335389270336318</v>
      </c>
      <c r="Q398" s="3">
        <f t="shared" si="20"/>
        <v>85.93</v>
      </c>
    </row>
    <row r="399" spans="1:17" x14ac:dyDescent="0.35">
      <c r="A399" t="str">
        <f>Raw_Data!A399</f>
        <v>ORD-0199</v>
      </c>
      <c r="B399" s="2">
        <f>Raw_Data!B399</f>
        <v>45806</v>
      </c>
      <c r="C399" t="str">
        <f>Raw_Data!C399</f>
        <v>East</v>
      </c>
      <c r="D399" t="str">
        <f>Raw_Data!D399</f>
        <v>Guwahati</v>
      </c>
      <c r="E399" t="str">
        <f>Raw_Data!E399</f>
        <v>Technology</v>
      </c>
      <c r="F399" t="str">
        <f>Raw_Data!F399</f>
        <v>Wireless Mouse</v>
      </c>
      <c r="G399" t="str">
        <f>Raw_Data!G399</f>
        <v>Small Business</v>
      </c>
      <c r="H399" t="str">
        <f>Raw_Data!H399</f>
        <v>In-Store</v>
      </c>
      <c r="I399">
        <f>Raw_Data!I399</f>
        <v>5</v>
      </c>
      <c r="J399" s="3">
        <f>Raw_Data!J399</f>
        <v>18.88</v>
      </c>
      <c r="K399" s="4">
        <f>Raw_Data!K399</f>
        <v>0</v>
      </c>
      <c r="L399" s="3">
        <f>Raw_Data!L399</f>
        <v>94.4</v>
      </c>
      <c r="M399" s="3">
        <f>Raw_Data!M399</f>
        <v>71.61</v>
      </c>
      <c r="N399" s="3">
        <f>Raw_Data!N399</f>
        <v>22.79</v>
      </c>
      <c r="O399" t="str">
        <f t="shared" si="18"/>
        <v>2025-05</v>
      </c>
      <c r="P399" s="5">
        <f t="shared" si="19"/>
        <v>0.24141949152542372</v>
      </c>
      <c r="Q399" s="3">
        <f t="shared" si="20"/>
        <v>94.4</v>
      </c>
    </row>
    <row r="400" spans="1:17" x14ac:dyDescent="0.35">
      <c r="A400" t="str">
        <f>Raw_Data!A400</f>
        <v>ORD-0130</v>
      </c>
      <c r="B400" s="2">
        <f>Raw_Data!B400</f>
        <v>45806</v>
      </c>
      <c r="C400" t="str">
        <f>Raw_Data!C400</f>
        <v>West</v>
      </c>
      <c r="D400" t="str">
        <f>Raw_Data!D400</f>
        <v>Mumbai</v>
      </c>
      <c r="E400" t="str">
        <f>Raw_Data!E400</f>
        <v>Technology</v>
      </c>
      <c r="F400" t="str">
        <f>Raw_Data!F400</f>
        <v>USB Hub</v>
      </c>
      <c r="G400" t="str">
        <f>Raw_Data!G400</f>
        <v>Corporate</v>
      </c>
      <c r="H400" t="str">
        <f>Raw_Data!H400</f>
        <v>In-Store</v>
      </c>
      <c r="I400">
        <f>Raw_Data!I400</f>
        <v>1</v>
      </c>
      <c r="J400" s="3">
        <f>Raw_Data!J400</f>
        <v>28.52</v>
      </c>
      <c r="K400" s="4">
        <f>Raw_Data!K400</f>
        <v>0</v>
      </c>
      <c r="L400" s="3">
        <f>Raw_Data!L400</f>
        <v>28.52</v>
      </c>
      <c r="M400" s="3">
        <f>Raw_Data!M400</f>
        <v>20.55</v>
      </c>
      <c r="N400" s="3">
        <f>Raw_Data!N400</f>
        <v>7.97</v>
      </c>
      <c r="O400" t="str">
        <f t="shared" si="18"/>
        <v>2025-05</v>
      </c>
      <c r="P400" s="5">
        <f t="shared" si="19"/>
        <v>0.27945301542776996</v>
      </c>
      <c r="Q400" s="3">
        <f t="shared" si="20"/>
        <v>28.52</v>
      </c>
    </row>
    <row r="401" spans="1:17" x14ac:dyDescent="0.35">
      <c r="A401" t="str">
        <f>Raw_Data!A401</f>
        <v>ORD-0179</v>
      </c>
      <c r="B401" s="2">
        <f>Raw_Data!B401</f>
        <v>45806</v>
      </c>
      <c r="C401" t="str">
        <f>Raw_Data!C401</f>
        <v>East</v>
      </c>
      <c r="D401" t="str">
        <f>Raw_Data!D401</f>
        <v>Bhubaneswar</v>
      </c>
      <c r="E401" t="str">
        <f>Raw_Data!E401</f>
        <v>Home &amp; Kitchen</v>
      </c>
      <c r="F401" t="str">
        <f>Raw_Data!F401</f>
        <v>Lunch Box</v>
      </c>
      <c r="G401" t="str">
        <f>Raw_Data!G401</f>
        <v>Consumer</v>
      </c>
      <c r="H401" t="str">
        <f>Raw_Data!H401</f>
        <v>Online</v>
      </c>
      <c r="I401">
        <f>Raw_Data!I401</f>
        <v>4</v>
      </c>
      <c r="J401" s="3">
        <f>Raw_Data!J401</f>
        <v>23.74</v>
      </c>
      <c r="K401" s="4">
        <f>Raw_Data!K401</f>
        <v>0</v>
      </c>
      <c r="L401" s="3">
        <f>Raw_Data!L401</f>
        <v>94.96</v>
      </c>
      <c r="M401" s="3">
        <f>Raw_Data!M401</f>
        <v>68.760000000000005</v>
      </c>
      <c r="N401" s="3">
        <f>Raw_Data!N401</f>
        <v>26.2</v>
      </c>
      <c r="O401" t="str">
        <f t="shared" si="18"/>
        <v>2025-05</v>
      </c>
      <c r="P401" s="5">
        <f t="shared" si="19"/>
        <v>0.27590564448188715</v>
      </c>
      <c r="Q401" s="3">
        <f t="shared" si="20"/>
        <v>94.96</v>
      </c>
    </row>
    <row r="402" spans="1:17" x14ac:dyDescent="0.35">
      <c r="A402" t="str">
        <f>Raw_Data!A402</f>
        <v>ORD-0176</v>
      </c>
      <c r="B402" s="2">
        <f>Raw_Data!B402</f>
        <v>45806</v>
      </c>
      <c r="C402" t="str">
        <f>Raw_Data!C402</f>
        <v>North</v>
      </c>
      <c r="D402" t="str">
        <f>Raw_Data!D402</f>
        <v>Delhi</v>
      </c>
      <c r="E402" t="str">
        <f>Raw_Data!E402</f>
        <v>Furniture</v>
      </c>
      <c r="F402" t="str">
        <f>Raw_Data!F402</f>
        <v>Standing Desk</v>
      </c>
      <c r="G402" t="str">
        <f>Raw_Data!G402</f>
        <v>Corporate</v>
      </c>
      <c r="H402" t="str">
        <f>Raw_Data!H402</f>
        <v>Online</v>
      </c>
      <c r="I402">
        <f>Raw_Data!I402</f>
        <v>4</v>
      </c>
      <c r="J402" s="3">
        <f>Raw_Data!J402</f>
        <v>294.23</v>
      </c>
      <c r="K402" s="4">
        <f>Raw_Data!K402</f>
        <v>0.1</v>
      </c>
      <c r="L402" s="3">
        <f>Raw_Data!L402</f>
        <v>1059.23</v>
      </c>
      <c r="M402" s="3">
        <f>Raw_Data!M402</f>
        <v>669.94</v>
      </c>
      <c r="N402" s="3">
        <f>Raw_Data!N402</f>
        <v>389.29</v>
      </c>
      <c r="O402" t="str">
        <f t="shared" si="18"/>
        <v>2025-05</v>
      </c>
      <c r="P402" s="5">
        <f t="shared" si="19"/>
        <v>0.36752169028445192</v>
      </c>
      <c r="Q402" s="3">
        <f t="shared" si="20"/>
        <v>1059.23</v>
      </c>
    </row>
    <row r="403" spans="1:17" x14ac:dyDescent="0.35">
      <c r="A403" t="str">
        <f>Raw_Data!A403</f>
        <v>ORD-0271</v>
      </c>
      <c r="B403" s="2">
        <f>Raw_Data!B403</f>
        <v>45806</v>
      </c>
      <c r="C403" t="str">
        <f>Raw_Data!C403</f>
        <v>East</v>
      </c>
      <c r="D403" t="str">
        <f>Raw_Data!D403</f>
        <v>Guwahati</v>
      </c>
      <c r="E403" t="str">
        <f>Raw_Data!E403</f>
        <v>Furniture</v>
      </c>
      <c r="F403" t="str">
        <f>Raw_Data!F403</f>
        <v>Office Chair</v>
      </c>
      <c r="G403" t="str">
        <f>Raw_Data!G403</f>
        <v>Corporate</v>
      </c>
      <c r="H403" t="str">
        <f>Raw_Data!H403</f>
        <v>Online</v>
      </c>
      <c r="I403">
        <f>Raw_Data!I403</f>
        <v>3</v>
      </c>
      <c r="J403" s="3">
        <f>Raw_Data!J403</f>
        <v>172.11</v>
      </c>
      <c r="K403" s="4">
        <f>Raw_Data!K403</f>
        <v>0.1</v>
      </c>
      <c r="L403" s="3">
        <f>Raw_Data!L403</f>
        <v>464.7</v>
      </c>
      <c r="M403" s="3">
        <f>Raw_Data!M403</f>
        <v>390.15</v>
      </c>
      <c r="N403" s="3">
        <f>Raw_Data!N403</f>
        <v>74.55</v>
      </c>
      <c r="O403" t="str">
        <f t="shared" si="18"/>
        <v>2025-05</v>
      </c>
      <c r="P403" s="5">
        <f t="shared" si="19"/>
        <v>0.16042608134280181</v>
      </c>
      <c r="Q403" s="3">
        <f t="shared" si="20"/>
        <v>464.7</v>
      </c>
    </row>
    <row r="404" spans="1:17" x14ac:dyDescent="0.35">
      <c r="A404" t="str">
        <f>Raw_Data!A404</f>
        <v>ORD-0651</v>
      </c>
      <c r="B404" s="2">
        <f>Raw_Data!B404</f>
        <v>45806</v>
      </c>
      <c r="C404" t="str">
        <f>Raw_Data!C404</f>
        <v>West</v>
      </c>
      <c r="D404" t="str">
        <f>Raw_Data!D404</f>
        <v>Mumbai</v>
      </c>
      <c r="E404" t="str">
        <f>Raw_Data!E404</f>
        <v>Home &amp; Kitchen</v>
      </c>
      <c r="F404" t="str">
        <f>Raw_Data!F404</f>
        <v>Water Bottle</v>
      </c>
      <c r="G404" t="str">
        <f>Raw_Data!G404</f>
        <v>Consumer</v>
      </c>
      <c r="H404" t="str">
        <f>Raw_Data!H404</f>
        <v>Online</v>
      </c>
      <c r="I404">
        <f>Raw_Data!I404</f>
        <v>5</v>
      </c>
      <c r="J404" s="3">
        <f>Raw_Data!J404</f>
        <v>18.27</v>
      </c>
      <c r="K404" s="4">
        <f>Raw_Data!K404</f>
        <v>0.05</v>
      </c>
      <c r="L404" s="3">
        <f>Raw_Data!L404</f>
        <v>86.78</v>
      </c>
      <c r="M404" s="3">
        <f>Raw_Data!M404</f>
        <v>57.39</v>
      </c>
      <c r="N404" s="3">
        <f>Raw_Data!N404</f>
        <v>29.39</v>
      </c>
      <c r="O404" t="str">
        <f t="shared" si="18"/>
        <v>2025-05</v>
      </c>
      <c r="P404" s="5">
        <f t="shared" si="19"/>
        <v>0.33867250518552661</v>
      </c>
      <c r="Q404" s="3">
        <f t="shared" si="20"/>
        <v>86.78</v>
      </c>
    </row>
    <row r="405" spans="1:17" x14ac:dyDescent="0.35">
      <c r="A405" t="str">
        <f>Raw_Data!A405</f>
        <v>ORD-0393</v>
      </c>
      <c r="B405" s="2">
        <f>Raw_Data!B405</f>
        <v>45806</v>
      </c>
      <c r="C405" t="str">
        <f>Raw_Data!C405</f>
        <v>East</v>
      </c>
      <c r="D405" t="str">
        <f>Raw_Data!D405</f>
        <v>Bhubaneswar</v>
      </c>
      <c r="E405" t="str">
        <f>Raw_Data!E405</f>
        <v>Furniture</v>
      </c>
      <c r="F405" t="str">
        <f>Raw_Data!F405</f>
        <v>Desk Lamp</v>
      </c>
      <c r="G405" t="str">
        <f>Raw_Data!G405</f>
        <v>Corporate</v>
      </c>
      <c r="H405" t="str">
        <f>Raw_Data!H405</f>
        <v>Online</v>
      </c>
      <c r="I405">
        <f>Raw_Data!I405</f>
        <v>12</v>
      </c>
      <c r="J405" s="3">
        <f>Raw_Data!J405</f>
        <v>40.950000000000003</v>
      </c>
      <c r="K405" s="4">
        <f>Raw_Data!K405</f>
        <v>0</v>
      </c>
      <c r="L405" s="3">
        <f>Raw_Data!L405</f>
        <v>491.4</v>
      </c>
      <c r="M405" s="3">
        <f>Raw_Data!M405</f>
        <v>310.16000000000003</v>
      </c>
      <c r="N405" s="3">
        <f>Raw_Data!N405</f>
        <v>181.24</v>
      </c>
      <c r="O405" t="str">
        <f t="shared" si="18"/>
        <v>2025-05</v>
      </c>
      <c r="P405" s="5">
        <f t="shared" si="19"/>
        <v>0.36882376882376888</v>
      </c>
      <c r="Q405" s="3">
        <f t="shared" si="20"/>
        <v>491.4</v>
      </c>
    </row>
    <row r="406" spans="1:17" x14ac:dyDescent="0.35">
      <c r="A406" t="str">
        <f>Raw_Data!A406</f>
        <v>ORD-0086</v>
      </c>
      <c r="B406" s="2">
        <f>Raw_Data!B406</f>
        <v>45807</v>
      </c>
      <c r="C406" t="str">
        <f>Raw_Data!C406</f>
        <v>South</v>
      </c>
      <c r="D406" t="str">
        <f>Raw_Data!D406</f>
        <v>Hyderabad</v>
      </c>
      <c r="E406" t="str">
        <f>Raw_Data!E406</f>
        <v>Furniture</v>
      </c>
      <c r="F406" t="str">
        <f>Raw_Data!F406</f>
        <v>Standing Desk</v>
      </c>
      <c r="G406" t="str">
        <f>Raw_Data!G406</f>
        <v>Small Business</v>
      </c>
      <c r="H406" t="str">
        <f>Raw_Data!H406</f>
        <v>Online</v>
      </c>
      <c r="I406">
        <f>Raw_Data!I406</f>
        <v>8</v>
      </c>
      <c r="J406" s="3">
        <f>Raw_Data!J406</f>
        <v>310.2</v>
      </c>
      <c r="K406" s="4">
        <f>Raw_Data!K406</f>
        <v>0</v>
      </c>
      <c r="L406" s="3">
        <f>Raw_Data!L406</f>
        <v>2481.6</v>
      </c>
      <c r="M406" s="3">
        <f>Raw_Data!M406</f>
        <v>1531.24</v>
      </c>
      <c r="N406" s="3">
        <f>Raw_Data!N406</f>
        <v>950.36</v>
      </c>
      <c r="O406" t="str">
        <f t="shared" si="18"/>
        <v>2025-05</v>
      </c>
      <c r="P406" s="5">
        <f t="shared" si="19"/>
        <v>0.38296260477111543</v>
      </c>
      <c r="Q406" s="3">
        <f t="shared" si="20"/>
        <v>2481.6</v>
      </c>
    </row>
    <row r="407" spans="1:17" x14ac:dyDescent="0.35">
      <c r="A407" t="str">
        <f>Raw_Data!A407</f>
        <v>ORD-0532</v>
      </c>
      <c r="B407" s="2">
        <f>Raw_Data!B407</f>
        <v>45808</v>
      </c>
      <c r="C407" t="str">
        <f>Raw_Data!C407</f>
        <v>North</v>
      </c>
      <c r="D407" t="str">
        <f>Raw_Data!D407</f>
        <v>Jaipur</v>
      </c>
      <c r="E407" t="str">
        <f>Raw_Data!E407</f>
        <v>Technology</v>
      </c>
      <c r="F407" t="str">
        <f>Raw_Data!F407</f>
        <v>Keyboard</v>
      </c>
      <c r="G407" t="str">
        <f>Raw_Data!G407</f>
        <v>Consumer</v>
      </c>
      <c r="H407" t="str">
        <f>Raw_Data!H407</f>
        <v>Marketplace</v>
      </c>
      <c r="I407">
        <f>Raw_Data!I407</f>
        <v>8</v>
      </c>
      <c r="J407" s="3">
        <f>Raw_Data!J407</f>
        <v>36.49</v>
      </c>
      <c r="K407" s="4">
        <f>Raw_Data!K407</f>
        <v>0.1</v>
      </c>
      <c r="L407" s="3">
        <f>Raw_Data!L407</f>
        <v>262.73</v>
      </c>
      <c r="M407" s="3">
        <f>Raw_Data!M407</f>
        <v>148.04</v>
      </c>
      <c r="N407" s="3">
        <f>Raw_Data!N407</f>
        <v>114.69</v>
      </c>
      <c r="O407" t="str">
        <f t="shared" si="18"/>
        <v>2025-05</v>
      </c>
      <c r="P407" s="5">
        <f t="shared" si="19"/>
        <v>0.43653180070795111</v>
      </c>
      <c r="Q407" s="3">
        <f t="shared" si="20"/>
        <v>262.73</v>
      </c>
    </row>
    <row r="408" spans="1:17" x14ac:dyDescent="0.35">
      <c r="A408" t="str">
        <f>Raw_Data!A408</f>
        <v>ORD-0923</v>
      </c>
      <c r="B408" s="2">
        <f>Raw_Data!B408</f>
        <v>45808</v>
      </c>
      <c r="C408" t="str">
        <f>Raw_Data!C408</f>
        <v>East</v>
      </c>
      <c r="D408" t="str">
        <f>Raw_Data!D408</f>
        <v>Kolkata</v>
      </c>
      <c r="E408" t="str">
        <f>Raw_Data!E408</f>
        <v>Furniture</v>
      </c>
      <c r="F408" t="str">
        <f>Raw_Data!F408</f>
        <v>Desk Lamp</v>
      </c>
      <c r="G408" t="str">
        <f>Raw_Data!G408</f>
        <v>Corporate</v>
      </c>
      <c r="H408" t="str">
        <f>Raw_Data!H408</f>
        <v>Marketplace</v>
      </c>
      <c r="I408">
        <f>Raw_Data!I408</f>
        <v>1</v>
      </c>
      <c r="J408" s="3">
        <f>Raw_Data!J408</f>
        <v>42.12</v>
      </c>
      <c r="K408" s="4">
        <f>Raw_Data!K408</f>
        <v>0.15</v>
      </c>
      <c r="L408" s="3">
        <f>Raw_Data!L408</f>
        <v>35.799999999999997</v>
      </c>
      <c r="M408" s="3">
        <f>Raw_Data!M408</f>
        <v>25.19</v>
      </c>
      <c r="N408" s="3">
        <f>Raw_Data!N408</f>
        <v>10.61</v>
      </c>
      <c r="O408" t="str">
        <f t="shared" si="18"/>
        <v>2025-05</v>
      </c>
      <c r="P408" s="5">
        <f t="shared" si="19"/>
        <v>0.29636871508379892</v>
      </c>
      <c r="Q408" s="3">
        <f t="shared" si="20"/>
        <v>35.799999999999997</v>
      </c>
    </row>
    <row r="409" spans="1:17" x14ac:dyDescent="0.35">
      <c r="A409" t="str">
        <f>Raw_Data!A409</f>
        <v>ORD-0358</v>
      </c>
      <c r="B409" s="2">
        <f>Raw_Data!B409</f>
        <v>45808</v>
      </c>
      <c r="C409" t="str">
        <f>Raw_Data!C409</f>
        <v>North</v>
      </c>
      <c r="D409" t="str">
        <f>Raw_Data!D409</f>
        <v>Jaipur</v>
      </c>
      <c r="E409" t="str">
        <f>Raw_Data!E409</f>
        <v>Home &amp; Kitchen</v>
      </c>
      <c r="F409" t="str">
        <f>Raw_Data!F409</f>
        <v>Water Bottle</v>
      </c>
      <c r="G409" t="str">
        <f>Raw_Data!G409</f>
        <v>Small Business</v>
      </c>
      <c r="H409" t="str">
        <f>Raw_Data!H409</f>
        <v>Online</v>
      </c>
      <c r="I409">
        <f>Raw_Data!I409</f>
        <v>8</v>
      </c>
      <c r="J409" s="3">
        <f>Raw_Data!J409</f>
        <v>13.9</v>
      </c>
      <c r="K409" s="4">
        <f>Raw_Data!K409</f>
        <v>0.15</v>
      </c>
      <c r="L409" s="3">
        <f>Raw_Data!L409</f>
        <v>94.52</v>
      </c>
      <c r="M409" s="3">
        <f>Raw_Data!M409</f>
        <v>72.739999999999995</v>
      </c>
      <c r="N409" s="3">
        <f>Raw_Data!N409</f>
        <v>21.78</v>
      </c>
      <c r="O409" t="str">
        <f t="shared" si="18"/>
        <v>2025-05</v>
      </c>
      <c r="P409" s="5">
        <f t="shared" si="19"/>
        <v>0.23042742276766823</v>
      </c>
      <c r="Q409" s="3">
        <f t="shared" si="20"/>
        <v>94.52</v>
      </c>
    </row>
    <row r="410" spans="1:17" x14ac:dyDescent="0.35">
      <c r="A410" t="str">
        <f>Raw_Data!A410</f>
        <v>ORD-0626</v>
      </c>
      <c r="B410" s="2">
        <f>Raw_Data!B410</f>
        <v>45809</v>
      </c>
      <c r="C410" t="str">
        <f>Raw_Data!C410</f>
        <v>West</v>
      </c>
      <c r="D410" t="str">
        <f>Raw_Data!D410</f>
        <v>Ahmedabad</v>
      </c>
      <c r="E410" t="str">
        <f>Raw_Data!E410</f>
        <v>Office Supplies</v>
      </c>
      <c r="F410" t="str">
        <f>Raw_Data!F410</f>
        <v>Notebook Pack</v>
      </c>
      <c r="G410" t="str">
        <f>Raw_Data!G410</f>
        <v>Corporate</v>
      </c>
      <c r="H410" t="str">
        <f>Raw_Data!H410</f>
        <v>Marketplace</v>
      </c>
      <c r="I410">
        <f>Raw_Data!I410</f>
        <v>1</v>
      </c>
      <c r="J410" s="3">
        <f>Raw_Data!J410</f>
        <v>12.22</v>
      </c>
      <c r="K410" s="4">
        <f>Raw_Data!K410</f>
        <v>0.05</v>
      </c>
      <c r="L410" s="3">
        <f>Raw_Data!L410</f>
        <v>11.61</v>
      </c>
      <c r="M410" s="3">
        <f>Raw_Data!M410</f>
        <v>6.46</v>
      </c>
      <c r="N410" s="3">
        <f>Raw_Data!N410</f>
        <v>5.15</v>
      </c>
      <c r="O410" t="str">
        <f t="shared" si="18"/>
        <v>2025-06</v>
      </c>
      <c r="P410" s="5">
        <f t="shared" si="19"/>
        <v>0.44358311800172273</v>
      </c>
      <c r="Q410" s="3">
        <f t="shared" si="20"/>
        <v>11.61</v>
      </c>
    </row>
    <row r="411" spans="1:17" x14ac:dyDescent="0.35">
      <c r="A411" t="str">
        <f>Raw_Data!A411</f>
        <v>ORD-0901</v>
      </c>
      <c r="B411" s="2">
        <f>Raw_Data!B411</f>
        <v>45810</v>
      </c>
      <c r="C411" t="str">
        <f>Raw_Data!C411</f>
        <v>North</v>
      </c>
      <c r="D411" t="str">
        <f>Raw_Data!D411</f>
        <v>Jaipur</v>
      </c>
      <c r="E411" t="str">
        <f>Raw_Data!E411</f>
        <v>Office Supplies</v>
      </c>
      <c r="F411" t="str">
        <f>Raw_Data!F411</f>
        <v>Notebook Pack</v>
      </c>
      <c r="G411" t="str">
        <f>Raw_Data!G411</f>
        <v>Small Business</v>
      </c>
      <c r="H411" t="str">
        <f>Raw_Data!H411</f>
        <v>Marketplace</v>
      </c>
      <c r="I411">
        <f>Raw_Data!I411</f>
        <v>6</v>
      </c>
      <c r="J411" s="3">
        <f>Raw_Data!J411</f>
        <v>10.47</v>
      </c>
      <c r="K411" s="4">
        <f>Raw_Data!K411</f>
        <v>0.15</v>
      </c>
      <c r="L411" s="3">
        <f>Raw_Data!L411</f>
        <v>53.4</v>
      </c>
      <c r="M411" s="3">
        <f>Raw_Data!M411</f>
        <v>33.64</v>
      </c>
      <c r="N411" s="3">
        <f>Raw_Data!N411</f>
        <v>19.760000000000002</v>
      </c>
      <c r="O411" t="str">
        <f t="shared" si="18"/>
        <v>2025-06</v>
      </c>
      <c r="P411" s="5">
        <f t="shared" si="19"/>
        <v>0.37003745318352066</v>
      </c>
      <c r="Q411" s="3">
        <f t="shared" si="20"/>
        <v>53.4</v>
      </c>
    </row>
    <row r="412" spans="1:17" x14ac:dyDescent="0.35">
      <c r="A412" t="str">
        <f>Raw_Data!A412</f>
        <v>ORD-0088</v>
      </c>
      <c r="B412" s="2">
        <f>Raw_Data!B412</f>
        <v>45810</v>
      </c>
      <c r="C412" t="str">
        <f>Raw_Data!C412</f>
        <v>West</v>
      </c>
      <c r="D412" t="str">
        <f>Raw_Data!D412</f>
        <v>Mumbai</v>
      </c>
      <c r="E412" t="str">
        <f>Raw_Data!E412</f>
        <v>Home &amp; Kitchen</v>
      </c>
      <c r="F412" t="str">
        <f>Raw_Data!F412</f>
        <v>Storage Box</v>
      </c>
      <c r="G412" t="str">
        <f>Raw_Data!G412</f>
        <v>Small Business</v>
      </c>
      <c r="H412" t="str">
        <f>Raw_Data!H412</f>
        <v>In-Store</v>
      </c>
      <c r="I412">
        <f>Raw_Data!I412</f>
        <v>8</v>
      </c>
      <c r="J412" s="3">
        <f>Raw_Data!J412</f>
        <v>14.54</v>
      </c>
      <c r="K412" s="4">
        <f>Raw_Data!K412</f>
        <v>0.05</v>
      </c>
      <c r="L412" s="3">
        <f>Raw_Data!L412</f>
        <v>110.5</v>
      </c>
      <c r="M412" s="3">
        <f>Raw_Data!M412</f>
        <v>67.430000000000007</v>
      </c>
      <c r="N412" s="3">
        <f>Raw_Data!N412</f>
        <v>43.07</v>
      </c>
      <c r="O412" t="str">
        <f t="shared" si="18"/>
        <v>2025-06</v>
      </c>
      <c r="P412" s="5">
        <f t="shared" si="19"/>
        <v>0.38977375565610861</v>
      </c>
      <c r="Q412" s="3">
        <f t="shared" si="20"/>
        <v>110.5</v>
      </c>
    </row>
    <row r="413" spans="1:17" x14ac:dyDescent="0.35">
      <c r="A413" t="str">
        <f>Raw_Data!A413</f>
        <v>ORD-0484</v>
      </c>
      <c r="B413" s="2">
        <f>Raw_Data!B413</f>
        <v>45810</v>
      </c>
      <c r="C413" t="str">
        <f>Raw_Data!C413</f>
        <v>South</v>
      </c>
      <c r="D413" t="str">
        <f>Raw_Data!D413</f>
        <v>Chennai</v>
      </c>
      <c r="E413" t="str">
        <f>Raw_Data!E413</f>
        <v>Office Supplies</v>
      </c>
      <c r="F413" t="str">
        <f>Raw_Data!F413</f>
        <v>Desk Organizer</v>
      </c>
      <c r="G413" t="str">
        <f>Raw_Data!G413</f>
        <v>Corporate</v>
      </c>
      <c r="H413" t="str">
        <f>Raw_Data!H413</f>
        <v>In-Store</v>
      </c>
      <c r="I413">
        <f>Raw_Data!I413</f>
        <v>1</v>
      </c>
      <c r="J413" s="3">
        <f>Raw_Data!J413</f>
        <v>24.2</v>
      </c>
      <c r="K413" s="4">
        <f>Raw_Data!K413</f>
        <v>0</v>
      </c>
      <c r="L413" s="3">
        <f>Raw_Data!L413</f>
        <v>24.2</v>
      </c>
      <c r="M413" s="3">
        <f>Raw_Data!M413</f>
        <v>18.68</v>
      </c>
      <c r="N413" s="3">
        <f>Raw_Data!N413</f>
        <v>5.52</v>
      </c>
      <c r="O413" t="str">
        <f t="shared" si="18"/>
        <v>2025-06</v>
      </c>
      <c r="P413" s="5">
        <f t="shared" si="19"/>
        <v>0.228099173553719</v>
      </c>
      <c r="Q413" s="3">
        <f t="shared" si="20"/>
        <v>24.2</v>
      </c>
    </row>
    <row r="414" spans="1:17" x14ac:dyDescent="0.35">
      <c r="A414" t="str">
        <f>Raw_Data!A414</f>
        <v>ORD-0540</v>
      </c>
      <c r="B414" s="2">
        <f>Raw_Data!B414</f>
        <v>45810</v>
      </c>
      <c r="C414" t="str">
        <f>Raw_Data!C414</f>
        <v>East</v>
      </c>
      <c r="D414" t="str">
        <f>Raw_Data!D414</f>
        <v>Guwahati</v>
      </c>
      <c r="E414" t="str">
        <f>Raw_Data!E414</f>
        <v>Furniture</v>
      </c>
      <c r="F414" t="str">
        <f>Raw_Data!F414</f>
        <v>Office Chair</v>
      </c>
      <c r="G414" t="str">
        <f>Raw_Data!G414</f>
        <v>Corporate</v>
      </c>
      <c r="H414" t="str">
        <f>Raw_Data!H414</f>
        <v>Marketplace</v>
      </c>
      <c r="I414">
        <f>Raw_Data!I414</f>
        <v>1</v>
      </c>
      <c r="J414" s="3">
        <f>Raw_Data!J414</f>
        <v>128.78</v>
      </c>
      <c r="K414" s="4">
        <f>Raw_Data!K414</f>
        <v>0</v>
      </c>
      <c r="L414" s="3">
        <f>Raw_Data!L414</f>
        <v>128.78</v>
      </c>
      <c r="M414" s="3">
        <f>Raw_Data!M414</f>
        <v>68.05</v>
      </c>
      <c r="N414" s="3">
        <f>Raw_Data!N414</f>
        <v>60.73</v>
      </c>
      <c r="O414" t="str">
        <f t="shared" si="18"/>
        <v>2025-06</v>
      </c>
      <c r="P414" s="5">
        <f t="shared" si="19"/>
        <v>0.47157943780090072</v>
      </c>
      <c r="Q414" s="3">
        <f t="shared" si="20"/>
        <v>128.78</v>
      </c>
    </row>
    <row r="415" spans="1:17" x14ac:dyDescent="0.35">
      <c r="A415" t="str">
        <f>Raw_Data!A415</f>
        <v>ORD-0761</v>
      </c>
      <c r="B415" s="2">
        <f>Raw_Data!B415</f>
        <v>45810</v>
      </c>
      <c r="C415" t="str">
        <f>Raw_Data!C415</f>
        <v>South</v>
      </c>
      <c r="D415" t="str">
        <f>Raw_Data!D415</f>
        <v>Chennai</v>
      </c>
      <c r="E415" t="str">
        <f>Raw_Data!E415</f>
        <v>Technology</v>
      </c>
      <c r="F415" t="str">
        <f>Raw_Data!F415</f>
        <v>USB Hub</v>
      </c>
      <c r="G415" t="str">
        <f>Raw_Data!G415</f>
        <v>Small Business</v>
      </c>
      <c r="H415" t="str">
        <f>Raw_Data!H415</f>
        <v>In-Store</v>
      </c>
      <c r="I415">
        <f>Raw_Data!I415</f>
        <v>6</v>
      </c>
      <c r="J415" s="3">
        <f>Raw_Data!J415</f>
        <v>28.66</v>
      </c>
      <c r="K415" s="4">
        <f>Raw_Data!K415</f>
        <v>0.15</v>
      </c>
      <c r="L415" s="3">
        <f>Raw_Data!L415</f>
        <v>146.16999999999999</v>
      </c>
      <c r="M415" s="3">
        <f>Raw_Data!M415</f>
        <v>111.72</v>
      </c>
      <c r="N415" s="3">
        <f>Raw_Data!N415</f>
        <v>34.450000000000003</v>
      </c>
      <c r="O415" t="str">
        <f t="shared" si="18"/>
        <v>2025-06</v>
      </c>
      <c r="P415" s="5">
        <f t="shared" si="19"/>
        <v>0.23568447697886027</v>
      </c>
      <c r="Q415" s="3">
        <f t="shared" si="20"/>
        <v>146.16999999999999</v>
      </c>
    </row>
    <row r="416" spans="1:17" x14ac:dyDescent="0.35">
      <c r="A416" t="str">
        <f>Raw_Data!A416</f>
        <v>ORD-0996</v>
      </c>
      <c r="B416" s="2">
        <f>Raw_Data!B416</f>
        <v>45810</v>
      </c>
      <c r="C416" t="str">
        <f>Raw_Data!C416</f>
        <v>South</v>
      </c>
      <c r="D416" t="str">
        <f>Raw_Data!D416</f>
        <v>Chennai</v>
      </c>
      <c r="E416" t="str">
        <f>Raw_Data!E416</f>
        <v>Office Supplies</v>
      </c>
      <c r="F416" t="str">
        <f>Raw_Data!F416</f>
        <v>Pen Set</v>
      </c>
      <c r="G416" t="str">
        <f>Raw_Data!G416</f>
        <v>Corporate</v>
      </c>
      <c r="H416" t="str">
        <f>Raw_Data!H416</f>
        <v>In-Store</v>
      </c>
      <c r="I416">
        <f>Raw_Data!I416</f>
        <v>6</v>
      </c>
      <c r="J416" s="3">
        <f>Raw_Data!J416</f>
        <v>9.44</v>
      </c>
      <c r="K416" s="4">
        <f>Raw_Data!K416</f>
        <v>0.1</v>
      </c>
      <c r="L416" s="3">
        <f>Raw_Data!L416</f>
        <v>50.98</v>
      </c>
      <c r="M416" s="3">
        <f>Raw_Data!M416</f>
        <v>35.270000000000003</v>
      </c>
      <c r="N416" s="3">
        <f>Raw_Data!N416</f>
        <v>15.71</v>
      </c>
      <c r="O416" t="str">
        <f t="shared" si="18"/>
        <v>2025-06</v>
      </c>
      <c r="P416" s="5">
        <f t="shared" si="19"/>
        <v>0.30816006276971364</v>
      </c>
      <c r="Q416" s="3">
        <f t="shared" si="20"/>
        <v>50.98</v>
      </c>
    </row>
    <row r="417" spans="1:17" x14ac:dyDescent="0.35">
      <c r="A417" t="str">
        <f>Raw_Data!A417</f>
        <v>ORD-0571</v>
      </c>
      <c r="B417" s="2">
        <f>Raw_Data!B417</f>
        <v>45811</v>
      </c>
      <c r="C417" t="str">
        <f>Raw_Data!C417</f>
        <v>North</v>
      </c>
      <c r="D417" t="str">
        <f>Raw_Data!D417</f>
        <v>Chandigarh</v>
      </c>
      <c r="E417" t="str">
        <f>Raw_Data!E417</f>
        <v>Furniture</v>
      </c>
      <c r="F417" t="str">
        <f>Raw_Data!F417</f>
        <v>Standing Desk</v>
      </c>
      <c r="G417" t="str">
        <f>Raw_Data!G417</f>
        <v>Corporate</v>
      </c>
      <c r="H417" t="str">
        <f>Raw_Data!H417</f>
        <v>Marketplace</v>
      </c>
      <c r="I417">
        <f>Raw_Data!I417</f>
        <v>12</v>
      </c>
      <c r="J417" s="3">
        <f>Raw_Data!J417</f>
        <v>310.41000000000003</v>
      </c>
      <c r="K417" s="4">
        <f>Raw_Data!K417</f>
        <v>0.05</v>
      </c>
      <c r="L417" s="3">
        <f>Raw_Data!L417</f>
        <v>3538.67</v>
      </c>
      <c r="M417" s="3">
        <f>Raw_Data!M417</f>
        <v>2894.59</v>
      </c>
      <c r="N417" s="3">
        <f>Raw_Data!N417</f>
        <v>644.08000000000004</v>
      </c>
      <c r="O417" t="str">
        <f t="shared" si="18"/>
        <v>2025-06</v>
      </c>
      <c r="P417" s="5">
        <f t="shared" si="19"/>
        <v>0.18201188582150921</v>
      </c>
      <c r="Q417" s="3">
        <f t="shared" si="20"/>
        <v>3538.67</v>
      </c>
    </row>
    <row r="418" spans="1:17" x14ac:dyDescent="0.35">
      <c r="A418" t="str">
        <f>Raw_Data!A418</f>
        <v>ORD-0186</v>
      </c>
      <c r="B418" s="2">
        <f>Raw_Data!B418</f>
        <v>45811</v>
      </c>
      <c r="C418" t="str">
        <f>Raw_Data!C418</f>
        <v>East</v>
      </c>
      <c r="D418" t="str">
        <f>Raw_Data!D418</f>
        <v>Kolkata</v>
      </c>
      <c r="E418" t="str">
        <f>Raw_Data!E418</f>
        <v>Furniture</v>
      </c>
      <c r="F418" t="str">
        <f>Raw_Data!F418</f>
        <v>Standing Desk</v>
      </c>
      <c r="G418" t="str">
        <f>Raw_Data!G418</f>
        <v>Small Business</v>
      </c>
      <c r="H418" t="str">
        <f>Raw_Data!H418</f>
        <v>Marketplace</v>
      </c>
      <c r="I418">
        <f>Raw_Data!I418</f>
        <v>12</v>
      </c>
      <c r="J418" s="3">
        <f>Raw_Data!J418</f>
        <v>272.23</v>
      </c>
      <c r="K418" s="4">
        <f>Raw_Data!K418</f>
        <v>0.1</v>
      </c>
      <c r="L418" s="3">
        <f>Raw_Data!L418</f>
        <v>2940.08</v>
      </c>
      <c r="M418" s="3">
        <f>Raw_Data!M418</f>
        <v>2367.5</v>
      </c>
      <c r="N418" s="3">
        <f>Raw_Data!N418</f>
        <v>572.58000000000004</v>
      </c>
      <c r="O418" t="str">
        <f t="shared" si="18"/>
        <v>2025-06</v>
      </c>
      <c r="P418" s="5">
        <f t="shared" si="19"/>
        <v>0.19474980272645645</v>
      </c>
      <c r="Q418" s="3">
        <f t="shared" si="20"/>
        <v>2940.08</v>
      </c>
    </row>
    <row r="419" spans="1:17" x14ac:dyDescent="0.35">
      <c r="A419" t="str">
        <f>Raw_Data!A419</f>
        <v>ORD-0281</v>
      </c>
      <c r="B419" s="2">
        <f>Raw_Data!B419</f>
        <v>45811</v>
      </c>
      <c r="C419" t="str">
        <f>Raw_Data!C419</f>
        <v>North</v>
      </c>
      <c r="D419" t="str">
        <f>Raw_Data!D419</f>
        <v>Delhi</v>
      </c>
      <c r="E419" t="str">
        <f>Raw_Data!E419</f>
        <v>Office Supplies</v>
      </c>
      <c r="F419" t="str">
        <f>Raw_Data!F419</f>
        <v>Printer Paper</v>
      </c>
      <c r="G419" t="str">
        <f>Raw_Data!G419</f>
        <v>Corporate</v>
      </c>
      <c r="H419" t="str">
        <f>Raw_Data!H419</f>
        <v>Marketplace</v>
      </c>
      <c r="I419">
        <f>Raw_Data!I419</f>
        <v>3</v>
      </c>
      <c r="J419" s="3">
        <f>Raw_Data!J419</f>
        <v>16.12</v>
      </c>
      <c r="K419" s="4">
        <f>Raw_Data!K419</f>
        <v>0</v>
      </c>
      <c r="L419" s="3">
        <f>Raw_Data!L419</f>
        <v>48.36</v>
      </c>
      <c r="M419" s="3">
        <f>Raw_Data!M419</f>
        <v>24.21</v>
      </c>
      <c r="N419" s="3">
        <f>Raw_Data!N419</f>
        <v>24.15</v>
      </c>
      <c r="O419" t="str">
        <f t="shared" si="18"/>
        <v>2025-06</v>
      </c>
      <c r="P419" s="5">
        <f t="shared" si="19"/>
        <v>0.49937965260545902</v>
      </c>
      <c r="Q419" s="3">
        <f t="shared" si="20"/>
        <v>48.36</v>
      </c>
    </row>
    <row r="420" spans="1:17" x14ac:dyDescent="0.35">
      <c r="A420" t="str">
        <f>Raw_Data!A420</f>
        <v>ORD-0336</v>
      </c>
      <c r="B420" s="2">
        <f>Raw_Data!B420</f>
        <v>45811</v>
      </c>
      <c r="C420" t="str">
        <f>Raw_Data!C420</f>
        <v>South</v>
      </c>
      <c r="D420" t="str">
        <f>Raw_Data!D420</f>
        <v>Bengaluru</v>
      </c>
      <c r="E420" t="str">
        <f>Raw_Data!E420</f>
        <v>Technology</v>
      </c>
      <c r="F420" t="str">
        <f>Raw_Data!F420</f>
        <v>USB Hub</v>
      </c>
      <c r="G420" t="str">
        <f>Raw_Data!G420</f>
        <v>Consumer</v>
      </c>
      <c r="H420" t="str">
        <f>Raw_Data!H420</f>
        <v>In-Store</v>
      </c>
      <c r="I420">
        <f>Raw_Data!I420</f>
        <v>12</v>
      </c>
      <c r="J420" s="3">
        <f>Raw_Data!J420</f>
        <v>20.69</v>
      </c>
      <c r="K420" s="4">
        <f>Raw_Data!K420</f>
        <v>0.15</v>
      </c>
      <c r="L420" s="3">
        <f>Raw_Data!L420</f>
        <v>211.04</v>
      </c>
      <c r="M420" s="3">
        <f>Raw_Data!M420</f>
        <v>186.24</v>
      </c>
      <c r="N420" s="3">
        <f>Raw_Data!N420</f>
        <v>24.8</v>
      </c>
      <c r="O420" t="str">
        <f t="shared" si="18"/>
        <v>2025-06</v>
      </c>
      <c r="P420" s="5">
        <f t="shared" si="19"/>
        <v>0.11751326762699014</v>
      </c>
      <c r="Q420" s="3">
        <f t="shared" si="20"/>
        <v>211.04</v>
      </c>
    </row>
    <row r="421" spans="1:17" x14ac:dyDescent="0.35">
      <c r="A421" t="str">
        <f>Raw_Data!A421</f>
        <v>ORD-0094</v>
      </c>
      <c r="B421" s="2">
        <f>Raw_Data!B421</f>
        <v>45811</v>
      </c>
      <c r="C421" t="str">
        <f>Raw_Data!C421</f>
        <v>West</v>
      </c>
      <c r="D421" t="str">
        <f>Raw_Data!D421</f>
        <v>Ahmedabad</v>
      </c>
      <c r="E421" t="str">
        <f>Raw_Data!E421</f>
        <v>Technology</v>
      </c>
      <c r="F421" t="str">
        <f>Raw_Data!F421</f>
        <v>Wireless Mouse</v>
      </c>
      <c r="G421" t="str">
        <f>Raw_Data!G421</f>
        <v>Consumer</v>
      </c>
      <c r="H421" t="str">
        <f>Raw_Data!H421</f>
        <v>Online</v>
      </c>
      <c r="I421">
        <f>Raw_Data!I421</f>
        <v>6</v>
      </c>
      <c r="J421" s="3">
        <f>Raw_Data!J421</f>
        <v>20.32</v>
      </c>
      <c r="K421" s="4">
        <f>Raw_Data!K421</f>
        <v>0.05</v>
      </c>
      <c r="L421" s="3">
        <f>Raw_Data!L421</f>
        <v>115.82</v>
      </c>
      <c r="M421" s="3">
        <f>Raw_Data!M421</f>
        <v>71.63</v>
      </c>
      <c r="N421" s="3">
        <f>Raw_Data!N421</f>
        <v>44.19</v>
      </c>
      <c r="O421" t="str">
        <f t="shared" si="18"/>
        <v>2025-06</v>
      </c>
      <c r="P421" s="5">
        <f t="shared" si="19"/>
        <v>0.38154032118805042</v>
      </c>
      <c r="Q421" s="3">
        <f t="shared" si="20"/>
        <v>115.82</v>
      </c>
    </row>
    <row r="422" spans="1:17" x14ac:dyDescent="0.35">
      <c r="A422" t="str">
        <f>Raw_Data!A422</f>
        <v>ORD-0098</v>
      </c>
      <c r="B422" s="2">
        <f>Raw_Data!B422</f>
        <v>45812</v>
      </c>
      <c r="C422" t="str">
        <f>Raw_Data!C422</f>
        <v>East</v>
      </c>
      <c r="D422" t="str">
        <f>Raw_Data!D422</f>
        <v>Kolkata</v>
      </c>
      <c r="E422" t="str">
        <f>Raw_Data!E422</f>
        <v>Office Supplies</v>
      </c>
      <c r="F422" t="str">
        <f>Raw_Data!F422</f>
        <v>Printer Paper</v>
      </c>
      <c r="G422" t="str">
        <f>Raw_Data!G422</f>
        <v>Corporate</v>
      </c>
      <c r="H422" t="str">
        <f>Raw_Data!H422</f>
        <v>In-Store</v>
      </c>
      <c r="I422">
        <f>Raw_Data!I422</f>
        <v>8</v>
      </c>
      <c r="J422" s="3">
        <f>Raw_Data!J422</f>
        <v>13.31</v>
      </c>
      <c r="K422" s="4">
        <f>Raw_Data!K422</f>
        <v>0.1</v>
      </c>
      <c r="L422" s="3">
        <f>Raw_Data!L422</f>
        <v>95.83</v>
      </c>
      <c r="M422" s="3">
        <f>Raw_Data!M422</f>
        <v>69.38</v>
      </c>
      <c r="N422" s="3">
        <f>Raw_Data!N422</f>
        <v>26.45</v>
      </c>
      <c r="O422" t="str">
        <f t="shared" si="18"/>
        <v>2025-06</v>
      </c>
      <c r="P422" s="5">
        <f t="shared" si="19"/>
        <v>0.27600960033392463</v>
      </c>
      <c r="Q422" s="3">
        <f t="shared" si="20"/>
        <v>95.83</v>
      </c>
    </row>
    <row r="423" spans="1:17" x14ac:dyDescent="0.35">
      <c r="A423" t="str">
        <f>Raw_Data!A423</f>
        <v>ORD-0882</v>
      </c>
      <c r="B423" s="2">
        <f>Raw_Data!B423</f>
        <v>45812</v>
      </c>
      <c r="C423" t="str">
        <f>Raw_Data!C423</f>
        <v>South</v>
      </c>
      <c r="D423" t="str">
        <f>Raw_Data!D423</f>
        <v>Bengaluru</v>
      </c>
      <c r="E423" t="str">
        <f>Raw_Data!E423</f>
        <v>Home &amp; Kitchen</v>
      </c>
      <c r="F423" t="str">
        <f>Raw_Data!F423</f>
        <v>Storage Box</v>
      </c>
      <c r="G423" t="str">
        <f>Raw_Data!G423</f>
        <v>Consumer</v>
      </c>
      <c r="H423" t="str">
        <f>Raw_Data!H423</f>
        <v>Online</v>
      </c>
      <c r="I423">
        <f>Raw_Data!I423</f>
        <v>8</v>
      </c>
      <c r="J423" s="3">
        <f>Raw_Data!J423</f>
        <v>16.579999999999998</v>
      </c>
      <c r="K423" s="4">
        <f>Raw_Data!K423</f>
        <v>0.1</v>
      </c>
      <c r="L423" s="3">
        <f>Raw_Data!L423</f>
        <v>119.38</v>
      </c>
      <c r="M423" s="3">
        <f>Raw_Data!M423</f>
        <v>90.04</v>
      </c>
      <c r="N423" s="3">
        <f>Raw_Data!N423</f>
        <v>29.34</v>
      </c>
      <c r="O423" t="str">
        <f t="shared" si="18"/>
        <v>2025-06</v>
      </c>
      <c r="P423" s="5">
        <f t="shared" si="19"/>
        <v>0.24576981068855755</v>
      </c>
      <c r="Q423" s="3">
        <f t="shared" si="20"/>
        <v>119.38</v>
      </c>
    </row>
    <row r="424" spans="1:17" x14ac:dyDescent="0.35">
      <c r="A424" t="str">
        <f>Raw_Data!A424</f>
        <v>ORD-0152</v>
      </c>
      <c r="B424" s="2">
        <f>Raw_Data!B424</f>
        <v>45812</v>
      </c>
      <c r="C424" t="str">
        <f>Raw_Data!C424</f>
        <v>North</v>
      </c>
      <c r="D424" t="str">
        <f>Raw_Data!D424</f>
        <v>Jaipur</v>
      </c>
      <c r="E424" t="str">
        <f>Raw_Data!E424</f>
        <v>Technology</v>
      </c>
      <c r="F424" t="str">
        <f>Raw_Data!F424</f>
        <v>Wireless Mouse</v>
      </c>
      <c r="G424" t="str">
        <f>Raw_Data!G424</f>
        <v>Small Business</v>
      </c>
      <c r="H424" t="str">
        <f>Raw_Data!H424</f>
        <v>Marketplace</v>
      </c>
      <c r="I424">
        <f>Raw_Data!I424</f>
        <v>4</v>
      </c>
      <c r="J424" s="3">
        <f>Raw_Data!J424</f>
        <v>17.940000000000001</v>
      </c>
      <c r="K424" s="4">
        <f>Raw_Data!K424</f>
        <v>0.15</v>
      </c>
      <c r="L424" s="3">
        <f>Raw_Data!L424</f>
        <v>61</v>
      </c>
      <c r="M424" s="3">
        <f>Raw_Data!M424</f>
        <v>44.29</v>
      </c>
      <c r="N424" s="3">
        <f>Raw_Data!N424</f>
        <v>16.71</v>
      </c>
      <c r="O424" t="str">
        <f t="shared" si="18"/>
        <v>2025-06</v>
      </c>
      <c r="P424" s="5">
        <f t="shared" si="19"/>
        <v>0.2739344262295082</v>
      </c>
      <c r="Q424" s="3">
        <f t="shared" si="20"/>
        <v>61</v>
      </c>
    </row>
    <row r="425" spans="1:17" x14ac:dyDescent="0.35">
      <c r="A425" t="str">
        <f>Raw_Data!A425</f>
        <v>ORD-0962</v>
      </c>
      <c r="B425" s="2">
        <f>Raw_Data!B425</f>
        <v>45812</v>
      </c>
      <c r="C425" t="str">
        <f>Raw_Data!C425</f>
        <v>East</v>
      </c>
      <c r="D425" t="str">
        <f>Raw_Data!D425</f>
        <v>Kolkata</v>
      </c>
      <c r="E425" t="str">
        <f>Raw_Data!E425</f>
        <v>Furniture</v>
      </c>
      <c r="F425" t="str">
        <f>Raw_Data!F425</f>
        <v>Bookshelf</v>
      </c>
      <c r="G425" t="str">
        <f>Raw_Data!G425</f>
        <v>Corporate</v>
      </c>
      <c r="H425" t="str">
        <f>Raw_Data!H425</f>
        <v>Online</v>
      </c>
      <c r="I425">
        <f>Raw_Data!I425</f>
        <v>2</v>
      </c>
      <c r="J425" s="3">
        <f>Raw_Data!J425</f>
        <v>103.94</v>
      </c>
      <c r="K425" s="4">
        <f>Raw_Data!K425</f>
        <v>0.1</v>
      </c>
      <c r="L425" s="3">
        <f>Raw_Data!L425</f>
        <v>187.09</v>
      </c>
      <c r="M425" s="3">
        <f>Raw_Data!M425</f>
        <v>141.05000000000001</v>
      </c>
      <c r="N425" s="3">
        <f>Raw_Data!N425</f>
        <v>46.04</v>
      </c>
      <c r="O425" t="str">
        <f t="shared" si="18"/>
        <v>2025-06</v>
      </c>
      <c r="P425" s="5">
        <f t="shared" si="19"/>
        <v>0.24608477203484952</v>
      </c>
      <c r="Q425" s="3">
        <f t="shared" si="20"/>
        <v>187.09</v>
      </c>
    </row>
    <row r="426" spans="1:17" x14ac:dyDescent="0.35">
      <c r="A426" t="str">
        <f>Raw_Data!A426</f>
        <v>ORD-0688</v>
      </c>
      <c r="B426" s="2">
        <f>Raw_Data!B426</f>
        <v>45812</v>
      </c>
      <c r="C426" t="str">
        <f>Raw_Data!C426</f>
        <v>East</v>
      </c>
      <c r="D426" t="str">
        <f>Raw_Data!D426</f>
        <v>Bhubaneswar</v>
      </c>
      <c r="E426" t="str">
        <f>Raw_Data!E426</f>
        <v>Furniture</v>
      </c>
      <c r="F426" t="str">
        <f>Raw_Data!F426</f>
        <v>Standing Desk</v>
      </c>
      <c r="G426" t="str">
        <f>Raw_Data!G426</f>
        <v>Corporate</v>
      </c>
      <c r="H426" t="str">
        <f>Raw_Data!H426</f>
        <v>Marketplace</v>
      </c>
      <c r="I426">
        <f>Raw_Data!I426</f>
        <v>11</v>
      </c>
      <c r="J426" s="3">
        <f>Raw_Data!J426</f>
        <v>270.14</v>
      </c>
      <c r="K426" s="4">
        <f>Raw_Data!K426</f>
        <v>0</v>
      </c>
      <c r="L426" s="3">
        <f>Raw_Data!L426</f>
        <v>2971.54</v>
      </c>
      <c r="M426" s="3">
        <f>Raw_Data!M426</f>
        <v>1795.68</v>
      </c>
      <c r="N426" s="3">
        <f>Raw_Data!N426</f>
        <v>1175.8599999999999</v>
      </c>
      <c r="O426" t="str">
        <f t="shared" si="18"/>
        <v>2025-06</v>
      </c>
      <c r="P426" s="5">
        <f t="shared" si="19"/>
        <v>0.39570727636175179</v>
      </c>
      <c r="Q426" s="3">
        <f t="shared" si="20"/>
        <v>2971.54</v>
      </c>
    </row>
    <row r="427" spans="1:17" x14ac:dyDescent="0.35">
      <c r="A427" t="str">
        <f>Raw_Data!A427</f>
        <v>ORD-0582</v>
      </c>
      <c r="B427" s="2">
        <f>Raw_Data!B427</f>
        <v>45813</v>
      </c>
      <c r="C427" t="str">
        <f>Raw_Data!C427</f>
        <v>East</v>
      </c>
      <c r="D427" t="str">
        <f>Raw_Data!D427</f>
        <v>Kolkata</v>
      </c>
      <c r="E427" t="str">
        <f>Raw_Data!E427</f>
        <v>Furniture</v>
      </c>
      <c r="F427" t="str">
        <f>Raw_Data!F427</f>
        <v>Office Chair</v>
      </c>
      <c r="G427" t="str">
        <f>Raw_Data!G427</f>
        <v>Corporate</v>
      </c>
      <c r="H427" t="str">
        <f>Raw_Data!H427</f>
        <v>Marketplace</v>
      </c>
      <c r="I427">
        <f>Raw_Data!I427</f>
        <v>11</v>
      </c>
      <c r="J427" s="3">
        <f>Raw_Data!J427</f>
        <v>147.26</v>
      </c>
      <c r="K427" s="4">
        <f>Raw_Data!K427</f>
        <v>0</v>
      </c>
      <c r="L427" s="3">
        <f>Raw_Data!L427</f>
        <v>1619.86</v>
      </c>
      <c r="M427" s="3">
        <f>Raw_Data!M427</f>
        <v>1055.92</v>
      </c>
      <c r="N427" s="3">
        <f>Raw_Data!N427</f>
        <v>563.94000000000005</v>
      </c>
      <c r="O427" t="str">
        <f t="shared" si="18"/>
        <v>2025-06</v>
      </c>
      <c r="P427" s="5">
        <f t="shared" si="19"/>
        <v>0.3481411973874286</v>
      </c>
      <c r="Q427" s="3">
        <f t="shared" si="20"/>
        <v>1619.86</v>
      </c>
    </row>
    <row r="428" spans="1:17" x14ac:dyDescent="0.35">
      <c r="A428" t="str">
        <f>Raw_Data!A428</f>
        <v>ORD-0246</v>
      </c>
      <c r="B428" s="2">
        <f>Raw_Data!B428</f>
        <v>45813</v>
      </c>
      <c r="C428" t="str">
        <f>Raw_Data!C428</f>
        <v>East</v>
      </c>
      <c r="D428" t="str">
        <f>Raw_Data!D428</f>
        <v>Bhubaneswar</v>
      </c>
      <c r="E428" t="str">
        <f>Raw_Data!E428</f>
        <v>Technology</v>
      </c>
      <c r="F428" t="str">
        <f>Raw_Data!F428</f>
        <v>USB Hub</v>
      </c>
      <c r="G428" t="str">
        <f>Raw_Data!G428</f>
        <v>Small Business</v>
      </c>
      <c r="H428" t="str">
        <f>Raw_Data!H428</f>
        <v>In-Store</v>
      </c>
      <c r="I428">
        <f>Raw_Data!I428</f>
        <v>6</v>
      </c>
      <c r="J428" s="3">
        <f>Raw_Data!J428</f>
        <v>27.47</v>
      </c>
      <c r="K428" s="4">
        <f>Raw_Data!K428</f>
        <v>0.1</v>
      </c>
      <c r="L428" s="3">
        <f>Raw_Data!L428</f>
        <v>148.34</v>
      </c>
      <c r="M428" s="3">
        <f>Raw_Data!M428</f>
        <v>118.87</v>
      </c>
      <c r="N428" s="3">
        <f>Raw_Data!N428</f>
        <v>29.47</v>
      </c>
      <c r="O428" t="str">
        <f t="shared" si="18"/>
        <v>2025-06</v>
      </c>
      <c r="P428" s="5">
        <f t="shared" si="19"/>
        <v>0.19866522852905485</v>
      </c>
      <c r="Q428" s="3">
        <f t="shared" si="20"/>
        <v>148.34</v>
      </c>
    </row>
    <row r="429" spans="1:17" x14ac:dyDescent="0.35">
      <c r="A429" t="str">
        <f>Raw_Data!A429</f>
        <v>ORD-0913</v>
      </c>
      <c r="B429" s="2">
        <f>Raw_Data!B429</f>
        <v>45814</v>
      </c>
      <c r="C429" t="str">
        <f>Raw_Data!C429</f>
        <v>East</v>
      </c>
      <c r="D429" t="str">
        <f>Raw_Data!D429</f>
        <v>Kolkata</v>
      </c>
      <c r="E429" t="str">
        <f>Raw_Data!E429</f>
        <v>Home &amp; Kitchen</v>
      </c>
      <c r="F429" t="str">
        <f>Raw_Data!F429</f>
        <v>Water Bottle</v>
      </c>
      <c r="G429" t="str">
        <f>Raw_Data!G429</f>
        <v>Corporate</v>
      </c>
      <c r="H429" t="str">
        <f>Raw_Data!H429</f>
        <v>Online</v>
      </c>
      <c r="I429">
        <f>Raw_Data!I429</f>
        <v>9</v>
      </c>
      <c r="J429" s="3">
        <f>Raw_Data!J429</f>
        <v>15.55</v>
      </c>
      <c r="K429" s="4">
        <f>Raw_Data!K429</f>
        <v>0.15</v>
      </c>
      <c r="L429" s="3">
        <f>Raw_Data!L429</f>
        <v>118.96</v>
      </c>
      <c r="M429" s="3">
        <f>Raw_Data!M429</f>
        <v>103.51</v>
      </c>
      <c r="N429" s="3">
        <f>Raw_Data!N429</f>
        <v>15.45</v>
      </c>
      <c r="O429" t="str">
        <f t="shared" si="18"/>
        <v>2025-06</v>
      </c>
      <c r="P429" s="5">
        <f t="shared" si="19"/>
        <v>0.12987558843308675</v>
      </c>
      <c r="Q429" s="3">
        <f t="shared" si="20"/>
        <v>118.96</v>
      </c>
    </row>
    <row r="430" spans="1:17" x14ac:dyDescent="0.35">
      <c r="A430" t="str">
        <f>Raw_Data!A430</f>
        <v>ORD-0418</v>
      </c>
      <c r="B430" s="2">
        <f>Raw_Data!B430</f>
        <v>45814</v>
      </c>
      <c r="C430" t="str">
        <f>Raw_Data!C430</f>
        <v>South</v>
      </c>
      <c r="D430" t="str">
        <f>Raw_Data!D430</f>
        <v>Hyderabad</v>
      </c>
      <c r="E430" t="str">
        <f>Raw_Data!E430</f>
        <v>Office Supplies</v>
      </c>
      <c r="F430" t="str">
        <f>Raw_Data!F430</f>
        <v>Desk Organizer</v>
      </c>
      <c r="G430" t="str">
        <f>Raw_Data!G430</f>
        <v>Consumer</v>
      </c>
      <c r="H430" t="str">
        <f>Raw_Data!H430</f>
        <v>Marketplace</v>
      </c>
      <c r="I430">
        <f>Raw_Data!I430</f>
        <v>6</v>
      </c>
      <c r="J430" s="3">
        <f>Raw_Data!J430</f>
        <v>24.9</v>
      </c>
      <c r="K430" s="4">
        <f>Raw_Data!K430</f>
        <v>0</v>
      </c>
      <c r="L430" s="3">
        <f>Raw_Data!L430</f>
        <v>149.4</v>
      </c>
      <c r="M430" s="3">
        <f>Raw_Data!M430</f>
        <v>71.930000000000007</v>
      </c>
      <c r="N430" s="3">
        <f>Raw_Data!N430</f>
        <v>77.47</v>
      </c>
      <c r="O430" t="str">
        <f t="shared" si="18"/>
        <v>2025-06</v>
      </c>
      <c r="P430" s="5">
        <f t="shared" si="19"/>
        <v>0.51854082998661311</v>
      </c>
      <c r="Q430" s="3">
        <f t="shared" si="20"/>
        <v>149.4</v>
      </c>
    </row>
    <row r="431" spans="1:17" x14ac:dyDescent="0.35">
      <c r="A431" t="str">
        <f>Raw_Data!A431</f>
        <v>ORD-0604</v>
      </c>
      <c r="B431" s="2">
        <f>Raw_Data!B431</f>
        <v>45815</v>
      </c>
      <c r="C431" t="str">
        <f>Raw_Data!C431</f>
        <v>North</v>
      </c>
      <c r="D431" t="str">
        <f>Raw_Data!D431</f>
        <v>Delhi</v>
      </c>
      <c r="E431" t="str">
        <f>Raw_Data!E431</f>
        <v>Home &amp; Kitchen</v>
      </c>
      <c r="F431" t="str">
        <f>Raw_Data!F431</f>
        <v>Lunch Box</v>
      </c>
      <c r="G431" t="str">
        <f>Raw_Data!G431</f>
        <v>Small Business</v>
      </c>
      <c r="H431" t="str">
        <f>Raw_Data!H431</f>
        <v>Online</v>
      </c>
      <c r="I431">
        <f>Raw_Data!I431</f>
        <v>1</v>
      </c>
      <c r="J431" s="3">
        <f>Raw_Data!J431</f>
        <v>17.260000000000002</v>
      </c>
      <c r="K431" s="4">
        <f>Raw_Data!K431</f>
        <v>0</v>
      </c>
      <c r="L431" s="3">
        <f>Raw_Data!L431</f>
        <v>17.260000000000002</v>
      </c>
      <c r="M431" s="3">
        <f>Raw_Data!M431</f>
        <v>10.029999999999999</v>
      </c>
      <c r="N431" s="3">
        <f>Raw_Data!N431</f>
        <v>7.23</v>
      </c>
      <c r="O431" t="str">
        <f t="shared" si="18"/>
        <v>2025-06</v>
      </c>
      <c r="P431" s="5">
        <f t="shared" si="19"/>
        <v>0.41888760139049824</v>
      </c>
      <c r="Q431" s="3">
        <f t="shared" si="20"/>
        <v>17.260000000000002</v>
      </c>
    </row>
    <row r="432" spans="1:17" x14ac:dyDescent="0.35">
      <c r="A432" t="str">
        <f>Raw_Data!A432</f>
        <v>ORD-0552</v>
      </c>
      <c r="B432" s="2">
        <f>Raw_Data!B432</f>
        <v>45815</v>
      </c>
      <c r="C432" t="str">
        <f>Raw_Data!C432</f>
        <v>East</v>
      </c>
      <c r="D432" t="str">
        <f>Raw_Data!D432</f>
        <v>Kolkata</v>
      </c>
      <c r="E432" t="str">
        <f>Raw_Data!E432</f>
        <v>Furniture</v>
      </c>
      <c r="F432" t="str">
        <f>Raw_Data!F432</f>
        <v>Office Chair</v>
      </c>
      <c r="G432" t="str">
        <f>Raw_Data!G432</f>
        <v>Small Business</v>
      </c>
      <c r="H432" t="str">
        <f>Raw_Data!H432</f>
        <v>In-Store</v>
      </c>
      <c r="I432">
        <f>Raw_Data!I432</f>
        <v>5</v>
      </c>
      <c r="J432" s="3">
        <f>Raw_Data!J432</f>
        <v>144.25</v>
      </c>
      <c r="K432" s="4">
        <f>Raw_Data!K432</f>
        <v>0.1</v>
      </c>
      <c r="L432" s="3">
        <f>Raw_Data!L432</f>
        <v>649.12</v>
      </c>
      <c r="M432" s="3">
        <f>Raw_Data!M432</f>
        <v>535.97</v>
      </c>
      <c r="N432" s="3">
        <f>Raw_Data!N432</f>
        <v>113.15</v>
      </c>
      <c r="O432" t="str">
        <f t="shared" si="18"/>
        <v>2025-06</v>
      </c>
      <c r="P432" s="5">
        <f t="shared" si="19"/>
        <v>0.17431291594774465</v>
      </c>
      <c r="Q432" s="3">
        <f t="shared" si="20"/>
        <v>649.12</v>
      </c>
    </row>
    <row r="433" spans="1:17" x14ac:dyDescent="0.35">
      <c r="A433" t="str">
        <f>Raw_Data!A433</f>
        <v>ORD-0301</v>
      </c>
      <c r="B433" s="2">
        <f>Raw_Data!B433</f>
        <v>45815</v>
      </c>
      <c r="C433" t="str">
        <f>Raw_Data!C433</f>
        <v>North</v>
      </c>
      <c r="D433" t="str">
        <f>Raw_Data!D433</f>
        <v>Chandigarh</v>
      </c>
      <c r="E433" t="str">
        <f>Raw_Data!E433</f>
        <v>Technology</v>
      </c>
      <c r="F433" t="str">
        <f>Raw_Data!F433</f>
        <v>Keyboard</v>
      </c>
      <c r="G433" t="str">
        <f>Raw_Data!G433</f>
        <v>Consumer</v>
      </c>
      <c r="H433" t="str">
        <f>Raw_Data!H433</f>
        <v>Marketplace</v>
      </c>
      <c r="I433">
        <f>Raw_Data!I433</f>
        <v>9</v>
      </c>
      <c r="J433" s="3">
        <f>Raw_Data!J433</f>
        <v>38.21</v>
      </c>
      <c r="K433" s="4">
        <f>Raw_Data!K433</f>
        <v>0.1</v>
      </c>
      <c r="L433" s="3">
        <f>Raw_Data!L433</f>
        <v>309.5</v>
      </c>
      <c r="M433" s="3">
        <f>Raw_Data!M433</f>
        <v>215.83</v>
      </c>
      <c r="N433" s="3">
        <f>Raw_Data!N433</f>
        <v>93.67</v>
      </c>
      <c r="O433" t="str">
        <f t="shared" si="18"/>
        <v>2025-06</v>
      </c>
      <c r="P433" s="5">
        <f t="shared" si="19"/>
        <v>0.30264943457189014</v>
      </c>
      <c r="Q433" s="3">
        <f t="shared" si="20"/>
        <v>309.5</v>
      </c>
    </row>
    <row r="434" spans="1:17" x14ac:dyDescent="0.35">
      <c r="A434" t="str">
        <f>Raw_Data!A434</f>
        <v>ORD-0978</v>
      </c>
      <c r="B434" s="2">
        <f>Raw_Data!B434</f>
        <v>45816</v>
      </c>
      <c r="C434" t="str">
        <f>Raw_Data!C434</f>
        <v>North</v>
      </c>
      <c r="D434" t="str">
        <f>Raw_Data!D434</f>
        <v>Delhi</v>
      </c>
      <c r="E434" t="str">
        <f>Raw_Data!E434</f>
        <v>Office Supplies</v>
      </c>
      <c r="F434" t="str">
        <f>Raw_Data!F434</f>
        <v>Pen Set</v>
      </c>
      <c r="G434" t="str">
        <f>Raw_Data!G434</f>
        <v>Corporate</v>
      </c>
      <c r="H434" t="str">
        <f>Raw_Data!H434</f>
        <v>In-Store</v>
      </c>
      <c r="I434">
        <f>Raw_Data!I434</f>
        <v>11</v>
      </c>
      <c r="J434" s="3">
        <f>Raw_Data!J434</f>
        <v>9.4</v>
      </c>
      <c r="K434" s="4">
        <f>Raw_Data!K434</f>
        <v>0</v>
      </c>
      <c r="L434" s="3">
        <f>Raw_Data!L434</f>
        <v>103.4</v>
      </c>
      <c r="M434" s="3">
        <f>Raw_Data!M434</f>
        <v>57.98</v>
      </c>
      <c r="N434" s="3">
        <f>Raw_Data!N434</f>
        <v>45.42</v>
      </c>
      <c r="O434" t="str">
        <f t="shared" si="18"/>
        <v>2025-06</v>
      </c>
      <c r="P434" s="5">
        <f t="shared" si="19"/>
        <v>0.4392649903288201</v>
      </c>
      <c r="Q434" s="3">
        <f t="shared" si="20"/>
        <v>103.4</v>
      </c>
    </row>
    <row r="435" spans="1:17" x14ac:dyDescent="0.35">
      <c r="A435" t="str">
        <f>Raw_Data!A435</f>
        <v>ORD-0042</v>
      </c>
      <c r="B435" s="2">
        <f>Raw_Data!B435</f>
        <v>45816</v>
      </c>
      <c r="C435" t="str">
        <f>Raw_Data!C435</f>
        <v>West</v>
      </c>
      <c r="D435" t="str">
        <f>Raw_Data!D435</f>
        <v>Ahmedabad</v>
      </c>
      <c r="E435" t="str">
        <f>Raw_Data!E435</f>
        <v>Home &amp; Kitchen</v>
      </c>
      <c r="F435" t="str">
        <f>Raw_Data!F435</f>
        <v>Coffee Maker</v>
      </c>
      <c r="G435" t="str">
        <f>Raw_Data!G435</f>
        <v>Corporate</v>
      </c>
      <c r="H435" t="str">
        <f>Raw_Data!H435</f>
        <v>In-Store</v>
      </c>
      <c r="I435">
        <f>Raw_Data!I435</f>
        <v>7</v>
      </c>
      <c r="J435" s="3">
        <f>Raw_Data!J435</f>
        <v>78.77</v>
      </c>
      <c r="K435" s="4">
        <f>Raw_Data!K435</f>
        <v>0.15</v>
      </c>
      <c r="L435" s="3">
        <f>Raw_Data!L435</f>
        <v>468.68</v>
      </c>
      <c r="M435" s="3">
        <f>Raw_Data!M435</f>
        <v>285.72000000000003</v>
      </c>
      <c r="N435" s="3">
        <f>Raw_Data!N435</f>
        <v>182.96</v>
      </c>
      <c r="O435" t="str">
        <f t="shared" si="18"/>
        <v>2025-06</v>
      </c>
      <c r="P435" s="5">
        <f t="shared" si="19"/>
        <v>0.39037296236237945</v>
      </c>
      <c r="Q435" s="3">
        <f t="shared" si="20"/>
        <v>468.68</v>
      </c>
    </row>
    <row r="436" spans="1:17" x14ac:dyDescent="0.35">
      <c r="A436" t="str">
        <f>Raw_Data!A436</f>
        <v>ORD-0985</v>
      </c>
      <c r="B436" s="2">
        <f>Raw_Data!B436</f>
        <v>45816</v>
      </c>
      <c r="C436" t="str">
        <f>Raw_Data!C436</f>
        <v>South</v>
      </c>
      <c r="D436" t="str">
        <f>Raw_Data!D436</f>
        <v>Hyderabad</v>
      </c>
      <c r="E436" t="str">
        <f>Raw_Data!E436</f>
        <v>Technology</v>
      </c>
      <c r="F436" t="str">
        <f>Raw_Data!F436</f>
        <v>USB Hub</v>
      </c>
      <c r="G436" t="str">
        <f>Raw_Data!G436</f>
        <v>Consumer</v>
      </c>
      <c r="H436" t="str">
        <f>Raw_Data!H436</f>
        <v>In-Store</v>
      </c>
      <c r="I436">
        <f>Raw_Data!I436</f>
        <v>2</v>
      </c>
      <c r="J436" s="3">
        <f>Raw_Data!J436</f>
        <v>24.22</v>
      </c>
      <c r="K436" s="4">
        <f>Raw_Data!K436</f>
        <v>0</v>
      </c>
      <c r="L436" s="3">
        <f>Raw_Data!L436</f>
        <v>48.44</v>
      </c>
      <c r="M436" s="3">
        <f>Raw_Data!M436</f>
        <v>36.82</v>
      </c>
      <c r="N436" s="3">
        <f>Raw_Data!N436</f>
        <v>11.62</v>
      </c>
      <c r="O436" t="str">
        <f t="shared" si="18"/>
        <v>2025-06</v>
      </c>
      <c r="P436" s="5">
        <f t="shared" si="19"/>
        <v>0.23988439306358381</v>
      </c>
      <c r="Q436" s="3">
        <f t="shared" si="20"/>
        <v>48.44</v>
      </c>
    </row>
    <row r="437" spans="1:17" x14ac:dyDescent="0.35">
      <c r="A437" t="str">
        <f>Raw_Data!A437</f>
        <v>ORD-0470</v>
      </c>
      <c r="B437" s="2">
        <f>Raw_Data!B437</f>
        <v>45816</v>
      </c>
      <c r="C437" t="str">
        <f>Raw_Data!C437</f>
        <v>South</v>
      </c>
      <c r="D437" t="str">
        <f>Raw_Data!D437</f>
        <v>Hyderabad</v>
      </c>
      <c r="E437" t="str">
        <f>Raw_Data!E437</f>
        <v>Office Supplies</v>
      </c>
      <c r="F437" t="str">
        <f>Raw_Data!F437</f>
        <v>Pen Set</v>
      </c>
      <c r="G437" t="str">
        <f>Raw_Data!G437</f>
        <v>Consumer</v>
      </c>
      <c r="H437" t="str">
        <f>Raw_Data!H437</f>
        <v>Online</v>
      </c>
      <c r="I437">
        <f>Raw_Data!I437</f>
        <v>12</v>
      </c>
      <c r="J437" s="3">
        <f>Raw_Data!J437</f>
        <v>7.6</v>
      </c>
      <c r="K437" s="4">
        <f>Raw_Data!K437</f>
        <v>0</v>
      </c>
      <c r="L437" s="3">
        <f>Raw_Data!L437</f>
        <v>91.2</v>
      </c>
      <c r="M437" s="3">
        <f>Raw_Data!M437</f>
        <v>47.37</v>
      </c>
      <c r="N437" s="3">
        <f>Raw_Data!N437</f>
        <v>43.83</v>
      </c>
      <c r="O437" t="str">
        <f t="shared" si="18"/>
        <v>2025-06</v>
      </c>
      <c r="P437" s="5">
        <f t="shared" si="19"/>
        <v>0.48059210526315788</v>
      </c>
      <c r="Q437" s="3">
        <f t="shared" si="20"/>
        <v>91.2</v>
      </c>
    </row>
    <row r="438" spans="1:17" x14ac:dyDescent="0.35">
      <c r="A438" t="str">
        <f>Raw_Data!A438</f>
        <v>ORD-0480</v>
      </c>
      <c r="B438" s="2">
        <f>Raw_Data!B438</f>
        <v>45817</v>
      </c>
      <c r="C438" t="str">
        <f>Raw_Data!C438</f>
        <v>South</v>
      </c>
      <c r="D438" t="str">
        <f>Raw_Data!D438</f>
        <v>Chennai</v>
      </c>
      <c r="E438" t="str">
        <f>Raw_Data!E438</f>
        <v>Home &amp; Kitchen</v>
      </c>
      <c r="F438" t="str">
        <f>Raw_Data!F438</f>
        <v>Coffee Maker</v>
      </c>
      <c r="G438" t="str">
        <f>Raw_Data!G438</f>
        <v>Consumer</v>
      </c>
      <c r="H438" t="str">
        <f>Raw_Data!H438</f>
        <v>In-Store</v>
      </c>
      <c r="I438">
        <f>Raw_Data!I438</f>
        <v>8</v>
      </c>
      <c r="J438" s="3">
        <f>Raw_Data!J438</f>
        <v>78.760000000000005</v>
      </c>
      <c r="K438" s="4">
        <f>Raw_Data!K438</f>
        <v>0</v>
      </c>
      <c r="L438" s="3">
        <f>Raw_Data!L438</f>
        <v>630.08000000000004</v>
      </c>
      <c r="M438" s="3">
        <f>Raw_Data!M438</f>
        <v>364.86</v>
      </c>
      <c r="N438" s="3">
        <f>Raw_Data!N438</f>
        <v>265.22000000000003</v>
      </c>
      <c r="O438" t="str">
        <f t="shared" si="18"/>
        <v>2025-06</v>
      </c>
      <c r="P438" s="5">
        <f t="shared" si="19"/>
        <v>0.42093067546978163</v>
      </c>
      <c r="Q438" s="3">
        <f t="shared" si="20"/>
        <v>630.08000000000004</v>
      </c>
    </row>
    <row r="439" spans="1:17" x14ac:dyDescent="0.35">
      <c r="A439" t="str">
        <f>Raw_Data!A439</f>
        <v>ORD-0364</v>
      </c>
      <c r="B439" s="2">
        <f>Raw_Data!B439</f>
        <v>45817</v>
      </c>
      <c r="C439" t="str">
        <f>Raw_Data!C439</f>
        <v>North</v>
      </c>
      <c r="D439" t="str">
        <f>Raw_Data!D439</f>
        <v>Chandigarh</v>
      </c>
      <c r="E439" t="str">
        <f>Raw_Data!E439</f>
        <v>Office Supplies</v>
      </c>
      <c r="F439" t="str">
        <f>Raw_Data!F439</f>
        <v>Notebook Pack</v>
      </c>
      <c r="G439" t="str">
        <f>Raw_Data!G439</f>
        <v>Small Business</v>
      </c>
      <c r="H439" t="str">
        <f>Raw_Data!H439</f>
        <v>In-Store</v>
      </c>
      <c r="I439">
        <f>Raw_Data!I439</f>
        <v>7</v>
      </c>
      <c r="J439" s="3">
        <f>Raw_Data!J439</f>
        <v>12.31</v>
      </c>
      <c r="K439" s="4">
        <f>Raw_Data!K439</f>
        <v>0.05</v>
      </c>
      <c r="L439" s="3">
        <f>Raw_Data!L439</f>
        <v>81.86</v>
      </c>
      <c r="M439" s="3">
        <f>Raw_Data!M439</f>
        <v>45.68</v>
      </c>
      <c r="N439" s="3">
        <f>Raw_Data!N439</f>
        <v>36.18</v>
      </c>
      <c r="O439" t="str">
        <f t="shared" si="18"/>
        <v>2025-06</v>
      </c>
      <c r="P439" s="5">
        <f t="shared" si="19"/>
        <v>0.44197410212558025</v>
      </c>
      <c r="Q439" s="3">
        <f t="shared" si="20"/>
        <v>81.86</v>
      </c>
    </row>
    <row r="440" spans="1:17" x14ac:dyDescent="0.35">
      <c r="A440" t="str">
        <f>Raw_Data!A440</f>
        <v>ORD-0028</v>
      </c>
      <c r="B440" s="2">
        <f>Raw_Data!B440</f>
        <v>45818</v>
      </c>
      <c r="C440" t="str">
        <f>Raw_Data!C440</f>
        <v>North</v>
      </c>
      <c r="D440" t="str">
        <f>Raw_Data!D440</f>
        <v>Jaipur</v>
      </c>
      <c r="E440" t="str">
        <f>Raw_Data!E440</f>
        <v>Office Supplies</v>
      </c>
      <c r="F440" t="str">
        <f>Raw_Data!F440</f>
        <v>Desk Organizer</v>
      </c>
      <c r="G440" t="str">
        <f>Raw_Data!G440</f>
        <v>Consumer</v>
      </c>
      <c r="H440" t="str">
        <f>Raw_Data!H440</f>
        <v>In-Store</v>
      </c>
      <c r="I440">
        <f>Raw_Data!I440</f>
        <v>7</v>
      </c>
      <c r="J440" s="3">
        <f>Raw_Data!J440</f>
        <v>18.809999999999999</v>
      </c>
      <c r="K440" s="4">
        <f>Raw_Data!K440</f>
        <v>0.05</v>
      </c>
      <c r="L440" s="3">
        <f>Raw_Data!L440</f>
        <v>125.09</v>
      </c>
      <c r="M440" s="3">
        <f>Raw_Data!M440</f>
        <v>81.260000000000005</v>
      </c>
      <c r="N440" s="3">
        <f>Raw_Data!N440</f>
        <v>43.83</v>
      </c>
      <c r="O440" t="str">
        <f t="shared" si="18"/>
        <v>2025-06</v>
      </c>
      <c r="P440" s="5">
        <f t="shared" si="19"/>
        <v>0.35038772084099445</v>
      </c>
      <c r="Q440" s="3">
        <f t="shared" si="20"/>
        <v>125.09</v>
      </c>
    </row>
    <row r="441" spans="1:17" x14ac:dyDescent="0.35">
      <c r="A441" t="str">
        <f>Raw_Data!A441</f>
        <v>ORD-0976</v>
      </c>
      <c r="B441" s="2">
        <f>Raw_Data!B441</f>
        <v>45818</v>
      </c>
      <c r="C441" t="str">
        <f>Raw_Data!C441</f>
        <v>South</v>
      </c>
      <c r="D441" t="str">
        <f>Raw_Data!D441</f>
        <v>Bengaluru</v>
      </c>
      <c r="E441" t="str">
        <f>Raw_Data!E441</f>
        <v>Home &amp; Kitchen</v>
      </c>
      <c r="F441" t="str">
        <f>Raw_Data!F441</f>
        <v>Lunch Box</v>
      </c>
      <c r="G441" t="str">
        <f>Raw_Data!G441</f>
        <v>Small Business</v>
      </c>
      <c r="H441" t="str">
        <f>Raw_Data!H441</f>
        <v>Online</v>
      </c>
      <c r="I441">
        <f>Raw_Data!I441</f>
        <v>3</v>
      </c>
      <c r="J441" s="3">
        <f>Raw_Data!J441</f>
        <v>17.38</v>
      </c>
      <c r="K441" s="4">
        <f>Raw_Data!K441</f>
        <v>0.05</v>
      </c>
      <c r="L441" s="3">
        <f>Raw_Data!L441</f>
        <v>49.53</v>
      </c>
      <c r="M441" s="3">
        <f>Raw_Data!M441</f>
        <v>35.14</v>
      </c>
      <c r="N441" s="3">
        <f>Raw_Data!N441</f>
        <v>14.39</v>
      </c>
      <c r="O441" t="str">
        <f t="shared" si="18"/>
        <v>2025-06</v>
      </c>
      <c r="P441" s="5">
        <f t="shared" si="19"/>
        <v>0.29053099131839288</v>
      </c>
      <c r="Q441" s="3">
        <f t="shared" si="20"/>
        <v>49.53</v>
      </c>
    </row>
    <row r="442" spans="1:17" x14ac:dyDescent="0.35">
      <c r="A442" t="str">
        <f>Raw_Data!A442</f>
        <v>ORD-0591</v>
      </c>
      <c r="B442" s="2">
        <f>Raw_Data!B442</f>
        <v>45818</v>
      </c>
      <c r="C442" t="str">
        <f>Raw_Data!C442</f>
        <v>West</v>
      </c>
      <c r="D442" t="str">
        <f>Raw_Data!D442</f>
        <v>Ahmedabad</v>
      </c>
      <c r="E442" t="str">
        <f>Raw_Data!E442</f>
        <v>Technology</v>
      </c>
      <c r="F442" t="str">
        <f>Raw_Data!F442</f>
        <v>Wireless Mouse</v>
      </c>
      <c r="G442" t="str">
        <f>Raw_Data!G442</f>
        <v>Small Business</v>
      </c>
      <c r="H442" t="str">
        <f>Raw_Data!H442</f>
        <v>Online</v>
      </c>
      <c r="I442">
        <f>Raw_Data!I442</f>
        <v>2</v>
      </c>
      <c r="J442" s="3">
        <f>Raw_Data!J442</f>
        <v>15.38</v>
      </c>
      <c r="K442" s="4">
        <f>Raw_Data!K442</f>
        <v>0</v>
      </c>
      <c r="L442" s="3">
        <f>Raw_Data!L442</f>
        <v>30.76</v>
      </c>
      <c r="M442" s="3">
        <f>Raw_Data!M442</f>
        <v>19.61</v>
      </c>
      <c r="N442" s="3">
        <f>Raw_Data!N442</f>
        <v>11.15</v>
      </c>
      <c r="O442" t="str">
        <f t="shared" si="18"/>
        <v>2025-06</v>
      </c>
      <c r="P442" s="5">
        <f t="shared" si="19"/>
        <v>0.36248374512353704</v>
      </c>
      <c r="Q442" s="3">
        <f t="shared" si="20"/>
        <v>30.76</v>
      </c>
    </row>
    <row r="443" spans="1:17" x14ac:dyDescent="0.35">
      <c r="A443" t="str">
        <f>Raw_Data!A443</f>
        <v>ORD-0887</v>
      </c>
      <c r="B443" s="2">
        <f>Raw_Data!B443</f>
        <v>45818</v>
      </c>
      <c r="C443" t="str">
        <f>Raw_Data!C443</f>
        <v>West</v>
      </c>
      <c r="D443" t="str">
        <f>Raw_Data!D443</f>
        <v>Pune</v>
      </c>
      <c r="E443" t="str">
        <f>Raw_Data!E443</f>
        <v>Home &amp; Kitchen</v>
      </c>
      <c r="F443" t="str">
        <f>Raw_Data!F443</f>
        <v>Water Bottle</v>
      </c>
      <c r="G443" t="str">
        <f>Raw_Data!G443</f>
        <v>Small Business</v>
      </c>
      <c r="H443" t="str">
        <f>Raw_Data!H443</f>
        <v>In-Store</v>
      </c>
      <c r="I443">
        <f>Raw_Data!I443</f>
        <v>5</v>
      </c>
      <c r="J443" s="3">
        <f>Raw_Data!J443</f>
        <v>13.95</v>
      </c>
      <c r="K443" s="4">
        <f>Raw_Data!K443</f>
        <v>0.15</v>
      </c>
      <c r="L443" s="3">
        <f>Raw_Data!L443</f>
        <v>59.29</v>
      </c>
      <c r="M443" s="3">
        <f>Raw_Data!M443</f>
        <v>37.450000000000003</v>
      </c>
      <c r="N443" s="3">
        <f>Raw_Data!N443</f>
        <v>21.84</v>
      </c>
      <c r="O443" t="str">
        <f t="shared" si="18"/>
        <v>2025-06</v>
      </c>
      <c r="P443" s="5">
        <f t="shared" si="19"/>
        <v>0.36835891381345925</v>
      </c>
      <c r="Q443" s="3">
        <f t="shared" si="20"/>
        <v>59.29</v>
      </c>
    </row>
    <row r="444" spans="1:17" x14ac:dyDescent="0.35">
      <c r="A444" t="str">
        <f>Raw_Data!A444</f>
        <v>ORD-0189</v>
      </c>
      <c r="B444" s="2">
        <f>Raw_Data!B444</f>
        <v>45818</v>
      </c>
      <c r="C444" t="str">
        <f>Raw_Data!C444</f>
        <v>West</v>
      </c>
      <c r="D444" t="str">
        <f>Raw_Data!D444</f>
        <v>Mumbai</v>
      </c>
      <c r="E444" t="str">
        <f>Raw_Data!E444</f>
        <v>Home &amp; Kitchen</v>
      </c>
      <c r="F444" t="str">
        <f>Raw_Data!F444</f>
        <v>Storage Box</v>
      </c>
      <c r="G444" t="str">
        <f>Raw_Data!G444</f>
        <v>Corporate</v>
      </c>
      <c r="H444" t="str">
        <f>Raw_Data!H444</f>
        <v>Marketplace</v>
      </c>
      <c r="I444">
        <f>Raw_Data!I444</f>
        <v>7</v>
      </c>
      <c r="J444" s="3">
        <f>Raw_Data!J444</f>
        <v>15.28</v>
      </c>
      <c r="K444" s="4">
        <f>Raw_Data!K444</f>
        <v>0.1</v>
      </c>
      <c r="L444" s="3">
        <f>Raw_Data!L444</f>
        <v>96.26</v>
      </c>
      <c r="M444" s="3">
        <f>Raw_Data!M444</f>
        <v>67.44</v>
      </c>
      <c r="N444" s="3">
        <f>Raw_Data!N444</f>
        <v>28.82</v>
      </c>
      <c r="O444" t="str">
        <f t="shared" si="18"/>
        <v>2025-06</v>
      </c>
      <c r="P444" s="5">
        <f t="shared" si="19"/>
        <v>0.29939746519842092</v>
      </c>
      <c r="Q444" s="3">
        <f t="shared" si="20"/>
        <v>96.26</v>
      </c>
    </row>
    <row r="445" spans="1:17" x14ac:dyDescent="0.35">
      <c r="A445" t="str">
        <f>Raw_Data!A445</f>
        <v>ORD-0009</v>
      </c>
      <c r="B445" s="2">
        <f>Raw_Data!B445</f>
        <v>45819</v>
      </c>
      <c r="C445" t="str">
        <f>Raw_Data!C445</f>
        <v>East</v>
      </c>
      <c r="D445" t="str">
        <f>Raw_Data!D445</f>
        <v>Bhubaneswar</v>
      </c>
      <c r="E445" t="str">
        <f>Raw_Data!E445</f>
        <v>Home &amp; Kitchen</v>
      </c>
      <c r="F445" t="str">
        <f>Raw_Data!F445</f>
        <v>Coffee Maker</v>
      </c>
      <c r="G445" t="str">
        <f>Raw_Data!G445</f>
        <v>Consumer</v>
      </c>
      <c r="H445" t="str">
        <f>Raw_Data!H445</f>
        <v>Marketplace</v>
      </c>
      <c r="I445">
        <f>Raw_Data!I445</f>
        <v>2</v>
      </c>
      <c r="J445" s="3">
        <f>Raw_Data!J445</f>
        <v>66.52</v>
      </c>
      <c r="K445" s="4">
        <f>Raw_Data!K445</f>
        <v>0.15</v>
      </c>
      <c r="L445" s="3">
        <f>Raw_Data!L445</f>
        <v>113.08</v>
      </c>
      <c r="M445" s="3">
        <f>Raw_Data!M445</f>
        <v>98.84</v>
      </c>
      <c r="N445" s="3">
        <f>Raw_Data!N445</f>
        <v>14.24</v>
      </c>
      <c r="O445" t="str">
        <f t="shared" si="18"/>
        <v>2025-06</v>
      </c>
      <c r="P445" s="5">
        <f t="shared" si="19"/>
        <v>0.12592854616200921</v>
      </c>
      <c r="Q445" s="3">
        <f t="shared" si="20"/>
        <v>113.08</v>
      </c>
    </row>
    <row r="446" spans="1:17" x14ac:dyDescent="0.35">
      <c r="A446" t="str">
        <f>Raw_Data!A446</f>
        <v>ORD-0304</v>
      </c>
      <c r="B446" s="2">
        <f>Raw_Data!B446</f>
        <v>45819</v>
      </c>
      <c r="C446" t="str">
        <f>Raw_Data!C446</f>
        <v>South</v>
      </c>
      <c r="D446" t="str">
        <f>Raw_Data!D446</f>
        <v>Bengaluru</v>
      </c>
      <c r="E446" t="str">
        <f>Raw_Data!E446</f>
        <v>Home &amp; Kitchen</v>
      </c>
      <c r="F446" t="str">
        <f>Raw_Data!F446</f>
        <v>Coffee Maker</v>
      </c>
      <c r="G446" t="str">
        <f>Raw_Data!G446</f>
        <v>Consumer</v>
      </c>
      <c r="H446" t="str">
        <f>Raw_Data!H446</f>
        <v>Marketplace</v>
      </c>
      <c r="I446">
        <f>Raw_Data!I446</f>
        <v>6</v>
      </c>
      <c r="J446" s="3">
        <f>Raw_Data!J446</f>
        <v>72.61</v>
      </c>
      <c r="K446" s="4">
        <f>Raw_Data!K446</f>
        <v>0</v>
      </c>
      <c r="L446" s="3">
        <f>Raw_Data!L446</f>
        <v>435.66</v>
      </c>
      <c r="M446" s="3">
        <f>Raw_Data!M446</f>
        <v>218.88</v>
      </c>
      <c r="N446" s="3">
        <f>Raw_Data!N446</f>
        <v>216.78</v>
      </c>
      <c r="O446" t="str">
        <f t="shared" si="18"/>
        <v>2025-06</v>
      </c>
      <c r="P446" s="5">
        <f t="shared" si="19"/>
        <v>0.4975898636551439</v>
      </c>
      <c r="Q446" s="3">
        <f t="shared" si="20"/>
        <v>435.66</v>
      </c>
    </row>
    <row r="447" spans="1:17" x14ac:dyDescent="0.35">
      <c r="A447" t="str">
        <f>Raw_Data!A447</f>
        <v>ORD-0158</v>
      </c>
      <c r="B447" s="2">
        <f>Raw_Data!B447</f>
        <v>45819</v>
      </c>
      <c r="C447" t="str">
        <f>Raw_Data!C447</f>
        <v>South</v>
      </c>
      <c r="D447" t="str">
        <f>Raw_Data!D447</f>
        <v>Bengaluru</v>
      </c>
      <c r="E447" t="str">
        <f>Raw_Data!E447</f>
        <v>Furniture</v>
      </c>
      <c r="F447" t="str">
        <f>Raw_Data!F447</f>
        <v>Standing Desk</v>
      </c>
      <c r="G447" t="str">
        <f>Raw_Data!G447</f>
        <v>Small Business</v>
      </c>
      <c r="H447" t="str">
        <f>Raw_Data!H447</f>
        <v>In-Store</v>
      </c>
      <c r="I447">
        <f>Raw_Data!I447</f>
        <v>9</v>
      </c>
      <c r="J447" s="3">
        <f>Raw_Data!J447</f>
        <v>264.08</v>
      </c>
      <c r="K447" s="4">
        <f>Raw_Data!K447</f>
        <v>0</v>
      </c>
      <c r="L447" s="3">
        <f>Raw_Data!L447</f>
        <v>2376.7199999999998</v>
      </c>
      <c r="M447" s="3">
        <f>Raw_Data!M447</f>
        <v>1677.93</v>
      </c>
      <c r="N447" s="3">
        <f>Raw_Data!N447</f>
        <v>698.79</v>
      </c>
      <c r="O447" t="str">
        <f t="shared" si="18"/>
        <v>2025-06</v>
      </c>
      <c r="P447" s="5">
        <f t="shared" si="19"/>
        <v>0.29401444006866606</v>
      </c>
      <c r="Q447" s="3">
        <f t="shared" si="20"/>
        <v>2376.7199999999998</v>
      </c>
    </row>
    <row r="448" spans="1:17" x14ac:dyDescent="0.35">
      <c r="A448" t="str">
        <f>Raw_Data!A448</f>
        <v>ORD-0779</v>
      </c>
      <c r="B448" s="2">
        <f>Raw_Data!B448</f>
        <v>45820</v>
      </c>
      <c r="C448" t="str">
        <f>Raw_Data!C448</f>
        <v>North</v>
      </c>
      <c r="D448" t="str">
        <f>Raw_Data!D448</f>
        <v>Jaipur</v>
      </c>
      <c r="E448" t="str">
        <f>Raw_Data!E448</f>
        <v>Home &amp; Kitchen</v>
      </c>
      <c r="F448" t="str">
        <f>Raw_Data!F448</f>
        <v>Lunch Box</v>
      </c>
      <c r="G448" t="str">
        <f>Raw_Data!G448</f>
        <v>Small Business</v>
      </c>
      <c r="H448" t="str">
        <f>Raw_Data!H448</f>
        <v>Marketplace</v>
      </c>
      <c r="I448">
        <f>Raw_Data!I448</f>
        <v>2</v>
      </c>
      <c r="J448" s="3">
        <f>Raw_Data!J448</f>
        <v>20.39</v>
      </c>
      <c r="K448" s="4">
        <f>Raw_Data!K448</f>
        <v>0.1</v>
      </c>
      <c r="L448" s="3">
        <f>Raw_Data!L448</f>
        <v>36.700000000000003</v>
      </c>
      <c r="M448" s="3">
        <f>Raw_Data!M448</f>
        <v>27.33</v>
      </c>
      <c r="N448" s="3">
        <f>Raw_Data!N448</f>
        <v>9.3699999999999992</v>
      </c>
      <c r="O448" t="str">
        <f t="shared" si="18"/>
        <v>2025-06</v>
      </c>
      <c r="P448" s="5">
        <f t="shared" si="19"/>
        <v>0.25531335149863754</v>
      </c>
      <c r="Q448" s="3">
        <f t="shared" si="20"/>
        <v>36.700000000000003</v>
      </c>
    </row>
    <row r="449" spans="1:17" x14ac:dyDescent="0.35">
      <c r="A449" t="str">
        <f>Raw_Data!A449</f>
        <v>ORD-0286</v>
      </c>
      <c r="B449" s="2">
        <f>Raw_Data!B449</f>
        <v>45820</v>
      </c>
      <c r="C449" t="str">
        <f>Raw_Data!C449</f>
        <v>West</v>
      </c>
      <c r="D449" t="str">
        <f>Raw_Data!D449</f>
        <v>Ahmedabad</v>
      </c>
      <c r="E449" t="str">
        <f>Raw_Data!E449</f>
        <v>Office Supplies</v>
      </c>
      <c r="F449" t="str">
        <f>Raw_Data!F449</f>
        <v>Printer Paper</v>
      </c>
      <c r="G449" t="str">
        <f>Raw_Data!G449</f>
        <v>Consumer</v>
      </c>
      <c r="H449" t="str">
        <f>Raw_Data!H449</f>
        <v>Online</v>
      </c>
      <c r="I449">
        <f>Raw_Data!I449</f>
        <v>10</v>
      </c>
      <c r="J449" s="3">
        <f>Raw_Data!J449</f>
        <v>14.96</v>
      </c>
      <c r="K449" s="4">
        <f>Raw_Data!K449</f>
        <v>0.15</v>
      </c>
      <c r="L449" s="3">
        <f>Raw_Data!L449</f>
        <v>127.16</v>
      </c>
      <c r="M449" s="3">
        <f>Raw_Data!M449</f>
        <v>102.46</v>
      </c>
      <c r="N449" s="3">
        <f>Raw_Data!N449</f>
        <v>24.7</v>
      </c>
      <c r="O449" t="str">
        <f t="shared" si="18"/>
        <v>2025-06</v>
      </c>
      <c r="P449" s="5">
        <f t="shared" si="19"/>
        <v>0.19424347279018558</v>
      </c>
      <c r="Q449" s="3">
        <f t="shared" si="20"/>
        <v>127.16</v>
      </c>
    </row>
    <row r="450" spans="1:17" x14ac:dyDescent="0.35">
      <c r="A450" t="str">
        <f>Raw_Data!A450</f>
        <v>ORD-0317</v>
      </c>
      <c r="B450" s="2">
        <f>Raw_Data!B450</f>
        <v>45820</v>
      </c>
      <c r="C450" t="str">
        <f>Raw_Data!C450</f>
        <v>South</v>
      </c>
      <c r="D450" t="str">
        <f>Raw_Data!D450</f>
        <v>Chennai</v>
      </c>
      <c r="E450" t="str">
        <f>Raw_Data!E450</f>
        <v>Furniture</v>
      </c>
      <c r="F450" t="str">
        <f>Raw_Data!F450</f>
        <v>Office Chair</v>
      </c>
      <c r="G450" t="str">
        <f>Raw_Data!G450</f>
        <v>Small Business</v>
      </c>
      <c r="H450" t="str">
        <f>Raw_Data!H450</f>
        <v>Marketplace</v>
      </c>
      <c r="I450">
        <f>Raw_Data!I450</f>
        <v>12</v>
      </c>
      <c r="J450" s="3">
        <f>Raw_Data!J450</f>
        <v>158.80000000000001</v>
      </c>
      <c r="K450" s="4">
        <f>Raw_Data!K450</f>
        <v>0.15</v>
      </c>
      <c r="L450" s="3">
        <f>Raw_Data!L450</f>
        <v>1619.76</v>
      </c>
      <c r="M450" s="3">
        <f>Raw_Data!M450</f>
        <v>1236.8900000000001</v>
      </c>
      <c r="N450" s="3">
        <f>Raw_Data!N450</f>
        <v>382.87</v>
      </c>
      <c r="O450" t="str">
        <f t="shared" ref="O450:O513" si="21">TEXT(B450,"yyyy-mm")</f>
        <v>2025-06</v>
      </c>
      <c r="P450" s="5">
        <f t="shared" ref="P450:P513" si="22">IFERROR(N450/L450,0)</f>
        <v>0.2363745246209315</v>
      </c>
      <c r="Q450" s="3">
        <f t="shared" ref="Q450:Q513" si="23">IFERROR(L450,0)</f>
        <v>1619.76</v>
      </c>
    </row>
    <row r="451" spans="1:17" x14ac:dyDescent="0.35">
      <c r="A451" t="str">
        <f>Raw_Data!A451</f>
        <v>ORD-0998</v>
      </c>
      <c r="B451" s="2">
        <f>Raw_Data!B451</f>
        <v>45820</v>
      </c>
      <c r="C451" t="str">
        <f>Raw_Data!C451</f>
        <v>North</v>
      </c>
      <c r="D451" t="str">
        <f>Raw_Data!D451</f>
        <v>Chandigarh</v>
      </c>
      <c r="E451" t="str">
        <f>Raw_Data!E451</f>
        <v>Technology</v>
      </c>
      <c r="F451" t="str">
        <f>Raw_Data!F451</f>
        <v>Keyboard</v>
      </c>
      <c r="G451" t="str">
        <f>Raw_Data!G451</f>
        <v>Corporate</v>
      </c>
      <c r="H451" t="str">
        <f>Raw_Data!H451</f>
        <v>In-Store</v>
      </c>
      <c r="I451">
        <f>Raw_Data!I451</f>
        <v>8</v>
      </c>
      <c r="J451" s="3">
        <f>Raw_Data!J451</f>
        <v>37.659999999999997</v>
      </c>
      <c r="K451" s="4">
        <f>Raw_Data!K451</f>
        <v>0.1</v>
      </c>
      <c r="L451" s="3">
        <f>Raw_Data!L451</f>
        <v>271.14999999999998</v>
      </c>
      <c r="M451" s="3">
        <f>Raw_Data!M451</f>
        <v>222.73</v>
      </c>
      <c r="N451" s="3">
        <f>Raw_Data!N451</f>
        <v>48.42</v>
      </c>
      <c r="O451" t="str">
        <f t="shared" si="21"/>
        <v>2025-06</v>
      </c>
      <c r="P451" s="5">
        <f t="shared" si="22"/>
        <v>0.17857274571270518</v>
      </c>
      <c r="Q451" s="3">
        <f t="shared" si="23"/>
        <v>271.14999999999998</v>
      </c>
    </row>
    <row r="452" spans="1:17" x14ac:dyDescent="0.35">
      <c r="A452" t="str">
        <f>Raw_Data!A452</f>
        <v>ORD-0217</v>
      </c>
      <c r="B452" s="2">
        <f>Raw_Data!B452</f>
        <v>45821</v>
      </c>
      <c r="C452" t="str">
        <f>Raw_Data!C452</f>
        <v>East</v>
      </c>
      <c r="D452" t="str">
        <f>Raw_Data!D452</f>
        <v>Guwahati</v>
      </c>
      <c r="E452" t="str">
        <f>Raw_Data!E452</f>
        <v>Furniture</v>
      </c>
      <c r="F452" t="str">
        <f>Raw_Data!F452</f>
        <v>Desk Lamp</v>
      </c>
      <c r="G452" t="str">
        <f>Raw_Data!G452</f>
        <v>Small Business</v>
      </c>
      <c r="H452" t="str">
        <f>Raw_Data!H452</f>
        <v>Online</v>
      </c>
      <c r="I452">
        <f>Raw_Data!I452</f>
        <v>5</v>
      </c>
      <c r="J452" s="3">
        <f>Raw_Data!J452</f>
        <v>43.95</v>
      </c>
      <c r="K452" s="4">
        <f>Raw_Data!K452</f>
        <v>0.15</v>
      </c>
      <c r="L452" s="3">
        <f>Raw_Data!L452</f>
        <v>186.79</v>
      </c>
      <c r="M452" s="3">
        <f>Raw_Data!M452</f>
        <v>120.05</v>
      </c>
      <c r="N452" s="3">
        <f>Raw_Data!N452</f>
        <v>66.739999999999995</v>
      </c>
      <c r="O452" t="str">
        <f t="shared" si="21"/>
        <v>2025-06</v>
      </c>
      <c r="P452" s="5">
        <f t="shared" si="22"/>
        <v>0.35729964130842123</v>
      </c>
      <c r="Q452" s="3">
        <f t="shared" si="23"/>
        <v>186.79</v>
      </c>
    </row>
    <row r="453" spans="1:17" x14ac:dyDescent="0.35">
      <c r="A453" t="str">
        <f>Raw_Data!A453</f>
        <v>ORD-0044</v>
      </c>
      <c r="B453" s="2">
        <f>Raw_Data!B453</f>
        <v>45822</v>
      </c>
      <c r="C453" t="str">
        <f>Raw_Data!C453</f>
        <v>South</v>
      </c>
      <c r="D453" t="str">
        <f>Raw_Data!D453</f>
        <v>Chennai</v>
      </c>
      <c r="E453" t="str">
        <f>Raw_Data!E453</f>
        <v>Home &amp; Kitchen</v>
      </c>
      <c r="F453" t="str">
        <f>Raw_Data!F453</f>
        <v>Lunch Box</v>
      </c>
      <c r="G453" t="str">
        <f>Raw_Data!G453</f>
        <v>Corporate</v>
      </c>
      <c r="H453" t="str">
        <f>Raw_Data!H453</f>
        <v>Online</v>
      </c>
      <c r="I453">
        <f>Raw_Data!I453</f>
        <v>8</v>
      </c>
      <c r="J453" s="3">
        <f>Raw_Data!J453</f>
        <v>21.73</v>
      </c>
      <c r="K453" s="4">
        <f>Raw_Data!K453</f>
        <v>0.15</v>
      </c>
      <c r="L453" s="3">
        <f>Raw_Data!L453</f>
        <v>147.76</v>
      </c>
      <c r="M453" s="3">
        <f>Raw_Data!M453</f>
        <v>108.12</v>
      </c>
      <c r="N453" s="3">
        <f>Raw_Data!N453</f>
        <v>39.64</v>
      </c>
      <c r="O453" t="str">
        <f t="shared" si="21"/>
        <v>2025-06</v>
      </c>
      <c r="P453" s="5">
        <f t="shared" si="22"/>
        <v>0.26827287493232271</v>
      </c>
      <c r="Q453" s="3">
        <f t="shared" si="23"/>
        <v>147.76</v>
      </c>
    </row>
    <row r="454" spans="1:17" x14ac:dyDescent="0.35">
      <c r="A454" t="str">
        <f>Raw_Data!A454</f>
        <v>ORD-0224</v>
      </c>
      <c r="B454" s="2">
        <f>Raw_Data!B454</f>
        <v>45822</v>
      </c>
      <c r="C454" t="str">
        <f>Raw_Data!C454</f>
        <v>East</v>
      </c>
      <c r="D454" t="str">
        <f>Raw_Data!D454</f>
        <v>Bhubaneswar</v>
      </c>
      <c r="E454" t="str">
        <f>Raw_Data!E454</f>
        <v>Furniture</v>
      </c>
      <c r="F454" t="str">
        <f>Raw_Data!F454</f>
        <v>Standing Desk</v>
      </c>
      <c r="G454" t="str">
        <f>Raw_Data!G454</f>
        <v>Corporate</v>
      </c>
      <c r="H454" t="str">
        <f>Raw_Data!H454</f>
        <v>In-Store</v>
      </c>
      <c r="I454">
        <f>Raw_Data!I454</f>
        <v>8</v>
      </c>
      <c r="J454" s="3">
        <f>Raw_Data!J454</f>
        <v>269.56</v>
      </c>
      <c r="K454" s="4">
        <f>Raw_Data!K454</f>
        <v>0.05</v>
      </c>
      <c r="L454" s="3">
        <f>Raw_Data!L454</f>
        <v>2048.66</v>
      </c>
      <c r="M454" s="3">
        <f>Raw_Data!M454</f>
        <v>1234.6400000000001</v>
      </c>
      <c r="N454" s="3">
        <f>Raw_Data!N454</f>
        <v>814.02</v>
      </c>
      <c r="O454" t="str">
        <f t="shared" si="21"/>
        <v>2025-06</v>
      </c>
      <c r="P454" s="5">
        <f t="shared" si="22"/>
        <v>0.39734265324651236</v>
      </c>
      <c r="Q454" s="3">
        <f t="shared" si="23"/>
        <v>2048.66</v>
      </c>
    </row>
    <row r="455" spans="1:17" x14ac:dyDescent="0.35">
      <c r="A455" t="str">
        <f>Raw_Data!A455</f>
        <v>ORD-0534</v>
      </c>
      <c r="B455" s="2">
        <f>Raw_Data!B455</f>
        <v>45823</v>
      </c>
      <c r="C455" t="str">
        <f>Raw_Data!C455</f>
        <v>North</v>
      </c>
      <c r="D455" t="str">
        <f>Raw_Data!D455</f>
        <v>Chandigarh</v>
      </c>
      <c r="E455" t="str">
        <f>Raw_Data!E455</f>
        <v>Office Supplies</v>
      </c>
      <c r="F455" t="str">
        <f>Raw_Data!F455</f>
        <v>Notebook Pack</v>
      </c>
      <c r="G455" t="str">
        <f>Raw_Data!G455</f>
        <v>Corporate</v>
      </c>
      <c r="H455" t="str">
        <f>Raw_Data!H455</f>
        <v>Marketplace</v>
      </c>
      <c r="I455">
        <f>Raw_Data!I455</f>
        <v>2</v>
      </c>
      <c r="J455" s="3">
        <f>Raw_Data!J455</f>
        <v>10.68</v>
      </c>
      <c r="K455" s="4">
        <f>Raw_Data!K455</f>
        <v>0.1</v>
      </c>
      <c r="L455" s="3">
        <f>Raw_Data!L455</f>
        <v>19.22</v>
      </c>
      <c r="M455" s="3">
        <f>Raw_Data!M455</f>
        <v>14.32</v>
      </c>
      <c r="N455" s="3">
        <f>Raw_Data!N455</f>
        <v>4.9000000000000004</v>
      </c>
      <c r="O455" t="str">
        <f t="shared" si="21"/>
        <v>2025-06</v>
      </c>
      <c r="P455" s="5">
        <f t="shared" si="22"/>
        <v>0.25494276795005205</v>
      </c>
      <c r="Q455" s="3">
        <f t="shared" si="23"/>
        <v>19.22</v>
      </c>
    </row>
    <row r="456" spans="1:17" x14ac:dyDescent="0.35">
      <c r="A456" t="str">
        <f>Raw_Data!A456</f>
        <v>ORD-0426</v>
      </c>
      <c r="B456" s="2">
        <f>Raw_Data!B456</f>
        <v>45823</v>
      </c>
      <c r="C456" t="str">
        <f>Raw_Data!C456</f>
        <v>West</v>
      </c>
      <c r="D456" t="str">
        <f>Raw_Data!D456</f>
        <v>Pune</v>
      </c>
      <c r="E456" t="str">
        <f>Raw_Data!E456</f>
        <v>Technology</v>
      </c>
      <c r="F456" t="str">
        <f>Raw_Data!F456</f>
        <v>Headphones</v>
      </c>
      <c r="G456" t="str">
        <f>Raw_Data!G456</f>
        <v>Corporate</v>
      </c>
      <c r="H456" t="str">
        <f>Raw_Data!H456</f>
        <v>In-Store</v>
      </c>
      <c r="I456">
        <f>Raw_Data!I456</f>
        <v>12</v>
      </c>
      <c r="J456" s="3">
        <f>Raw_Data!J456</f>
        <v>51.82</v>
      </c>
      <c r="K456" s="4">
        <f>Raw_Data!K456</f>
        <v>0.15</v>
      </c>
      <c r="L456" s="3">
        <f>Raw_Data!L456</f>
        <v>528.55999999999995</v>
      </c>
      <c r="M456" s="3">
        <f>Raw_Data!M456</f>
        <v>404.85</v>
      </c>
      <c r="N456" s="3">
        <f>Raw_Data!N456</f>
        <v>123.71</v>
      </c>
      <c r="O456" t="str">
        <f t="shared" si="21"/>
        <v>2025-06</v>
      </c>
      <c r="P456" s="5">
        <f t="shared" si="22"/>
        <v>0.23405100650824884</v>
      </c>
      <c r="Q456" s="3">
        <f t="shared" si="23"/>
        <v>528.55999999999995</v>
      </c>
    </row>
    <row r="457" spans="1:17" x14ac:dyDescent="0.35">
      <c r="A457" t="str">
        <f>Raw_Data!A457</f>
        <v>ORD-0595</v>
      </c>
      <c r="B457" s="2">
        <f>Raw_Data!B457</f>
        <v>45823</v>
      </c>
      <c r="C457" t="str">
        <f>Raw_Data!C457</f>
        <v>East</v>
      </c>
      <c r="D457" t="str">
        <f>Raw_Data!D457</f>
        <v>Bhubaneswar</v>
      </c>
      <c r="E457" t="str">
        <f>Raw_Data!E457</f>
        <v>Furniture</v>
      </c>
      <c r="F457" t="str">
        <f>Raw_Data!F457</f>
        <v>Desk Lamp</v>
      </c>
      <c r="G457" t="str">
        <f>Raw_Data!G457</f>
        <v>Consumer</v>
      </c>
      <c r="H457" t="str">
        <f>Raw_Data!H457</f>
        <v>In-Store</v>
      </c>
      <c r="I457">
        <f>Raw_Data!I457</f>
        <v>2</v>
      </c>
      <c r="J457" s="3">
        <f>Raw_Data!J457</f>
        <v>35.99</v>
      </c>
      <c r="K457" s="4">
        <f>Raw_Data!K457</f>
        <v>0</v>
      </c>
      <c r="L457" s="3">
        <f>Raw_Data!L457</f>
        <v>71.98</v>
      </c>
      <c r="M457" s="3">
        <f>Raw_Data!M457</f>
        <v>42.82</v>
      </c>
      <c r="N457" s="3">
        <f>Raw_Data!N457</f>
        <v>29.16</v>
      </c>
      <c r="O457" t="str">
        <f t="shared" si="21"/>
        <v>2025-06</v>
      </c>
      <c r="P457" s="5">
        <f t="shared" si="22"/>
        <v>0.40511253125868296</v>
      </c>
      <c r="Q457" s="3">
        <f t="shared" si="23"/>
        <v>71.98</v>
      </c>
    </row>
    <row r="458" spans="1:17" x14ac:dyDescent="0.35">
      <c r="A458" t="str">
        <f>Raw_Data!A458</f>
        <v>ORD-0173</v>
      </c>
      <c r="B458" s="2">
        <f>Raw_Data!B458</f>
        <v>45823</v>
      </c>
      <c r="C458" t="str">
        <f>Raw_Data!C458</f>
        <v>East</v>
      </c>
      <c r="D458" t="str">
        <f>Raw_Data!D458</f>
        <v>Bhubaneswar</v>
      </c>
      <c r="E458" t="str">
        <f>Raw_Data!E458</f>
        <v>Office Supplies</v>
      </c>
      <c r="F458" t="str">
        <f>Raw_Data!F458</f>
        <v>Desk Organizer</v>
      </c>
      <c r="G458" t="str">
        <f>Raw_Data!G458</f>
        <v>Consumer</v>
      </c>
      <c r="H458" t="str">
        <f>Raw_Data!H458</f>
        <v>Marketplace</v>
      </c>
      <c r="I458">
        <f>Raw_Data!I458</f>
        <v>9</v>
      </c>
      <c r="J458" s="3">
        <f>Raw_Data!J458</f>
        <v>24.43</v>
      </c>
      <c r="K458" s="4">
        <f>Raw_Data!K458</f>
        <v>0</v>
      </c>
      <c r="L458" s="3">
        <f>Raw_Data!L458</f>
        <v>219.87</v>
      </c>
      <c r="M458" s="3">
        <f>Raw_Data!M458</f>
        <v>122.07</v>
      </c>
      <c r="N458" s="3">
        <f>Raw_Data!N458</f>
        <v>97.8</v>
      </c>
      <c r="O458" t="str">
        <f t="shared" si="21"/>
        <v>2025-06</v>
      </c>
      <c r="P458" s="5">
        <f t="shared" si="22"/>
        <v>0.4448082958111611</v>
      </c>
      <c r="Q458" s="3">
        <f t="shared" si="23"/>
        <v>219.87</v>
      </c>
    </row>
    <row r="459" spans="1:17" x14ac:dyDescent="0.35">
      <c r="A459" t="str">
        <f>Raw_Data!A459</f>
        <v>ORD-0618</v>
      </c>
      <c r="B459" s="2">
        <f>Raw_Data!B459</f>
        <v>45824</v>
      </c>
      <c r="C459" t="str">
        <f>Raw_Data!C459</f>
        <v>South</v>
      </c>
      <c r="D459" t="str">
        <f>Raw_Data!D459</f>
        <v>Bengaluru</v>
      </c>
      <c r="E459" t="str">
        <f>Raw_Data!E459</f>
        <v>Office Supplies</v>
      </c>
      <c r="F459" t="str">
        <f>Raw_Data!F459</f>
        <v>Notebook Pack</v>
      </c>
      <c r="G459" t="str">
        <f>Raw_Data!G459</f>
        <v>Small Business</v>
      </c>
      <c r="H459" t="str">
        <f>Raw_Data!H459</f>
        <v>Online</v>
      </c>
      <c r="I459">
        <f>Raw_Data!I459</f>
        <v>6</v>
      </c>
      <c r="J459" s="3">
        <f>Raw_Data!J459</f>
        <v>11.16</v>
      </c>
      <c r="K459" s="4">
        <f>Raw_Data!K459</f>
        <v>0</v>
      </c>
      <c r="L459" s="3">
        <f>Raw_Data!L459</f>
        <v>66.959999999999994</v>
      </c>
      <c r="M459" s="3">
        <f>Raw_Data!M459</f>
        <v>46.96</v>
      </c>
      <c r="N459" s="3">
        <f>Raw_Data!N459</f>
        <v>20</v>
      </c>
      <c r="O459" t="str">
        <f t="shared" si="21"/>
        <v>2025-06</v>
      </c>
      <c r="P459" s="5">
        <f t="shared" si="22"/>
        <v>0.29868578255675032</v>
      </c>
      <c r="Q459" s="3">
        <f t="shared" si="23"/>
        <v>66.959999999999994</v>
      </c>
    </row>
    <row r="460" spans="1:17" x14ac:dyDescent="0.35">
      <c r="A460" t="str">
        <f>Raw_Data!A460</f>
        <v>ORD-0829</v>
      </c>
      <c r="B460" s="2">
        <f>Raw_Data!B460</f>
        <v>45824</v>
      </c>
      <c r="C460" t="str">
        <f>Raw_Data!C460</f>
        <v>West</v>
      </c>
      <c r="D460" t="str">
        <f>Raw_Data!D460</f>
        <v>Pune</v>
      </c>
      <c r="E460" t="str">
        <f>Raw_Data!E460</f>
        <v>Technology</v>
      </c>
      <c r="F460" t="str">
        <f>Raw_Data!F460</f>
        <v>Wireless Mouse</v>
      </c>
      <c r="G460" t="str">
        <f>Raw_Data!G460</f>
        <v>Small Business</v>
      </c>
      <c r="H460" t="str">
        <f>Raw_Data!H460</f>
        <v>Online</v>
      </c>
      <c r="I460">
        <f>Raw_Data!I460</f>
        <v>3</v>
      </c>
      <c r="J460" s="3">
        <f>Raw_Data!J460</f>
        <v>16.27</v>
      </c>
      <c r="K460" s="4">
        <f>Raw_Data!K460</f>
        <v>0.05</v>
      </c>
      <c r="L460" s="3">
        <f>Raw_Data!L460</f>
        <v>46.37</v>
      </c>
      <c r="M460" s="3">
        <f>Raw_Data!M460</f>
        <v>31.75</v>
      </c>
      <c r="N460" s="3">
        <f>Raw_Data!N460</f>
        <v>14.62</v>
      </c>
      <c r="O460" t="str">
        <f t="shared" si="21"/>
        <v>2025-06</v>
      </c>
      <c r="P460" s="5">
        <f t="shared" si="22"/>
        <v>0.31529005822730216</v>
      </c>
      <c r="Q460" s="3">
        <f t="shared" si="23"/>
        <v>46.37</v>
      </c>
    </row>
    <row r="461" spans="1:17" x14ac:dyDescent="0.35">
      <c r="A461" t="str">
        <f>Raw_Data!A461</f>
        <v>ORD-0298</v>
      </c>
      <c r="B461" s="2">
        <f>Raw_Data!B461</f>
        <v>45825</v>
      </c>
      <c r="C461" t="str">
        <f>Raw_Data!C461</f>
        <v>East</v>
      </c>
      <c r="D461" t="str">
        <f>Raw_Data!D461</f>
        <v>Kolkata</v>
      </c>
      <c r="E461" t="str">
        <f>Raw_Data!E461</f>
        <v>Technology</v>
      </c>
      <c r="F461" t="str">
        <f>Raw_Data!F461</f>
        <v>USB Hub</v>
      </c>
      <c r="G461" t="str">
        <f>Raw_Data!G461</f>
        <v>Corporate</v>
      </c>
      <c r="H461" t="str">
        <f>Raw_Data!H461</f>
        <v>Marketplace</v>
      </c>
      <c r="I461">
        <f>Raw_Data!I461</f>
        <v>1</v>
      </c>
      <c r="J461" s="3">
        <f>Raw_Data!J461</f>
        <v>23.5</v>
      </c>
      <c r="K461" s="4">
        <f>Raw_Data!K461</f>
        <v>0.05</v>
      </c>
      <c r="L461" s="3">
        <f>Raw_Data!L461</f>
        <v>22.32</v>
      </c>
      <c r="M461" s="3">
        <f>Raw_Data!M461</f>
        <v>15.25</v>
      </c>
      <c r="N461" s="3">
        <f>Raw_Data!N461</f>
        <v>7.07</v>
      </c>
      <c r="O461" t="str">
        <f t="shared" si="21"/>
        <v>2025-06</v>
      </c>
      <c r="P461" s="5">
        <f t="shared" si="22"/>
        <v>0.31675627240143372</v>
      </c>
      <c r="Q461" s="3">
        <f t="shared" si="23"/>
        <v>22.32</v>
      </c>
    </row>
    <row r="462" spans="1:17" x14ac:dyDescent="0.35">
      <c r="A462" t="str">
        <f>Raw_Data!A462</f>
        <v>ORD-0816</v>
      </c>
      <c r="B462" s="2">
        <f>Raw_Data!B462</f>
        <v>45825</v>
      </c>
      <c r="C462" t="str">
        <f>Raw_Data!C462</f>
        <v>West</v>
      </c>
      <c r="D462" t="str">
        <f>Raw_Data!D462</f>
        <v>Mumbai</v>
      </c>
      <c r="E462" t="str">
        <f>Raw_Data!E462</f>
        <v>Office Supplies</v>
      </c>
      <c r="F462" t="str">
        <f>Raw_Data!F462</f>
        <v>Notebook Pack</v>
      </c>
      <c r="G462" t="str">
        <f>Raw_Data!G462</f>
        <v>Consumer</v>
      </c>
      <c r="H462" t="str">
        <f>Raw_Data!H462</f>
        <v>Marketplace</v>
      </c>
      <c r="I462">
        <f>Raw_Data!I462</f>
        <v>11</v>
      </c>
      <c r="J462" s="3">
        <f>Raw_Data!J462</f>
        <v>13.54</v>
      </c>
      <c r="K462" s="4">
        <f>Raw_Data!K462</f>
        <v>0</v>
      </c>
      <c r="L462" s="3">
        <f>Raw_Data!L462</f>
        <v>148.94</v>
      </c>
      <c r="M462" s="3">
        <f>Raw_Data!M462</f>
        <v>109.54</v>
      </c>
      <c r="N462" s="3">
        <f>Raw_Data!N462</f>
        <v>39.4</v>
      </c>
      <c r="O462" t="str">
        <f t="shared" si="21"/>
        <v>2025-06</v>
      </c>
      <c r="P462" s="5">
        <f t="shared" si="22"/>
        <v>0.26453605478716263</v>
      </c>
      <c r="Q462" s="3">
        <f t="shared" si="23"/>
        <v>148.94</v>
      </c>
    </row>
    <row r="463" spans="1:17" x14ac:dyDescent="0.35">
      <c r="A463" t="str">
        <f>Raw_Data!A463</f>
        <v>ORD-0808</v>
      </c>
      <c r="B463" s="2">
        <f>Raw_Data!B463</f>
        <v>45826</v>
      </c>
      <c r="C463" t="str">
        <f>Raw_Data!C463</f>
        <v>North</v>
      </c>
      <c r="D463" t="str">
        <f>Raw_Data!D463</f>
        <v>Jaipur</v>
      </c>
      <c r="E463" t="str">
        <f>Raw_Data!E463</f>
        <v>Office Supplies</v>
      </c>
      <c r="F463" t="str">
        <f>Raw_Data!F463</f>
        <v>Notebook Pack</v>
      </c>
      <c r="G463" t="str">
        <f>Raw_Data!G463</f>
        <v>Corporate</v>
      </c>
      <c r="H463" t="str">
        <f>Raw_Data!H463</f>
        <v>Online</v>
      </c>
      <c r="I463">
        <f>Raw_Data!I463</f>
        <v>8</v>
      </c>
      <c r="J463" s="3">
        <f>Raw_Data!J463</f>
        <v>13.88</v>
      </c>
      <c r="K463" s="4">
        <f>Raw_Data!K463</f>
        <v>0</v>
      </c>
      <c r="L463" s="3">
        <f>Raw_Data!L463</f>
        <v>111.04</v>
      </c>
      <c r="M463" s="3">
        <f>Raw_Data!M463</f>
        <v>69.819999999999993</v>
      </c>
      <c r="N463" s="3">
        <f>Raw_Data!N463</f>
        <v>41.22</v>
      </c>
      <c r="O463" t="str">
        <f t="shared" si="21"/>
        <v>2025-06</v>
      </c>
      <c r="P463" s="5">
        <f t="shared" si="22"/>
        <v>0.37121757925072041</v>
      </c>
      <c r="Q463" s="3">
        <f t="shared" si="23"/>
        <v>111.04</v>
      </c>
    </row>
    <row r="464" spans="1:17" x14ac:dyDescent="0.35">
      <c r="A464" t="str">
        <f>Raw_Data!A464</f>
        <v>ORD-0375</v>
      </c>
      <c r="B464" s="2">
        <f>Raw_Data!B464</f>
        <v>45826</v>
      </c>
      <c r="C464" t="str">
        <f>Raw_Data!C464</f>
        <v>East</v>
      </c>
      <c r="D464" t="str">
        <f>Raw_Data!D464</f>
        <v>Bhubaneswar</v>
      </c>
      <c r="E464" t="str">
        <f>Raw_Data!E464</f>
        <v>Furniture</v>
      </c>
      <c r="F464" t="str">
        <f>Raw_Data!F464</f>
        <v>Standing Desk</v>
      </c>
      <c r="G464" t="str">
        <f>Raw_Data!G464</f>
        <v>Consumer</v>
      </c>
      <c r="H464" t="str">
        <f>Raw_Data!H464</f>
        <v>Online</v>
      </c>
      <c r="I464">
        <f>Raw_Data!I464</f>
        <v>10</v>
      </c>
      <c r="J464" s="3">
        <f>Raw_Data!J464</f>
        <v>245.42</v>
      </c>
      <c r="K464" s="4">
        <f>Raw_Data!K464</f>
        <v>0</v>
      </c>
      <c r="L464" s="3">
        <f>Raw_Data!L464</f>
        <v>2454.1999999999998</v>
      </c>
      <c r="M464" s="3">
        <f>Raw_Data!M464</f>
        <v>1452.36</v>
      </c>
      <c r="N464" s="3">
        <f>Raw_Data!N464</f>
        <v>1001.84</v>
      </c>
      <c r="O464" t="str">
        <f t="shared" si="21"/>
        <v>2025-06</v>
      </c>
      <c r="P464" s="5">
        <f t="shared" si="22"/>
        <v>0.40821448944666289</v>
      </c>
      <c r="Q464" s="3">
        <f t="shared" si="23"/>
        <v>2454.1999999999998</v>
      </c>
    </row>
    <row r="465" spans="1:17" x14ac:dyDescent="0.35">
      <c r="A465" t="str">
        <f>Raw_Data!A465</f>
        <v>ORD-0401</v>
      </c>
      <c r="B465" s="2">
        <f>Raw_Data!B465</f>
        <v>45827</v>
      </c>
      <c r="C465" t="str">
        <f>Raw_Data!C465</f>
        <v>East</v>
      </c>
      <c r="D465" t="str">
        <f>Raw_Data!D465</f>
        <v>Guwahati</v>
      </c>
      <c r="E465" t="str">
        <f>Raw_Data!E465</f>
        <v>Home &amp; Kitchen</v>
      </c>
      <c r="F465" t="str">
        <f>Raw_Data!F465</f>
        <v>Storage Box</v>
      </c>
      <c r="G465" t="str">
        <f>Raw_Data!G465</f>
        <v>Small Business</v>
      </c>
      <c r="H465" t="str">
        <f>Raw_Data!H465</f>
        <v>Marketplace</v>
      </c>
      <c r="I465">
        <f>Raw_Data!I465</f>
        <v>1</v>
      </c>
      <c r="J465" s="3">
        <f>Raw_Data!J465</f>
        <v>12.65</v>
      </c>
      <c r="K465" s="4">
        <f>Raw_Data!K465</f>
        <v>0.05</v>
      </c>
      <c r="L465" s="3">
        <f>Raw_Data!L465</f>
        <v>12.02</v>
      </c>
      <c r="M465" s="3">
        <f>Raw_Data!M465</f>
        <v>8.34</v>
      </c>
      <c r="N465" s="3">
        <f>Raw_Data!N465</f>
        <v>3.68</v>
      </c>
      <c r="O465" t="str">
        <f t="shared" si="21"/>
        <v>2025-06</v>
      </c>
      <c r="P465" s="5">
        <f t="shared" si="22"/>
        <v>0.30615640599001664</v>
      </c>
      <c r="Q465" s="3">
        <f t="shared" si="23"/>
        <v>12.02</v>
      </c>
    </row>
    <row r="466" spans="1:17" x14ac:dyDescent="0.35">
      <c r="A466" t="str">
        <f>Raw_Data!A466</f>
        <v>ORD-0196</v>
      </c>
      <c r="B466" s="2">
        <f>Raw_Data!B466</f>
        <v>45827</v>
      </c>
      <c r="C466" t="str">
        <f>Raw_Data!C466</f>
        <v>South</v>
      </c>
      <c r="D466" t="str">
        <f>Raw_Data!D466</f>
        <v>Chennai</v>
      </c>
      <c r="E466" t="str">
        <f>Raw_Data!E466</f>
        <v>Home &amp; Kitchen</v>
      </c>
      <c r="F466" t="str">
        <f>Raw_Data!F466</f>
        <v>Water Bottle</v>
      </c>
      <c r="G466" t="str">
        <f>Raw_Data!G466</f>
        <v>Small Business</v>
      </c>
      <c r="H466" t="str">
        <f>Raw_Data!H466</f>
        <v>Marketplace</v>
      </c>
      <c r="I466">
        <f>Raw_Data!I466</f>
        <v>11</v>
      </c>
      <c r="J466" s="3">
        <f>Raw_Data!J466</f>
        <v>17.920000000000002</v>
      </c>
      <c r="K466" s="4">
        <f>Raw_Data!K466</f>
        <v>0</v>
      </c>
      <c r="L466" s="3">
        <f>Raw_Data!L466</f>
        <v>197.12</v>
      </c>
      <c r="M466" s="3">
        <f>Raw_Data!M466</f>
        <v>151.66</v>
      </c>
      <c r="N466" s="3">
        <f>Raw_Data!N466</f>
        <v>45.46</v>
      </c>
      <c r="O466" t="str">
        <f t="shared" si="21"/>
        <v>2025-06</v>
      </c>
      <c r="P466" s="5">
        <f t="shared" si="22"/>
        <v>0.23062094155844157</v>
      </c>
      <c r="Q466" s="3">
        <f t="shared" si="23"/>
        <v>197.12</v>
      </c>
    </row>
    <row r="467" spans="1:17" x14ac:dyDescent="0.35">
      <c r="A467" t="str">
        <f>Raw_Data!A467</f>
        <v>ORD-0382</v>
      </c>
      <c r="B467" s="2">
        <f>Raw_Data!B467</f>
        <v>45827</v>
      </c>
      <c r="C467" t="str">
        <f>Raw_Data!C467</f>
        <v>South</v>
      </c>
      <c r="D467" t="str">
        <f>Raw_Data!D467</f>
        <v>Chennai</v>
      </c>
      <c r="E467" t="str">
        <f>Raw_Data!E467</f>
        <v>Furniture</v>
      </c>
      <c r="F467" t="str">
        <f>Raw_Data!F467</f>
        <v>Office Chair</v>
      </c>
      <c r="G467" t="str">
        <f>Raw_Data!G467</f>
        <v>Consumer</v>
      </c>
      <c r="H467" t="str">
        <f>Raw_Data!H467</f>
        <v>In-Store</v>
      </c>
      <c r="I467">
        <f>Raw_Data!I467</f>
        <v>9</v>
      </c>
      <c r="J467" s="3">
        <f>Raw_Data!J467</f>
        <v>134.55000000000001</v>
      </c>
      <c r="K467" s="4">
        <f>Raw_Data!K467</f>
        <v>0.1</v>
      </c>
      <c r="L467" s="3">
        <f>Raw_Data!L467</f>
        <v>1089.8599999999999</v>
      </c>
      <c r="M467" s="3">
        <f>Raw_Data!M467</f>
        <v>727.76</v>
      </c>
      <c r="N467" s="3">
        <f>Raw_Data!N467</f>
        <v>362.1</v>
      </c>
      <c r="O467" t="str">
        <f t="shared" si="21"/>
        <v>2025-06</v>
      </c>
      <c r="P467" s="5">
        <f t="shared" si="22"/>
        <v>0.33224450846897774</v>
      </c>
      <c r="Q467" s="3">
        <f t="shared" si="23"/>
        <v>1089.8599999999999</v>
      </c>
    </row>
    <row r="468" spans="1:17" x14ac:dyDescent="0.35">
      <c r="A468" t="str">
        <f>Raw_Data!A468</f>
        <v>ORD-0132</v>
      </c>
      <c r="B468" s="2">
        <f>Raw_Data!B468</f>
        <v>45828</v>
      </c>
      <c r="C468" t="str">
        <f>Raw_Data!C468</f>
        <v>East</v>
      </c>
      <c r="D468" t="str">
        <f>Raw_Data!D468</f>
        <v>Guwahati</v>
      </c>
      <c r="E468" t="str">
        <f>Raw_Data!E468</f>
        <v>Office Supplies</v>
      </c>
      <c r="F468" t="str">
        <f>Raw_Data!F468</f>
        <v>Notebook Pack</v>
      </c>
      <c r="G468" t="str">
        <f>Raw_Data!G468</f>
        <v>Small Business</v>
      </c>
      <c r="H468" t="str">
        <f>Raw_Data!H468</f>
        <v>Marketplace</v>
      </c>
      <c r="I468">
        <f>Raw_Data!I468</f>
        <v>9</v>
      </c>
      <c r="J468" s="3">
        <f>Raw_Data!J468</f>
        <v>12.86</v>
      </c>
      <c r="K468" s="4">
        <f>Raw_Data!K468</f>
        <v>0.15</v>
      </c>
      <c r="L468" s="3">
        <f>Raw_Data!L468</f>
        <v>98.38</v>
      </c>
      <c r="M468" s="3">
        <f>Raw_Data!M468</f>
        <v>73.260000000000005</v>
      </c>
      <c r="N468" s="3">
        <f>Raw_Data!N468</f>
        <v>25.12</v>
      </c>
      <c r="O468" t="str">
        <f t="shared" si="21"/>
        <v>2025-06</v>
      </c>
      <c r="P468" s="5">
        <f t="shared" si="22"/>
        <v>0.25533645049806875</v>
      </c>
      <c r="Q468" s="3">
        <f t="shared" si="23"/>
        <v>98.38</v>
      </c>
    </row>
    <row r="469" spans="1:17" x14ac:dyDescent="0.35">
      <c r="A469" t="str">
        <f>Raw_Data!A469</f>
        <v>ORD-0185</v>
      </c>
      <c r="B469" s="2">
        <f>Raw_Data!B469</f>
        <v>45828</v>
      </c>
      <c r="C469" t="str">
        <f>Raw_Data!C469</f>
        <v>East</v>
      </c>
      <c r="D469" t="str">
        <f>Raw_Data!D469</f>
        <v>Guwahati</v>
      </c>
      <c r="E469" t="str">
        <f>Raw_Data!E469</f>
        <v>Home &amp; Kitchen</v>
      </c>
      <c r="F469" t="str">
        <f>Raw_Data!F469</f>
        <v>Lunch Box</v>
      </c>
      <c r="G469" t="str">
        <f>Raw_Data!G469</f>
        <v>Consumer</v>
      </c>
      <c r="H469" t="str">
        <f>Raw_Data!H469</f>
        <v>In-Store</v>
      </c>
      <c r="I469">
        <f>Raw_Data!I469</f>
        <v>3</v>
      </c>
      <c r="J469" s="3">
        <f>Raw_Data!J469</f>
        <v>21.24</v>
      </c>
      <c r="K469" s="4">
        <f>Raw_Data!K469</f>
        <v>0.15</v>
      </c>
      <c r="L469" s="3">
        <f>Raw_Data!L469</f>
        <v>54.16</v>
      </c>
      <c r="M469" s="3">
        <f>Raw_Data!M469</f>
        <v>33.26</v>
      </c>
      <c r="N469" s="3">
        <f>Raw_Data!N469</f>
        <v>20.9</v>
      </c>
      <c r="O469" t="str">
        <f t="shared" si="21"/>
        <v>2025-06</v>
      </c>
      <c r="P469" s="5">
        <f t="shared" si="22"/>
        <v>0.38589364844903989</v>
      </c>
      <c r="Q469" s="3">
        <f t="shared" si="23"/>
        <v>54.16</v>
      </c>
    </row>
    <row r="470" spans="1:17" x14ac:dyDescent="0.35">
      <c r="A470" t="str">
        <f>Raw_Data!A470</f>
        <v>ORD-0037</v>
      </c>
      <c r="B470" s="2">
        <f>Raw_Data!B470</f>
        <v>45828</v>
      </c>
      <c r="C470" t="str">
        <f>Raw_Data!C470</f>
        <v>North</v>
      </c>
      <c r="D470" t="str">
        <f>Raw_Data!D470</f>
        <v>Delhi</v>
      </c>
      <c r="E470" t="str">
        <f>Raw_Data!E470</f>
        <v>Home &amp; Kitchen</v>
      </c>
      <c r="F470" t="str">
        <f>Raw_Data!F470</f>
        <v>Storage Box</v>
      </c>
      <c r="G470" t="str">
        <f>Raw_Data!G470</f>
        <v>Small Business</v>
      </c>
      <c r="H470" t="str">
        <f>Raw_Data!H470</f>
        <v>Online</v>
      </c>
      <c r="I470">
        <f>Raw_Data!I470</f>
        <v>5</v>
      </c>
      <c r="J470" s="3">
        <f>Raw_Data!J470</f>
        <v>12.68</v>
      </c>
      <c r="K470" s="4">
        <f>Raw_Data!K470</f>
        <v>0</v>
      </c>
      <c r="L470" s="3">
        <f>Raw_Data!L470</f>
        <v>63.4</v>
      </c>
      <c r="M470" s="3">
        <f>Raw_Data!M470</f>
        <v>37.71</v>
      </c>
      <c r="N470" s="3">
        <f>Raw_Data!N470</f>
        <v>25.69</v>
      </c>
      <c r="O470" t="str">
        <f t="shared" si="21"/>
        <v>2025-06</v>
      </c>
      <c r="P470" s="5">
        <f t="shared" si="22"/>
        <v>0.40520504731861201</v>
      </c>
      <c r="Q470" s="3">
        <f t="shared" si="23"/>
        <v>63.4</v>
      </c>
    </row>
    <row r="471" spans="1:17" x14ac:dyDescent="0.35">
      <c r="A471" t="str">
        <f>Raw_Data!A471</f>
        <v>ORD-0548</v>
      </c>
      <c r="B471" s="2">
        <f>Raw_Data!B471</f>
        <v>45828</v>
      </c>
      <c r="C471" t="str">
        <f>Raw_Data!C471</f>
        <v>South</v>
      </c>
      <c r="D471" t="str">
        <f>Raw_Data!D471</f>
        <v>Hyderabad</v>
      </c>
      <c r="E471" t="str">
        <f>Raw_Data!E471</f>
        <v>Furniture</v>
      </c>
      <c r="F471" t="str">
        <f>Raw_Data!F471</f>
        <v>Standing Desk</v>
      </c>
      <c r="G471" t="str">
        <f>Raw_Data!G471</f>
        <v>Small Business</v>
      </c>
      <c r="H471" t="str">
        <f>Raw_Data!H471</f>
        <v>In-Store</v>
      </c>
      <c r="I471">
        <f>Raw_Data!I471</f>
        <v>12</v>
      </c>
      <c r="J471" s="3">
        <f>Raw_Data!J471</f>
        <v>272.77</v>
      </c>
      <c r="K471" s="4">
        <f>Raw_Data!K471</f>
        <v>0</v>
      </c>
      <c r="L471" s="3">
        <f>Raw_Data!L471</f>
        <v>3273.24</v>
      </c>
      <c r="M471" s="3">
        <f>Raw_Data!M471</f>
        <v>2388.1999999999998</v>
      </c>
      <c r="N471" s="3">
        <f>Raw_Data!N471</f>
        <v>885.04</v>
      </c>
      <c r="O471" t="str">
        <f t="shared" si="21"/>
        <v>2025-06</v>
      </c>
      <c r="P471" s="5">
        <f t="shared" si="22"/>
        <v>0.27038652833278343</v>
      </c>
      <c r="Q471" s="3">
        <f t="shared" si="23"/>
        <v>3273.24</v>
      </c>
    </row>
    <row r="472" spans="1:17" x14ac:dyDescent="0.35">
      <c r="A472" t="str">
        <f>Raw_Data!A472</f>
        <v>ORD-0938</v>
      </c>
      <c r="B472" s="2">
        <f>Raw_Data!B472</f>
        <v>45829</v>
      </c>
      <c r="C472" t="str">
        <f>Raw_Data!C472</f>
        <v>South</v>
      </c>
      <c r="D472" t="str">
        <f>Raw_Data!D472</f>
        <v>Hyderabad</v>
      </c>
      <c r="E472" t="str">
        <f>Raw_Data!E472</f>
        <v>Furniture</v>
      </c>
      <c r="F472" t="str">
        <f>Raw_Data!F472</f>
        <v>Office Chair</v>
      </c>
      <c r="G472" t="str">
        <f>Raw_Data!G472</f>
        <v>Small Business</v>
      </c>
      <c r="H472" t="str">
        <f>Raw_Data!H472</f>
        <v>In-Store</v>
      </c>
      <c r="I472">
        <f>Raw_Data!I472</f>
        <v>2</v>
      </c>
      <c r="J472" s="3">
        <f>Raw_Data!J472</f>
        <v>157.19999999999999</v>
      </c>
      <c r="K472" s="4">
        <f>Raw_Data!K472</f>
        <v>0.15</v>
      </c>
      <c r="L472" s="3">
        <f>Raw_Data!L472</f>
        <v>267.24</v>
      </c>
      <c r="M472" s="3">
        <f>Raw_Data!M472</f>
        <v>223.58</v>
      </c>
      <c r="N472" s="3">
        <f>Raw_Data!N472</f>
        <v>43.66</v>
      </c>
      <c r="O472" t="str">
        <f t="shared" si="21"/>
        <v>2025-06</v>
      </c>
      <c r="P472" s="5">
        <f t="shared" si="22"/>
        <v>0.16337374644514294</v>
      </c>
      <c r="Q472" s="3">
        <f t="shared" si="23"/>
        <v>267.24</v>
      </c>
    </row>
    <row r="473" spans="1:17" x14ac:dyDescent="0.35">
      <c r="A473" t="str">
        <f>Raw_Data!A473</f>
        <v>ORD-0150</v>
      </c>
      <c r="B473" s="2">
        <f>Raw_Data!B473</f>
        <v>45829</v>
      </c>
      <c r="C473" t="str">
        <f>Raw_Data!C473</f>
        <v>South</v>
      </c>
      <c r="D473" t="str">
        <f>Raw_Data!D473</f>
        <v>Chennai</v>
      </c>
      <c r="E473" t="str">
        <f>Raw_Data!E473</f>
        <v>Office Supplies</v>
      </c>
      <c r="F473" t="str">
        <f>Raw_Data!F473</f>
        <v>Pen Set</v>
      </c>
      <c r="G473" t="str">
        <f>Raw_Data!G473</f>
        <v>Corporate</v>
      </c>
      <c r="H473" t="str">
        <f>Raw_Data!H473</f>
        <v>In-Store</v>
      </c>
      <c r="I473">
        <f>Raw_Data!I473</f>
        <v>1</v>
      </c>
      <c r="J473" s="3">
        <f>Raw_Data!J473</f>
        <v>7.6</v>
      </c>
      <c r="K473" s="4">
        <f>Raw_Data!K473</f>
        <v>0.1</v>
      </c>
      <c r="L473" s="3">
        <f>Raw_Data!L473</f>
        <v>6.84</v>
      </c>
      <c r="M473" s="3">
        <f>Raw_Data!M473</f>
        <v>5.24</v>
      </c>
      <c r="N473" s="3">
        <f>Raw_Data!N473</f>
        <v>1.6</v>
      </c>
      <c r="O473" t="str">
        <f t="shared" si="21"/>
        <v>2025-06</v>
      </c>
      <c r="P473" s="5">
        <f t="shared" si="22"/>
        <v>0.23391812865497078</v>
      </c>
      <c r="Q473" s="3">
        <f t="shared" si="23"/>
        <v>6.84</v>
      </c>
    </row>
    <row r="474" spans="1:17" x14ac:dyDescent="0.35">
      <c r="A474" t="str">
        <f>Raw_Data!A474</f>
        <v>ORD-0748</v>
      </c>
      <c r="B474" s="2">
        <f>Raw_Data!B474</f>
        <v>45830</v>
      </c>
      <c r="C474" t="str">
        <f>Raw_Data!C474</f>
        <v>East</v>
      </c>
      <c r="D474" t="str">
        <f>Raw_Data!D474</f>
        <v>Kolkata</v>
      </c>
      <c r="E474" t="str">
        <f>Raw_Data!E474</f>
        <v>Home &amp; Kitchen</v>
      </c>
      <c r="F474" t="str">
        <f>Raw_Data!F474</f>
        <v>Water Bottle</v>
      </c>
      <c r="G474" t="str">
        <f>Raw_Data!G474</f>
        <v>Small Business</v>
      </c>
      <c r="H474" t="str">
        <f>Raw_Data!H474</f>
        <v>In-Store</v>
      </c>
      <c r="I474">
        <f>Raw_Data!I474</f>
        <v>10</v>
      </c>
      <c r="J474" s="3">
        <f>Raw_Data!J474</f>
        <v>14.87</v>
      </c>
      <c r="K474" s="4">
        <f>Raw_Data!K474</f>
        <v>0.15</v>
      </c>
      <c r="L474" s="3">
        <f>Raw_Data!L474</f>
        <v>126.39</v>
      </c>
      <c r="M474" s="3">
        <f>Raw_Data!M474</f>
        <v>81.37</v>
      </c>
      <c r="N474" s="3">
        <f>Raw_Data!N474</f>
        <v>45.02</v>
      </c>
      <c r="O474" t="str">
        <f t="shared" si="21"/>
        <v>2025-06</v>
      </c>
      <c r="P474" s="5">
        <f t="shared" si="22"/>
        <v>0.35619906638183402</v>
      </c>
      <c r="Q474" s="3">
        <f t="shared" si="23"/>
        <v>126.39</v>
      </c>
    </row>
    <row r="475" spans="1:17" x14ac:dyDescent="0.35">
      <c r="A475" t="str">
        <f>Raw_Data!A475</f>
        <v>ORD-0972</v>
      </c>
      <c r="B475" s="2">
        <f>Raw_Data!B475</f>
        <v>45830</v>
      </c>
      <c r="C475" t="str">
        <f>Raw_Data!C475</f>
        <v>North</v>
      </c>
      <c r="D475" t="str">
        <f>Raw_Data!D475</f>
        <v>Jaipur</v>
      </c>
      <c r="E475" t="str">
        <f>Raw_Data!E475</f>
        <v>Home &amp; Kitchen</v>
      </c>
      <c r="F475" t="str">
        <f>Raw_Data!F475</f>
        <v>Water Bottle</v>
      </c>
      <c r="G475" t="str">
        <f>Raw_Data!G475</f>
        <v>Corporate</v>
      </c>
      <c r="H475" t="str">
        <f>Raw_Data!H475</f>
        <v>Online</v>
      </c>
      <c r="I475">
        <f>Raw_Data!I475</f>
        <v>5</v>
      </c>
      <c r="J475" s="3">
        <f>Raw_Data!J475</f>
        <v>14.22</v>
      </c>
      <c r="K475" s="4">
        <f>Raw_Data!K475</f>
        <v>0</v>
      </c>
      <c r="L475" s="3">
        <f>Raw_Data!L475</f>
        <v>71.099999999999994</v>
      </c>
      <c r="M475" s="3">
        <f>Raw_Data!M475</f>
        <v>52.92</v>
      </c>
      <c r="N475" s="3">
        <f>Raw_Data!N475</f>
        <v>18.18</v>
      </c>
      <c r="O475" t="str">
        <f t="shared" si="21"/>
        <v>2025-06</v>
      </c>
      <c r="P475" s="5">
        <f t="shared" si="22"/>
        <v>0.2556962025316456</v>
      </c>
      <c r="Q475" s="3">
        <f t="shared" si="23"/>
        <v>71.099999999999994</v>
      </c>
    </row>
    <row r="476" spans="1:17" x14ac:dyDescent="0.35">
      <c r="A476" t="str">
        <f>Raw_Data!A476</f>
        <v>ORD-0608</v>
      </c>
      <c r="B476" s="2">
        <f>Raw_Data!B476</f>
        <v>45830</v>
      </c>
      <c r="C476" t="str">
        <f>Raw_Data!C476</f>
        <v>East</v>
      </c>
      <c r="D476" t="str">
        <f>Raw_Data!D476</f>
        <v>Guwahati</v>
      </c>
      <c r="E476" t="str">
        <f>Raw_Data!E476</f>
        <v>Home &amp; Kitchen</v>
      </c>
      <c r="F476" t="str">
        <f>Raw_Data!F476</f>
        <v>Coffee Maker</v>
      </c>
      <c r="G476" t="str">
        <f>Raw_Data!G476</f>
        <v>Consumer</v>
      </c>
      <c r="H476" t="str">
        <f>Raw_Data!H476</f>
        <v>Online</v>
      </c>
      <c r="I476">
        <f>Raw_Data!I476</f>
        <v>2</v>
      </c>
      <c r="J476" s="3">
        <f>Raw_Data!J476</f>
        <v>85.79</v>
      </c>
      <c r="K476" s="4">
        <f>Raw_Data!K476</f>
        <v>0.15</v>
      </c>
      <c r="L476" s="3">
        <f>Raw_Data!L476</f>
        <v>145.84</v>
      </c>
      <c r="M476" s="3">
        <f>Raw_Data!M476</f>
        <v>110.46</v>
      </c>
      <c r="N476" s="3">
        <f>Raw_Data!N476</f>
        <v>35.380000000000003</v>
      </c>
      <c r="O476" t="str">
        <f t="shared" si="21"/>
        <v>2025-06</v>
      </c>
      <c r="P476" s="5">
        <f t="shared" si="22"/>
        <v>0.24259462424574879</v>
      </c>
      <c r="Q476" s="3">
        <f t="shared" si="23"/>
        <v>145.84</v>
      </c>
    </row>
    <row r="477" spans="1:17" x14ac:dyDescent="0.35">
      <c r="A477" t="str">
        <f>Raw_Data!A477</f>
        <v>ORD-0892</v>
      </c>
      <c r="B477" s="2">
        <f>Raw_Data!B477</f>
        <v>45830</v>
      </c>
      <c r="C477" t="str">
        <f>Raw_Data!C477</f>
        <v>East</v>
      </c>
      <c r="D477" t="str">
        <f>Raw_Data!D477</f>
        <v>Kolkata</v>
      </c>
      <c r="E477" t="str">
        <f>Raw_Data!E477</f>
        <v>Home &amp; Kitchen</v>
      </c>
      <c r="F477" t="str">
        <f>Raw_Data!F477</f>
        <v>Lunch Box</v>
      </c>
      <c r="G477" t="str">
        <f>Raw_Data!G477</f>
        <v>Small Business</v>
      </c>
      <c r="H477" t="str">
        <f>Raw_Data!H477</f>
        <v>Marketplace</v>
      </c>
      <c r="I477">
        <f>Raw_Data!I477</f>
        <v>6</v>
      </c>
      <c r="J477" s="3">
        <f>Raw_Data!J477</f>
        <v>22.3</v>
      </c>
      <c r="K477" s="4">
        <f>Raw_Data!K477</f>
        <v>0.1</v>
      </c>
      <c r="L477" s="3">
        <f>Raw_Data!L477</f>
        <v>120.42</v>
      </c>
      <c r="M477" s="3">
        <f>Raw_Data!M477</f>
        <v>67.11</v>
      </c>
      <c r="N477" s="3">
        <f>Raw_Data!N477</f>
        <v>53.31</v>
      </c>
      <c r="O477" t="str">
        <f t="shared" si="21"/>
        <v>2025-06</v>
      </c>
      <c r="P477" s="5">
        <f t="shared" si="22"/>
        <v>0.442700548081714</v>
      </c>
      <c r="Q477" s="3">
        <f t="shared" si="23"/>
        <v>120.42</v>
      </c>
    </row>
    <row r="478" spans="1:17" x14ac:dyDescent="0.35">
      <c r="A478" t="str">
        <f>Raw_Data!A478</f>
        <v>ORD-0560</v>
      </c>
      <c r="B478" s="2">
        <f>Raw_Data!B478</f>
        <v>45831</v>
      </c>
      <c r="C478" t="str">
        <f>Raw_Data!C478</f>
        <v>North</v>
      </c>
      <c r="D478" t="str">
        <f>Raw_Data!D478</f>
        <v>Chandigarh</v>
      </c>
      <c r="E478" t="str">
        <f>Raw_Data!E478</f>
        <v>Home &amp; Kitchen</v>
      </c>
      <c r="F478" t="str">
        <f>Raw_Data!F478</f>
        <v>Water Bottle</v>
      </c>
      <c r="G478" t="str">
        <f>Raw_Data!G478</f>
        <v>Consumer</v>
      </c>
      <c r="H478" t="str">
        <f>Raw_Data!H478</f>
        <v>In-Store</v>
      </c>
      <c r="I478">
        <f>Raw_Data!I478</f>
        <v>3</v>
      </c>
      <c r="J478" s="3">
        <f>Raw_Data!J478</f>
        <v>13.76</v>
      </c>
      <c r="K478" s="4">
        <f>Raw_Data!K478</f>
        <v>0</v>
      </c>
      <c r="L478" s="3">
        <f>Raw_Data!L478</f>
        <v>41.28</v>
      </c>
      <c r="M478" s="3">
        <f>Raw_Data!M478</f>
        <v>21.13</v>
      </c>
      <c r="N478" s="3">
        <f>Raw_Data!N478</f>
        <v>20.149999999999999</v>
      </c>
      <c r="O478" t="str">
        <f t="shared" si="21"/>
        <v>2025-06</v>
      </c>
      <c r="P478" s="5">
        <f t="shared" si="22"/>
        <v>0.48812984496124029</v>
      </c>
      <c r="Q478" s="3">
        <f t="shared" si="23"/>
        <v>41.28</v>
      </c>
    </row>
    <row r="479" spans="1:17" x14ac:dyDescent="0.35">
      <c r="A479" t="str">
        <f>Raw_Data!A479</f>
        <v>ORD-0672</v>
      </c>
      <c r="B479" s="2">
        <f>Raw_Data!B479</f>
        <v>45831</v>
      </c>
      <c r="C479" t="str">
        <f>Raw_Data!C479</f>
        <v>East</v>
      </c>
      <c r="D479" t="str">
        <f>Raw_Data!D479</f>
        <v>Guwahati</v>
      </c>
      <c r="E479" t="str">
        <f>Raw_Data!E479</f>
        <v>Office Supplies</v>
      </c>
      <c r="F479" t="str">
        <f>Raw_Data!F479</f>
        <v>Printer Paper</v>
      </c>
      <c r="G479" t="str">
        <f>Raw_Data!G479</f>
        <v>Corporate</v>
      </c>
      <c r="H479" t="str">
        <f>Raw_Data!H479</f>
        <v>Marketplace</v>
      </c>
      <c r="I479">
        <f>Raw_Data!I479</f>
        <v>2</v>
      </c>
      <c r="J479" s="3">
        <f>Raw_Data!J479</f>
        <v>13.97</v>
      </c>
      <c r="K479" s="4">
        <f>Raw_Data!K479</f>
        <v>0.1</v>
      </c>
      <c r="L479" s="3">
        <f>Raw_Data!L479</f>
        <v>25.15</v>
      </c>
      <c r="M479" s="3">
        <f>Raw_Data!M479</f>
        <v>19.489999999999998</v>
      </c>
      <c r="N479" s="3">
        <f>Raw_Data!N479</f>
        <v>5.66</v>
      </c>
      <c r="O479" t="str">
        <f t="shared" si="21"/>
        <v>2025-06</v>
      </c>
      <c r="P479" s="5">
        <f t="shared" si="22"/>
        <v>0.22504970178926442</v>
      </c>
      <c r="Q479" s="3">
        <f t="shared" si="23"/>
        <v>25.15</v>
      </c>
    </row>
    <row r="480" spans="1:17" x14ac:dyDescent="0.35">
      <c r="A480" t="str">
        <f>Raw_Data!A480</f>
        <v>ORD-0139</v>
      </c>
      <c r="B480" s="2">
        <f>Raw_Data!B480</f>
        <v>45831</v>
      </c>
      <c r="C480" t="str">
        <f>Raw_Data!C480</f>
        <v>East</v>
      </c>
      <c r="D480" t="str">
        <f>Raw_Data!D480</f>
        <v>Guwahati</v>
      </c>
      <c r="E480" t="str">
        <f>Raw_Data!E480</f>
        <v>Technology</v>
      </c>
      <c r="F480" t="str">
        <f>Raw_Data!F480</f>
        <v>Headphones</v>
      </c>
      <c r="G480" t="str">
        <f>Raw_Data!G480</f>
        <v>Small Business</v>
      </c>
      <c r="H480" t="str">
        <f>Raw_Data!H480</f>
        <v>Marketplace</v>
      </c>
      <c r="I480">
        <f>Raw_Data!I480</f>
        <v>2</v>
      </c>
      <c r="J480" s="3">
        <f>Raw_Data!J480</f>
        <v>53.1</v>
      </c>
      <c r="K480" s="4">
        <f>Raw_Data!K480</f>
        <v>0.15</v>
      </c>
      <c r="L480" s="3">
        <f>Raw_Data!L480</f>
        <v>90.27</v>
      </c>
      <c r="M480" s="3">
        <f>Raw_Data!M480</f>
        <v>72.59</v>
      </c>
      <c r="N480" s="3">
        <f>Raw_Data!N480</f>
        <v>17.68</v>
      </c>
      <c r="O480" t="str">
        <f t="shared" si="21"/>
        <v>2025-06</v>
      </c>
      <c r="P480" s="5">
        <f t="shared" si="22"/>
        <v>0.19585687382297554</v>
      </c>
      <c r="Q480" s="3">
        <f t="shared" si="23"/>
        <v>90.27</v>
      </c>
    </row>
    <row r="481" spans="1:17" x14ac:dyDescent="0.35">
      <c r="A481" t="str">
        <f>Raw_Data!A481</f>
        <v>ORD-0385</v>
      </c>
      <c r="B481" s="2">
        <f>Raw_Data!B481</f>
        <v>45832</v>
      </c>
      <c r="C481" t="str">
        <f>Raw_Data!C481</f>
        <v>West</v>
      </c>
      <c r="D481" t="str">
        <f>Raw_Data!D481</f>
        <v>Pune</v>
      </c>
      <c r="E481" t="str">
        <f>Raw_Data!E481</f>
        <v>Furniture</v>
      </c>
      <c r="F481" t="str">
        <f>Raw_Data!F481</f>
        <v>Office Chair</v>
      </c>
      <c r="G481" t="str">
        <f>Raw_Data!G481</f>
        <v>Corporate</v>
      </c>
      <c r="H481" t="str">
        <f>Raw_Data!H481</f>
        <v>Marketplace</v>
      </c>
      <c r="I481">
        <f>Raw_Data!I481</f>
        <v>4</v>
      </c>
      <c r="J481" s="3">
        <f>Raw_Data!J481</f>
        <v>166.1</v>
      </c>
      <c r="K481" s="4">
        <f>Raw_Data!K481</f>
        <v>0.05</v>
      </c>
      <c r="L481" s="3">
        <f>Raw_Data!L481</f>
        <v>631.17999999999995</v>
      </c>
      <c r="M481" s="3">
        <f>Raw_Data!M481</f>
        <v>430.56</v>
      </c>
      <c r="N481" s="3">
        <f>Raw_Data!N481</f>
        <v>200.62</v>
      </c>
      <c r="O481" t="str">
        <f t="shared" si="21"/>
        <v>2025-06</v>
      </c>
      <c r="P481" s="5">
        <f t="shared" si="22"/>
        <v>0.3178491080198993</v>
      </c>
      <c r="Q481" s="3">
        <f t="shared" si="23"/>
        <v>631.17999999999995</v>
      </c>
    </row>
    <row r="482" spans="1:17" x14ac:dyDescent="0.35">
      <c r="A482" t="str">
        <f>Raw_Data!A482</f>
        <v>ORD-0729</v>
      </c>
      <c r="B482" s="2">
        <f>Raw_Data!B482</f>
        <v>45832</v>
      </c>
      <c r="C482" t="str">
        <f>Raw_Data!C482</f>
        <v>North</v>
      </c>
      <c r="D482" t="str">
        <f>Raw_Data!D482</f>
        <v>Chandigarh</v>
      </c>
      <c r="E482" t="str">
        <f>Raw_Data!E482</f>
        <v>Home &amp; Kitchen</v>
      </c>
      <c r="F482" t="str">
        <f>Raw_Data!F482</f>
        <v>Storage Box</v>
      </c>
      <c r="G482" t="str">
        <f>Raw_Data!G482</f>
        <v>Small Business</v>
      </c>
      <c r="H482" t="str">
        <f>Raw_Data!H482</f>
        <v>In-Store</v>
      </c>
      <c r="I482">
        <f>Raw_Data!I482</f>
        <v>11</v>
      </c>
      <c r="J482" s="3">
        <f>Raw_Data!J482</f>
        <v>15.26</v>
      </c>
      <c r="K482" s="4">
        <f>Raw_Data!K482</f>
        <v>0</v>
      </c>
      <c r="L482" s="3">
        <f>Raw_Data!L482</f>
        <v>167.86</v>
      </c>
      <c r="M482" s="3">
        <f>Raw_Data!M482</f>
        <v>127.44</v>
      </c>
      <c r="N482" s="3">
        <f>Raw_Data!N482</f>
        <v>40.42</v>
      </c>
      <c r="O482" t="str">
        <f t="shared" si="21"/>
        <v>2025-06</v>
      </c>
      <c r="P482" s="5">
        <f t="shared" si="22"/>
        <v>0.24079590134636006</v>
      </c>
      <c r="Q482" s="3">
        <f t="shared" si="23"/>
        <v>167.86</v>
      </c>
    </row>
    <row r="483" spans="1:17" x14ac:dyDescent="0.35">
      <c r="A483" t="str">
        <f>Raw_Data!A483</f>
        <v>ORD-0659</v>
      </c>
      <c r="B483" s="2">
        <f>Raw_Data!B483</f>
        <v>45832</v>
      </c>
      <c r="C483" t="str">
        <f>Raw_Data!C483</f>
        <v>North</v>
      </c>
      <c r="D483" t="str">
        <f>Raw_Data!D483</f>
        <v>Delhi</v>
      </c>
      <c r="E483" t="str">
        <f>Raw_Data!E483</f>
        <v>Office Supplies</v>
      </c>
      <c r="F483" t="str">
        <f>Raw_Data!F483</f>
        <v>Notebook Pack</v>
      </c>
      <c r="G483" t="str">
        <f>Raw_Data!G483</f>
        <v>Small Business</v>
      </c>
      <c r="H483" t="str">
        <f>Raw_Data!H483</f>
        <v>In-Store</v>
      </c>
      <c r="I483">
        <f>Raw_Data!I483</f>
        <v>4</v>
      </c>
      <c r="J483" s="3">
        <f>Raw_Data!J483</f>
        <v>10.85</v>
      </c>
      <c r="K483" s="4">
        <f>Raw_Data!K483</f>
        <v>0</v>
      </c>
      <c r="L483" s="3">
        <f>Raw_Data!L483</f>
        <v>43.4</v>
      </c>
      <c r="M483" s="3">
        <f>Raw_Data!M483</f>
        <v>31.66</v>
      </c>
      <c r="N483" s="3">
        <f>Raw_Data!N483</f>
        <v>11.74</v>
      </c>
      <c r="O483" t="str">
        <f t="shared" si="21"/>
        <v>2025-06</v>
      </c>
      <c r="P483" s="5">
        <f t="shared" si="22"/>
        <v>0.27050691244239633</v>
      </c>
      <c r="Q483" s="3">
        <f t="shared" si="23"/>
        <v>43.4</v>
      </c>
    </row>
    <row r="484" spans="1:17" x14ac:dyDescent="0.35">
      <c r="A484" t="str">
        <f>Raw_Data!A484</f>
        <v>ORD-0124</v>
      </c>
      <c r="B484" s="2">
        <f>Raw_Data!B484</f>
        <v>45832</v>
      </c>
      <c r="C484" t="str">
        <f>Raw_Data!C484</f>
        <v>North</v>
      </c>
      <c r="D484" t="str">
        <f>Raw_Data!D484</f>
        <v>Jaipur</v>
      </c>
      <c r="E484" t="str">
        <f>Raw_Data!E484</f>
        <v>Office Supplies</v>
      </c>
      <c r="F484" t="str">
        <f>Raw_Data!F484</f>
        <v>Desk Organizer</v>
      </c>
      <c r="G484" t="str">
        <f>Raw_Data!G484</f>
        <v>Consumer</v>
      </c>
      <c r="H484" t="str">
        <f>Raw_Data!H484</f>
        <v>Online</v>
      </c>
      <c r="I484">
        <f>Raw_Data!I484</f>
        <v>5</v>
      </c>
      <c r="J484" s="3">
        <f>Raw_Data!J484</f>
        <v>23.15</v>
      </c>
      <c r="K484" s="4">
        <f>Raw_Data!K484</f>
        <v>0.15</v>
      </c>
      <c r="L484" s="3">
        <f>Raw_Data!L484</f>
        <v>98.39</v>
      </c>
      <c r="M484" s="3">
        <f>Raw_Data!M484</f>
        <v>76.260000000000005</v>
      </c>
      <c r="N484" s="3">
        <f>Raw_Data!N484</f>
        <v>22.13</v>
      </c>
      <c r="O484" t="str">
        <f t="shared" si="21"/>
        <v>2025-06</v>
      </c>
      <c r="P484" s="5">
        <f t="shared" si="22"/>
        <v>0.22492123183250329</v>
      </c>
      <c r="Q484" s="3">
        <f t="shared" si="23"/>
        <v>98.39</v>
      </c>
    </row>
    <row r="485" spans="1:17" x14ac:dyDescent="0.35">
      <c r="A485" t="str">
        <f>Raw_Data!A485</f>
        <v>ORD-0328</v>
      </c>
      <c r="B485" s="2">
        <f>Raw_Data!B485</f>
        <v>45833</v>
      </c>
      <c r="C485" t="str">
        <f>Raw_Data!C485</f>
        <v>North</v>
      </c>
      <c r="D485" t="str">
        <f>Raw_Data!D485</f>
        <v>Jaipur</v>
      </c>
      <c r="E485" t="str">
        <f>Raw_Data!E485</f>
        <v>Office Supplies</v>
      </c>
      <c r="F485" t="str">
        <f>Raw_Data!F485</f>
        <v>Printer Paper</v>
      </c>
      <c r="G485" t="str">
        <f>Raw_Data!G485</f>
        <v>Small Business</v>
      </c>
      <c r="H485" t="str">
        <f>Raw_Data!H485</f>
        <v>Marketplace</v>
      </c>
      <c r="I485">
        <f>Raw_Data!I485</f>
        <v>3</v>
      </c>
      <c r="J485" s="3">
        <f>Raw_Data!J485</f>
        <v>16.59</v>
      </c>
      <c r="K485" s="4">
        <f>Raw_Data!K485</f>
        <v>0.15</v>
      </c>
      <c r="L485" s="3">
        <f>Raw_Data!L485</f>
        <v>42.3</v>
      </c>
      <c r="M485" s="3">
        <f>Raw_Data!M485</f>
        <v>37.950000000000003</v>
      </c>
      <c r="N485" s="3">
        <f>Raw_Data!N485</f>
        <v>4.3499999999999996</v>
      </c>
      <c r="O485" t="str">
        <f t="shared" si="21"/>
        <v>2025-06</v>
      </c>
      <c r="P485" s="5">
        <f t="shared" si="22"/>
        <v>0.10283687943262411</v>
      </c>
      <c r="Q485" s="3">
        <f t="shared" si="23"/>
        <v>42.3</v>
      </c>
    </row>
    <row r="486" spans="1:17" x14ac:dyDescent="0.35">
      <c r="A486" t="str">
        <f>Raw_Data!A486</f>
        <v>ORD-0191</v>
      </c>
      <c r="B486" s="2">
        <f>Raw_Data!B486</f>
        <v>45833</v>
      </c>
      <c r="C486" t="str">
        <f>Raw_Data!C486</f>
        <v>East</v>
      </c>
      <c r="D486" t="str">
        <f>Raw_Data!D486</f>
        <v>Bhubaneswar</v>
      </c>
      <c r="E486" t="str">
        <f>Raw_Data!E486</f>
        <v>Furniture</v>
      </c>
      <c r="F486" t="str">
        <f>Raw_Data!F486</f>
        <v>Bookshelf</v>
      </c>
      <c r="G486" t="str">
        <f>Raw_Data!G486</f>
        <v>Consumer</v>
      </c>
      <c r="H486" t="str">
        <f>Raw_Data!H486</f>
        <v>In-Store</v>
      </c>
      <c r="I486">
        <f>Raw_Data!I486</f>
        <v>10</v>
      </c>
      <c r="J486" s="3">
        <f>Raw_Data!J486</f>
        <v>112.14</v>
      </c>
      <c r="K486" s="4">
        <f>Raw_Data!K486</f>
        <v>0</v>
      </c>
      <c r="L486" s="3">
        <f>Raw_Data!L486</f>
        <v>1121.4000000000001</v>
      </c>
      <c r="M486" s="3">
        <f>Raw_Data!M486</f>
        <v>632.14</v>
      </c>
      <c r="N486" s="3">
        <f>Raw_Data!N486</f>
        <v>489.26</v>
      </c>
      <c r="O486" t="str">
        <f t="shared" si="21"/>
        <v>2025-06</v>
      </c>
      <c r="P486" s="5">
        <f t="shared" si="22"/>
        <v>0.43629391831639019</v>
      </c>
      <c r="Q486" s="3">
        <f t="shared" si="23"/>
        <v>1121.4000000000001</v>
      </c>
    </row>
    <row r="487" spans="1:17" x14ac:dyDescent="0.35">
      <c r="A487" t="str">
        <f>Raw_Data!A487</f>
        <v>ORD-0348</v>
      </c>
      <c r="B487" s="2">
        <f>Raw_Data!B487</f>
        <v>45834</v>
      </c>
      <c r="C487" t="str">
        <f>Raw_Data!C487</f>
        <v>West</v>
      </c>
      <c r="D487" t="str">
        <f>Raw_Data!D487</f>
        <v>Ahmedabad</v>
      </c>
      <c r="E487" t="str">
        <f>Raw_Data!E487</f>
        <v>Office Supplies</v>
      </c>
      <c r="F487" t="str">
        <f>Raw_Data!F487</f>
        <v>Desk Organizer</v>
      </c>
      <c r="G487" t="str">
        <f>Raw_Data!G487</f>
        <v>Consumer</v>
      </c>
      <c r="H487" t="str">
        <f>Raw_Data!H487</f>
        <v>Online</v>
      </c>
      <c r="I487">
        <f>Raw_Data!I487</f>
        <v>12</v>
      </c>
      <c r="J487" s="3">
        <f>Raw_Data!J487</f>
        <v>23.96</v>
      </c>
      <c r="K487" s="4">
        <f>Raw_Data!K487</f>
        <v>0</v>
      </c>
      <c r="L487" s="3">
        <f>Raw_Data!L487</f>
        <v>287.52</v>
      </c>
      <c r="M487" s="3">
        <f>Raw_Data!M487</f>
        <v>162.6</v>
      </c>
      <c r="N487" s="3">
        <f>Raw_Data!N487</f>
        <v>124.92</v>
      </c>
      <c r="O487" t="str">
        <f t="shared" si="21"/>
        <v>2025-06</v>
      </c>
      <c r="P487" s="5">
        <f t="shared" si="22"/>
        <v>0.43447412353923209</v>
      </c>
      <c r="Q487" s="3">
        <f t="shared" si="23"/>
        <v>287.52</v>
      </c>
    </row>
    <row r="488" spans="1:17" x14ac:dyDescent="0.35">
      <c r="A488" t="str">
        <f>Raw_Data!A488</f>
        <v>ORD-0172</v>
      </c>
      <c r="B488" s="2">
        <f>Raw_Data!B488</f>
        <v>45834</v>
      </c>
      <c r="C488" t="str">
        <f>Raw_Data!C488</f>
        <v>South</v>
      </c>
      <c r="D488" t="str">
        <f>Raw_Data!D488</f>
        <v>Bengaluru</v>
      </c>
      <c r="E488" t="str">
        <f>Raw_Data!E488</f>
        <v>Office Supplies</v>
      </c>
      <c r="F488" t="str">
        <f>Raw_Data!F488</f>
        <v>Pen Set</v>
      </c>
      <c r="G488" t="str">
        <f>Raw_Data!G488</f>
        <v>Small Business</v>
      </c>
      <c r="H488" t="str">
        <f>Raw_Data!H488</f>
        <v>Online</v>
      </c>
      <c r="I488">
        <f>Raw_Data!I488</f>
        <v>3</v>
      </c>
      <c r="J488" s="3">
        <f>Raw_Data!J488</f>
        <v>8.01</v>
      </c>
      <c r="K488" s="4">
        <f>Raw_Data!K488</f>
        <v>0</v>
      </c>
      <c r="L488" s="3">
        <f>Raw_Data!L488</f>
        <v>24.03</v>
      </c>
      <c r="M488" s="3">
        <f>Raw_Data!M488</f>
        <v>17.53</v>
      </c>
      <c r="N488" s="3">
        <f>Raw_Data!N488</f>
        <v>6.5</v>
      </c>
      <c r="O488" t="str">
        <f t="shared" si="21"/>
        <v>2025-06</v>
      </c>
      <c r="P488" s="5">
        <f t="shared" si="22"/>
        <v>0.27049521431543905</v>
      </c>
      <c r="Q488" s="3">
        <f t="shared" si="23"/>
        <v>24.03</v>
      </c>
    </row>
    <row r="489" spans="1:17" x14ac:dyDescent="0.35">
      <c r="A489" t="str">
        <f>Raw_Data!A489</f>
        <v>ORD-0870</v>
      </c>
      <c r="B489" s="2">
        <f>Raw_Data!B489</f>
        <v>45834</v>
      </c>
      <c r="C489" t="str">
        <f>Raw_Data!C489</f>
        <v>North</v>
      </c>
      <c r="D489" t="str">
        <f>Raw_Data!D489</f>
        <v>Delhi</v>
      </c>
      <c r="E489" t="str">
        <f>Raw_Data!E489</f>
        <v>Office Supplies</v>
      </c>
      <c r="F489" t="str">
        <f>Raw_Data!F489</f>
        <v>Desk Organizer</v>
      </c>
      <c r="G489" t="str">
        <f>Raw_Data!G489</f>
        <v>Consumer</v>
      </c>
      <c r="H489" t="str">
        <f>Raw_Data!H489</f>
        <v>In-Store</v>
      </c>
      <c r="I489">
        <f>Raw_Data!I489</f>
        <v>12</v>
      </c>
      <c r="J489" s="3">
        <f>Raw_Data!J489</f>
        <v>19.39</v>
      </c>
      <c r="K489" s="4">
        <f>Raw_Data!K489</f>
        <v>0.1</v>
      </c>
      <c r="L489" s="3">
        <f>Raw_Data!L489</f>
        <v>209.41</v>
      </c>
      <c r="M489" s="3">
        <f>Raw_Data!M489</f>
        <v>160.47999999999999</v>
      </c>
      <c r="N489" s="3">
        <f>Raw_Data!N489</f>
        <v>48.93</v>
      </c>
      <c r="O489" t="str">
        <f t="shared" si="21"/>
        <v>2025-06</v>
      </c>
      <c r="P489" s="5">
        <f t="shared" si="22"/>
        <v>0.23365646339716345</v>
      </c>
      <c r="Q489" s="3">
        <f t="shared" si="23"/>
        <v>209.41</v>
      </c>
    </row>
    <row r="490" spans="1:17" x14ac:dyDescent="0.35">
      <c r="A490" t="str">
        <f>Raw_Data!A490</f>
        <v>ORD-0464</v>
      </c>
      <c r="B490" s="2">
        <f>Raw_Data!B490</f>
        <v>45834</v>
      </c>
      <c r="C490" t="str">
        <f>Raw_Data!C490</f>
        <v>South</v>
      </c>
      <c r="D490" t="str">
        <f>Raw_Data!D490</f>
        <v>Chennai</v>
      </c>
      <c r="E490" t="str">
        <f>Raw_Data!E490</f>
        <v>Technology</v>
      </c>
      <c r="F490" t="str">
        <f>Raw_Data!F490</f>
        <v>USB Hub</v>
      </c>
      <c r="G490" t="str">
        <f>Raw_Data!G490</f>
        <v>Small Business</v>
      </c>
      <c r="H490" t="str">
        <f>Raw_Data!H490</f>
        <v>In-Store</v>
      </c>
      <c r="I490">
        <f>Raw_Data!I490</f>
        <v>2</v>
      </c>
      <c r="J490" s="3">
        <f>Raw_Data!J490</f>
        <v>23.35</v>
      </c>
      <c r="K490" s="4">
        <f>Raw_Data!K490</f>
        <v>0.15</v>
      </c>
      <c r="L490" s="3">
        <f>Raw_Data!L490</f>
        <v>39.700000000000003</v>
      </c>
      <c r="M490" s="3">
        <f>Raw_Data!M490</f>
        <v>25.2</v>
      </c>
      <c r="N490" s="3">
        <f>Raw_Data!N490</f>
        <v>14.5</v>
      </c>
      <c r="O490" t="str">
        <f t="shared" si="21"/>
        <v>2025-06</v>
      </c>
      <c r="P490" s="5">
        <f t="shared" si="22"/>
        <v>0.36523929471032746</v>
      </c>
      <c r="Q490" s="3">
        <f t="shared" si="23"/>
        <v>39.700000000000003</v>
      </c>
    </row>
    <row r="491" spans="1:17" x14ac:dyDescent="0.35">
      <c r="A491" t="str">
        <f>Raw_Data!A491</f>
        <v>ORD-0825</v>
      </c>
      <c r="B491" s="2">
        <f>Raw_Data!B491</f>
        <v>45835</v>
      </c>
      <c r="C491" t="str">
        <f>Raw_Data!C491</f>
        <v>South</v>
      </c>
      <c r="D491" t="str">
        <f>Raw_Data!D491</f>
        <v>Bengaluru</v>
      </c>
      <c r="E491" t="str">
        <f>Raw_Data!E491</f>
        <v>Home &amp; Kitchen</v>
      </c>
      <c r="F491" t="str">
        <f>Raw_Data!F491</f>
        <v>Lunch Box</v>
      </c>
      <c r="G491" t="str">
        <f>Raw_Data!G491</f>
        <v>Small Business</v>
      </c>
      <c r="H491" t="str">
        <f>Raw_Data!H491</f>
        <v>Online</v>
      </c>
      <c r="I491">
        <f>Raw_Data!I491</f>
        <v>10</v>
      </c>
      <c r="J491" s="3">
        <f>Raw_Data!J491</f>
        <v>22.3</v>
      </c>
      <c r="K491" s="4">
        <f>Raw_Data!K491</f>
        <v>0</v>
      </c>
      <c r="L491" s="3">
        <f>Raw_Data!L491</f>
        <v>223</v>
      </c>
      <c r="M491" s="3">
        <f>Raw_Data!M491</f>
        <v>138.62</v>
      </c>
      <c r="N491" s="3">
        <f>Raw_Data!N491</f>
        <v>84.38</v>
      </c>
      <c r="O491" t="str">
        <f t="shared" si="21"/>
        <v>2025-06</v>
      </c>
      <c r="P491" s="5">
        <f t="shared" si="22"/>
        <v>0.37838565022421522</v>
      </c>
      <c r="Q491" s="3">
        <f t="shared" si="23"/>
        <v>223</v>
      </c>
    </row>
    <row r="492" spans="1:17" x14ac:dyDescent="0.35">
      <c r="A492" t="str">
        <f>Raw_Data!A492</f>
        <v>ORD-0520</v>
      </c>
      <c r="B492" s="2">
        <f>Raw_Data!B492</f>
        <v>45835</v>
      </c>
      <c r="C492" t="str">
        <f>Raw_Data!C492</f>
        <v>North</v>
      </c>
      <c r="D492" t="str">
        <f>Raw_Data!D492</f>
        <v>Chandigarh</v>
      </c>
      <c r="E492" t="str">
        <f>Raw_Data!E492</f>
        <v>Furniture</v>
      </c>
      <c r="F492" t="str">
        <f>Raw_Data!F492</f>
        <v>Bookshelf</v>
      </c>
      <c r="G492" t="str">
        <f>Raw_Data!G492</f>
        <v>Corporate</v>
      </c>
      <c r="H492" t="str">
        <f>Raw_Data!H492</f>
        <v>In-Store</v>
      </c>
      <c r="I492">
        <f>Raw_Data!I492</f>
        <v>11</v>
      </c>
      <c r="J492" s="3">
        <f>Raw_Data!J492</f>
        <v>105.14</v>
      </c>
      <c r="K492" s="4">
        <f>Raw_Data!K492</f>
        <v>0.15</v>
      </c>
      <c r="L492" s="3">
        <f>Raw_Data!L492</f>
        <v>983.06</v>
      </c>
      <c r="M492" s="3">
        <f>Raw_Data!M492</f>
        <v>650.86</v>
      </c>
      <c r="N492" s="3">
        <f>Raw_Data!N492</f>
        <v>332.2</v>
      </c>
      <c r="O492" t="str">
        <f t="shared" si="21"/>
        <v>2025-06</v>
      </c>
      <c r="P492" s="5">
        <f t="shared" si="22"/>
        <v>0.33792444001383437</v>
      </c>
      <c r="Q492" s="3">
        <f t="shared" si="23"/>
        <v>983.06</v>
      </c>
    </row>
    <row r="493" spans="1:17" x14ac:dyDescent="0.35">
      <c r="A493" t="str">
        <f>Raw_Data!A493</f>
        <v>ORD-0255</v>
      </c>
      <c r="B493" s="2">
        <f>Raw_Data!B493</f>
        <v>45836</v>
      </c>
      <c r="C493" t="str">
        <f>Raw_Data!C493</f>
        <v>West</v>
      </c>
      <c r="D493" t="str">
        <f>Raw_Data!D493</f>
        <v>Ahmedabad</v>
      </c>
      <c r="E493" t="str">
        <f>Raw_Data!E493</f>
        <v>Furniture</v>
      </c>
      <c r="F493" t="str">
        <f>Raw_Data!F493</f>
        <v>Bookshelf</v>
      </c>
      <c r="G493" t="str">
        <f>Raw_Data!G493</f>
        <v>Consumer</v>
      </c>
      <c r="H493" t="str">
        <f>Raw_Data!H493</f>
        <v>In-Store</v>
      </c>
      <c r="I493">
        <f>Raw_Data!I493</f>
        <v>8</v>
      </c>
      <c r="J493" s="3">
        <f>Raw_Data!J493</f>
        <v>123.69</v>
      </c>
      <c r="K493" s="4">
        <f>Raw_Data!K493</f>
        <v>0.15</v>
      </c>
      <c r="L493" s="3">
        <f>Raw_Data!L493</f>
        <v>841.09</v>
      </c>
      <c r="M493" s="3">
        <f>Raw_Data!M493</f>
        <v>618.33000000000004</v>
      </c>
      <c r="N493" s="3">
        <f>Raw_Data!N493</f>
        <v>222.76</v>
      </c>
      <c r="O493" t="str">
        <f t="shared" si="21"/>
        <v>2025-06</v>
      </c>
      <c r="P493" s="5">
        <f t="shared" si="22"/>
        <v>0.26484680593039983</v>
      </c>
      <c r="Q493" s="3">
        <f t="shared" si="23"/>
        <v>841.09</v>
      </c>
    </row>
    <row r="494" spans="1:17" x14ac:dyDescent="0.35">
      <c r="A494" t="str">
        <f>Raw_Data!A494</f>
        <v>ORD-0162</v>
      </c>
      <c r="B494" s="2">
        <f>Raw_Data!B494</f>
        <v>45837</v>
      </c>
      <c r="C494" t="str">
        <f>Raw_Data!C494</f>
        <v>West</v>
      </c>
      <c r="D494" t="str">
        <f>Raw_Data!D494</f>
        <v>Mumbai</v>
      </c>
      <c r="E494" t="str">
        <f>Raw_Data!E494</f>
        <v>Home &amp; Kitchen</v>
      </c>
      <c r="F494" t="str">
        <f>Raw_Data!F494</f>
        <v>Water Bottle</v>
      </c>
      <c r="G494" t="str">
        <f>Raw_Data!G494</f>
        <v>Small Business</v>
      </c>
      <c r="H494" t="str">
        <f>Raw_Data!H494</f>
        <v>Marketplace</v>
      </c>
      <c r="I494">
        <f>Raw_Data!I494</f>
        <v>12</v>
      </c>
      <c r="J494" s="3">
        <f>Raw_Data!J494</f>
        <v>18.47</v>
      </c>
      <c r="K494" s="4">
        <f>Raw_Data!K494</f>
        <v>0.05</v>
      </c>
      <c r="L494" s="3">
        <f>Raw_Data!L494</f>
        <v>210.56</v>
      </c>
      <c r="M494" s="3">
        <f>Raw_Data!M494</f>
        <v>147.27000000000001</v>
      </c>
      <c r="N494" s="3">
        <f>Raw_Data!N494</f>
        <v>63.29</v>
      </c>
      <c r="O494" t="str">
        <f t="shared" si="21"/>
        <v>2025-06</v>
      </c>
      <c r="P494" s="5">
        <f t="shared" si="22"/>
        <v>0.30057940729483285</v>
      </c>
      <c r="Q494" s="3">
        <f t="shared" si="23"/>
        <v>210.56</v>
      </c>
    </row>
    <row r="495" spans="1:17" x14ac:dyDescent="0.35">
      <c r="A495" t="str">
        <f>Raw_Data!A495</f>
        <v>ORD-0447</v>
      </c>
      <c r="B495" s="2">
        <f>Raw_Data!B495</f>
        <v>45838</v>
      </c>
      <c r="C495" t="str">
        <f>Raw_Data!C495</f>
        <v>North</v>
      </c>
      <c r="D495" t="str">
        <f>Raw_Data!D495</f>
        <v>Chandigarh</v>
      </c>
      <c r="E495" t="str">
        <f>Raw_Data!E495</f>
        <v>Home &amp; Kitchen</v>
      </c>
      <c r="F495" t="str">
        <f>Raw_Data!F495</f>
        <v>Lunch Box</v>
      </c>
      <c r="G495" t="str">
        <f>Raw_Data!G495</f>
        <v>Consumer</v>
      </c>
      <c r="H495" t="str">
        <f>Raw_Data!H495</f>
        <v>Marketplace</v>
      </c>
      <c r="I495">
        <f>Raw_Data!I495</f>
        <v>10</v>
      </c>
      <c r="J495" s="3">
        <f>Raw_Data!J495</f>
        <v>18.399999999999999</v>
      </c>
      <c r="K495" s="4">
        <f>Raw_Data!K495</f>
        <v>0</v>
      </c>
      <c r="L495" s="3">
        <f>Raw_Data!L495</f>
        <v>184</v>
      </c>
      <c r="M495" s="3">
        <f>Raw_Data!M495</f>
        <v>129</v>
      </c>
      <c r="N495" s="3">
        <f>Raw_Data!N495</f>
        <v>55</v>
      </c>
      <c r="O495" t="str">
        <f t="shared" si="21"/>
        <v>2025-06</v>
      </c>
      <c r="P495" s="5">
        <f t="shared" si="22"/>
        <v>0.29891304347826086</v>
      </c>
      <c r="Q495" s="3">
        <f t="shared" si="23"/>
        <v>184</v>
      </c>
    </row>
    <row r="496" spans="1:17" x14ac:dyDescent="0.35">
      <c r="A496" t="str">
        <f>Raw_Data!A496</f>
        <v>ORD-0181</v>
      </c>
      <c r="B496" s="2">
        <f>Raw_Data!B496</f>
        <v>45838</v>
      </c>
      <c r="C496" t="str">
        <f>Raw_Data!C496</f>
        <v>North</v>
      </c>
      <c r="D496" t="str">
        <f>Raw_Data!D496</f>
        <v>Delhi</v>
      </c>
      <c r="E496" t="str">
        <f>Raw_Data!E496</f>
        <v>Technology</v>
      </c>
      <c r="F496" t="str">
        <f>Raw_Data!F496</f>
        <v>Wireless Mouse</v>
      </c>
      <c r="G496" t="str">
        <f>Raw_Data!G496</f>
        <v>Consumer</v>
      </c>
      <c r="H496" t="str">
        <f>Raw_Data!H496</f>
        <v>In-Store</v>
      </c>
      <c r="I496">
        <f>Raw_Data!I496</f>
        <v>5</v>
      </c>
      <c r="J496" s="3">
        <f>Raw_Data!J496</f>
        <v>18.420000000000002</v>
      </c>
      <c r="K496" s="4">
        <f>Raw_Data!K496</f>
        <v>0.1</v>
      </c>
      <c r="L496" s="3">
        <f>Raw_Data!L496</f>
        <v>82.89</v>
      </c>
      <c r="M496" s="3">
        <f>Raw_Data!M496</f>
        <v>52.1</v>
      </c>
      <c r="N496" s="3">
        <f>Raw_Data!N496</f>
        <v>30.79</v>
      </c>
      <c r="O496" t="str">
        <f t="shared" si="21"/>
        <v>2025-06</v>
      </c>
      <c r="P496" s="5">
        <f t="shared" si="22"/>
        <v>0.37145614670044635</v>
      </c>
      <c r="Q496" s="3">
        <f t="shared" si="23"/>
        <v>82.89</v>
      </c>
    </row>
    <row r="497" spans="1:17" x14ac:dyDescent="0.35">
      <c r="A497" t="str">
        <f>Raw_Data!A497</f>
        <v>ORD-0632</v>
      </c>
      <c r="B497" s="2">
        <f>Raw_Data!B497</f>
        <v>45838</v>
      </c>
      <c r="C497" t="str">
        <f>Raw_Data!C497</f>
        <v>West</v>
      </c>
      <c r="D497" t="str">
        <f>Raw_Data!D497</f>
        <v>Mumbai</v>
      </c>
      <c r="E497" t="str">
        <f>Raw_Data!E497</f>
        <v>Furniture</v>
      </c>
      <c r="F497" t="str">
        <f>Raw_Data!F497</f>
        <v>Standing Desk</v>
      </c>
      <c r="G497" t="str">
        <f>Raw_Data!G497</f>
        <v>Corporate</v>
      </c>
      <c r="H497" t="str">
        <f>Raw_Data!H497</f>
        <v>Marketplace</v>
      </c>
      <c r="I497">
        <f>Raw_Data!I497</f>
        <v>5</v>
      </c>
      <c r="J497" s="3">
        <f>Raw_Data!J497</f>
        <v>225.96</v>
      </c>
      <c r="K497" s="4">
        <f>Raw_Data!K497</f>
        <v>0.05</v>
      </c>
      <c r="L497" s="3">
        <f>Raw_Data!L497</f>
        <v>1073.31</v>
      </c>
      <c r="M497" s="3">
        <f>Raw_Data!M497</f>
        <v>659.32</v>
      </c>
      <c r="N497" s="3">
        <f>Raw_Data!N497</f>
        <v>413.99</v>
      </c>
      <c r="O497" t="str">
        <f t="shared" si="21"/>
        <v>2025-06</v>
      </c>
      <c r="P497" s="5">
        <f t="shared" si="22"/>
        <v>0.38571335401701284</v>
      </c>
      <c r="Q497" s="3">
        <f t="shared" si="23"/>
        <v>1073.31</v>
      </c>
    </row>
    <row r="498" spans="1:17" x14ac:dyDescent="0.35">
      <c r="A498" t="str">
        <f>Raw_Data!A498</f>
        <v>ORD-0100</v>
      </c>
      <c r="B498" s="2">
        <f>Raw_Data!B498</f>
        <v>45838</v>
      </c>
      <c r="C498" t="str">
        <f>Raw_Data!C498</f>
        <v>North</v>
      </c>
      <c r="D498" t="str">
        <f>Raw_Data!D498</f>
        <v>Delhi</v>
      </c>
      <c r="E498" t="str">
        <f>Raw_Data!E498</f>
        <v>Office Supplies</v>
      </c>
      <c r="F498" t="str">
        <f>Raw_Data!F498</f>
        <v>Pen Set</v>
      </c>
      <c r="G498" t="str">
        <f>Raw_Data!G498</f>
        <v>Small Business</v>
      </c>
      <c r="H498" t="str">
        <f>Raw_Data!H498</f>
        <v>In-Store</v>
      </c>
      <c r="I498">
        <f>Raw_Data!I498</f>
        <v>10</v>
      </c>
      <c r="J498" s="3">
        <f>Raw_Data!J498</f>
        <v>7.5</v>
      </c>
      <c r="K498" s="4">
        <f>Raw_Data!K498</f>
        <v>0</v>
      </c>
      <c r="L498" s="3">
        <f>Raw_Data!L498</f>
        <v>75</v>
      </c>
      <c r="M498" s="3">
        <f>Raw_Data!M498</f>
        <v>50.14</v>
      </c>
      <c r="N498" s="3">
        <f>Raw_Data!N498</f>
        <v>24.86</v>
      </c>
      <c r="O498" t="str">
        <f t="shared" si="21"/>
        <v>2025-06</v>
      </c>
      <c r="P498" s="5">
        <f t="shared" si="22"/>
        <v>0.33146666666666663</v>
      </c>
      <c r="Q498" s="3">
        <f t="shared" si="23"/>
        <v>75</v>
      </c>
    </row>
    <row r="499" spans="1:17" x14ac:dyDescent="0.35">
      <c r="A499" t="str">
        <f>Raw_Data!A499</f>
        <v>ORD-0120</v>
      </c>
      <c r="B499" s="2">
        <f>Raw_Data!B499</f>
        <v>45839</v>
      </c>
      <c r="C499" t="str">
        <f>Raw_Data!C499</f>
        <v>South</v>
      </c>
      <c r="D499" t="str">
        <f>Raw_Data!D499</f>
        <v>Chennai</v>
      </c>
      <c r="E499" t="str">
        <f>Raw_Data!E499</f>
        <v>Home &amp; Kitchen</v>
      </c>
      <c r="F499" t="str">
        <f>Raw_Data!F499</f>
        <v>Water Bottle</v>
      </c>
      <c r="G499" t="str">
        <f>Raw_Data!G499</f>
        <v>Consumer</v>
      </c>
      <c r="H499" t="str">
        <f>Raw_Data!H499</f>
        <v>Marketplace</v>
      </c>
      <c r="I499">
        <f>Raw_Data!I499</f>
        <v>5</v>
      </c>
      <c r="J499" s="3">
        <f>Raw_Data!J499</f>
        <v>16.96</v>
      </c>
      <c r="K499" s="4">
        <f>Raw_Data!K499</f>
        <v>0.05</v>
      </c>
      <c r="L499" s="3">
        <f>Raw_Data!L499</f>
        <v>80.56</v>
      </c>
      <c r="M499" s="3">
        <f>Raw_Data!M499</f>
        <v>43.34</v>
      </c>
      <c r="N499" s="3">
        <f>Raw_Data!N499</f>
        <v>37.22</v>
      </c>
      <c r="O499" t="str">
        <f t="shared" si="21"/>
        <v>2025-07</v>
      </c>
      <c r="P499" s="5">
        <f t="shared" si="22"/>
        <v>0.4620158887785501</v>
      </c>
      <c r="Q499" s="3">
        <f t="shared" si="23"/>
        <v>80.56</v>
      </c>
    </row>
    <row r="500" spans="1:17" x14ac:dyDescent="0.35">
      <c r="A500" t="str">
        <f>Raw_Data!A500</f>
        <v>ORD-0487</v>
      </c>
      <c r="B500" s="2">
        <f>Raw_Data!B500</f>
        <v>45840</v>
      </c>
      <c r="C500" t="str">
        <f>Raw_Data!C500</f>
        <v>East</v>
      </c>
      <c r="D500" t="str">
        <f>Raw_Data!D500</f>
        <v>Kolkata</v>
      </c>
      <c r="E500" t="str">
        <f>Raw_Data!E500</f>
        <v>Office Supplies</v>
      </c>
      <c r="F500" t="str">
        <f>Raw_Data!F500</f>
        <v>Notebook Pack</v>
      </c>
      <c r="G500" t="str">
        <f>Raw_Data!G500</f>
        <v>Small Business</v>
      </c>
      <c r="H500" t="str">
        <f>Raw_Data!H500</f>
        <v>Marketplace</v>
      </c>
      <c r="I500">
        <f>Raw_Data!I500</f>
        <v>3</v>
      </c>
      <c r="J500" s="3">
        <f>Raw_Data!J500</f>
        <v>12.25</v>
      </c>
      <c r="K500" s="4">
        <f>Raw_Data!K500</f>
        <v>0.05</v>
      </c>
      <c r="L500" s="3">
        <f>Raw_Data!L500</f>
        <v>34.909999999999997</v>
      </c>
      <c r="M500" s="3">
        <f>Raw_Data!M500</f>
        <v>28.46</v>
      </c>
      <c r="N500" s="3">
        <f>Raw_Data!N500</f>
        <v>6.45</v>
      </c>
      <c r="O500" t="str">
        <f t="shared" si="21"/>
        <v>2025-07</v>
      </c>
      <c r="P500" s="5">
        <f t="shared" si="22"/>
        <v>0.18476081352048127</v>
      </c>
      <c r="Q500" s="3">
        <f t="shared" si="23"/>
        <v>34.909999999999997</v>
      </c>
    </row>
    <row r="501" spans="1:17" x14ac:dyDescent="0.35">
      <c r="A501" t="str">
        <f>Raw_Data!A501</f>
        <v>ORD-0471</v>
      </c>
      <c r="B501" s="2">
        <f>Raw_Data!B501</f>
        <v>45840</v>
      </c>
      <c r="C501" t="str">
        <f>Raw_Data!C501</f>
        <v>West</v>
      </c>
      <c r="D501" t="str">
        <f>Raw_Data!D501</f>
        <v>Ahmedabad</v>
      </c>
      <c r="E501" t="str">
        <f>Raw_Data!E501</f>
        <v>Furniture</v>
      </c>
      <c r="F501" t="str">
        <f>Raw_Data!F501</f>
        <v>Standing Desk</v>
      </c>
      <c r="G501" t="str">
        <f>Raw_Data!G501</f>
        <v>Consumer</v>
      </c>
      <c r="H501" t="str">
        <f>Raw_Data!H501</f>
        <v>Marketplace</v>
      </c>
      <c r="I501">
        <f>Raw_Data!I501</f>
        <v>8</v>
      </c>
      <c r="J501" s="3">
        <f>Raw_Data!J501</f>
        <v>309.72000000000003</v>
      </c>
      <c r="K501" s="4">
        <f>Raw_Data!K501</f>
        <v>0.15</v>
      </c>
      <c r="L501" s="3">
        <f>Raw_Data!L501</f>
        <v>2106.1</v>
      </c>
      <c r="M501" s="3">
        <f>Raw_Data!M501</f>
        <v>1884.23</v>
      </c>
      <c r="N501" s="3">
        <f>Raw_Data!N501</f>
        <v>221.87</v>
      </c>
      <c r="O501" t="str">
        <f t="shared" si="21"/>
        <v>2025-07</v>
      </c>
      <c r="P501" s="5">
        <f t="shared" si="22"/>
        <v>0.10534637481601064</v>
      </c>
      <c r="Q501" s="3">
        <f t="shared" si="23"/>
        <v>2106.1</v>
      </c>
    </row>
    <row r="502" spans="1:17" x14ac:dyDescent="0.35">
      <c r="A502" t="str">
        <f>Raw_Data!A502</f>
        <v>ORD-0371</v>
      </c>
      <c r="B502" s="2">
        <f>Raw_Data!B502</f>
        <v>45841</v>
      </c>
      <c r="C502" t="str">
        <f>Raw_Data!C502</f>
        <v>West</v>
      </c>
      <c r="D502" t="str">
        <f>Raw_Data!D502</f>
        <v>Mumbai</v>
      </c>
      <c r="E502" t="str">
        <f>Raw_Data!E502</f>
        <v>Home &amp; Kitchen</v>
      </c>
      <c r="F502" t="str">
        <f>Raw_Data!F502</f>
        <v>Coffee Maker</v>
      </c>
      <c r="G502" t="str">
        <f>Raw_Data!G502</f>
        <v>Small Business</v>
      </c>
      <c r="H502" t="str">
        <f>Raw_Data!H502</f>
        <v>Online</v>
      </c>
      <c r="I502">
        <f>Raw_Data!I502</f>
        <v>3</v>
      </c>
      <c r="J502" s="3">
        <f>Raw_Data!J502</f>
        <v>62.19</v>
      </c>
      <c r="K502" s="4">
        <f>Raw_Data!K502</f>
        <v>0.1</v>
      </c>
      <c r="L502" s="3">
        <f>Raw_Data!L502</f>
        <v>167.91</v>
      </c>
      <c r="M502" s="3">
        <f>Raw_Data!M502</f>
        <v>140.51</v>
      </c>
      <c r="N502" s="3">
        <f>Raw_Data!N502</f>
        <v>27.4</v>
      </c>
      <c r="O502" t="str">
        <f t="shared" si="21"/>
        <v>2025-07</v>
      </c>
      <c r="P502" s="5">
        <f t="shared" si="22"/>
        <v>0.16318265737597523</v>
      </c>
      <c r="Q502" s="3">
        <f t="shared" si="23"/>
        <v>167.91</v>
      </c>
    </row>
    <row r="503" spans="1:17" x14ac:dyDescent="0.35">
      <c r="A503" t="str">
        <f>Raw_Data!A503</f>
        <v>ORD-0378</v>
      </c>
      <c r="B503" s="2">
        <f>Raw_Data!B503</f>
        <v>45841</v>
      </c>
      <c r="C503" t="str">
        <f>Raw_Data!C503</f>
        <v>West</v>
      </c>
      <c r="D503" t="str">
        <f>Raw_Data!D503</f>
        <v>Pune</v>
      </c>
      <c r="E503" t="str">
        <f>Raw_Data!E503</f>
        <v>Technology</v>
      </c>
      <c r="F503" t="str">
        <f>Raw_Data!F503</f>
        <v>Keyboard</v>
      </c>
      <c r="G503" t="str">
        <f>Raw_Data!G503</f>
        <v>Consumer</v>
      </c>
      <c r="H503" t="str">
        <f>Raw_Data!H503</f>
        <v>Online</v>
      </c>
      <c r="I503">
        <f>Raw_Data!I503</f>
        <v>8</v>
      </c>
      <c r="J503" s="3">
        <f>Raw_Data!J503</f>
        <v>37.51</v>
      </c>
      <c r="K503" s="4">
        <f>Raw_Data!K503</f>
        <v>0</v>
      </c>
      <c r="L503" s="3">
        <f>Raw_Data!L503</f>
        <v>300.08</v>
      </c>
      <c r="M503" s="3">
        <f>Raw_Data!M503</f>
        <v>223.94</v>
      </c>
      <c r="N503" s="3">
        <f>Raw_Data!N503</f>
        <v>76.14</v>
      </c>
      <c r="O503" t="str">
        <f t="shared" si="21"/>
        <v>2025-07</v>
      </c>
      <c r="P503" s="5">
        <f t="shared" si="22"/>
        <v>0.25373233804318851</v>
      </c>
      <c r="Q503" s="3">
        <f t="shared" si="23"/>
        <v>300.08</v>
      </c>
    </row>
    <row r="504" spans="1:17" x14ac:dyDescent="0.35">
      <c r="A504" t="str">
        <f>Raw_Data!A504</f>
        <v>ORD-0402</v>
      </c>
      <c r="B504" s="2">
        <f>Raw_Data!B504</f>
        <v>45841</v>
      </c>
      <c r="C504" t="str">
        <f>Raw_Data!C504</f>
        <v>South</v>
      </c>
      <c r="D504" t="str">
        <f>Raw_Data!D504</f>
        <v>Hyderabad</v>
      </c>
      <c r="E504" t="str">
        <f>Raw_Data!E504</f>
        <v>Technology</v>
      </c>
      <c r="F504" t="str">
        <f>Raw_Data!F504</f>
        <v>Headphones</v>
      </c>
      <c r="G504" t="str">
        <f>Raw_Data!G504</f>
        <v>Small Business</v>
      </c>
      <c r="H504" t="str">
        <f>Raw_Data!H504</f>
        <v>Marketplace</v>
      </c>
      <c r="I504">
        <f>Raw_Data!I504</f>
        <v>9</v>
      </c>
      <c r="J504" s="3">
        <f>Raw_Data!J504</f>
        <v>50.98</v>
      </c>
      <c r="K504" s="4">
        <f>Raw_Data!K504</f>
        <v>0</v>
      </c>
      <c r="L504" s="3">
        <f>Raw_Data!L504</f>
        <v>458.82</v>
      </c>
      <c r="M504" s="3">
        <f>Raw_Data!M504</f>
        <v>291.89</v>
      </c>
      <c r="N504" s="3">
        <f>Raw_Data!N504</f>
        <v>166.93</v>
      </c>
      <c r="O504" t="str">
        <f t="shared" si="21"/>
        <v>2025-07</v>
      </c>
      <c r="P504" s="5">
        <f t="shared" si="22"/>
        <v>0.36382459352251428</v>
      </c>
      <c r="Q504" s="3">
        <f t="shared" si="23"/>
        <v>458.82</v>
      </c>
    </row>
    <row r="505" spans="1:17" x14ac:dyDescent="0.35">
      <c r="A505" t="str">
        <f>Raw_Data!A505</f>
        <v>ORD-0939</v>
      </c>
      <c r="B505" s="2">
        <f>Raw_Data!B505</f>
        <v>45843</v>
      </c>
      <c r="C505" t="str">
        <f>Raw_Data!C505</f>
        <v>North</v>
      </c>
      <c r="D505" t="str">
        <f>Raw_Data!D505</f>
        <v>Jaipur</v>
      </c>
      <c r="E505" t="str">
        <f>Raw_Data!E505</f>
        <v>Furniture</v>
      </c>
      <c r="F505" t="str">
        <f>Raw_Data!F505</f>
        <v>Desk Lamp</v>
      </c>
      <c r="G505" t="str">
        <f>Raw_Data!G505</f>
        <v>Consumer</v>
      </c>
      <c r="H505" t="str">
        <f>Raw_Data!H505</f>
        <v>Marketplace</v>
      </c>
      <c r="I505">
        <f>Raw_Data!I505</f>
        <v>11</v>
      </c>
      <c r="J505" s="3">
        <f>Raw_Data!J505</f>
        <v>35.97</v>
      </c>
      <c r="K505" s="4">
        <f>Raw_Data!K505</f>
        <v>0.15</v>
      </c>
      <c r="L505" s="3">
        <f>Raw_Data!L505</f>
        <v>336.32</v>
      </c>
      <c r="M505" s="3">
        <f>Raw_Data!M505</f>
        <v>235.51</v>
      </c>
      <c r="N505" s="3">
        <f>Raw_Data!N505</f>
        <v>100.81</v>
      </c>
      <c r="O505" t="str">
        <f t="shared" si="21"/>
        <v>2025-07</v>
      </c>
      <c r="P505" s="5">
        <f t="shared" si="22"/>
        <v>0.29974429115128448</v>
      </c>
      <c r="Q505" s="3">
        <f t="shared" si="23"/>
        <v>336.32</v>
      </c>
    </row>
    <row r="506" spans="1:17" x14ac:dyDescent="0.35">
      <c r="A506" t="str">
        <f>Raw_Data!A506</f>
        <v>ORD-0967</v>
      </c>
      <c r="B506" s="2">
        <f>Raw_Data!B506</f>
        <v>45843</v>
      </c>
      <c r="C506" t="str">
        <f>Raw_Data!C506</f>
        <v>North</v>
      </c>
      <c r="D506" t="str">
        <f>Raw_Data!D506</f>
        <v>Chandigarh</v>
      </c>
      <c r="E506" t="str">
        <f>Raw_Data!E506</f>
        <v>Technology</v>
      </c>
      <c r="F506" t="str">
        <f>Raw_Data!F506</f>
        <v>Keyboard</v>
      </c>
      <c r="G506" t="str">
        <f>Raw_Data!G506</f>
        <v>Consumer</v>
      </c>
      <c r="H506" t="str">
        <f>Raw_Data!H506</f>
        <v>In-Store</v>
      </c>
      <c r="I506">
        <f>Raw_Data!I506</f>
        <v>1</v>
      </c>
      <c r="J506" s="3">
        <f>Raw_Data!J506</f>
        <v>31.26</v>
      </c>
      <c r="K506" s="4">
        <f>Raw_Data!K506</f>
        <v>0.1</v>
      </c>
      <c r="L506" s="3">
        <f>Raw_Data!L506</f>
        <v>28.13</v>
      </c>
      <c r="M506" s="3">
        <f>Raw_Data!M506</f>
        <v>23.99</v>
      </c>
      <c r="N506" s="3">
        <f>Raw_Data!N506</f>
        <v>4.1399999999999997</v>
      </c>
      <c r="O506" t="str">
        <f t="shared" si="21"/>
        <v>2025-07</v>
      </c>
      <c r="P506" s="5">
        <f t="shared" si="22"/>
        <v>0.1471738357625311</v>
      </c>
      <c r="Q506" s="3">
        <f t="shared" si="23"/>
        <v>28.13</v>
      </c>
    </row>
    <row r="507" spans="1:17" x14ac:dyDescent="0.35">
      <c r="A507" t="str">
        <f>Raw_Data!A507</f>
        <v>ORD-0460</v>
      </c>
      <c r="B507" s="2">
        <f>Raw_Data!B507</f>
        <v>45844</v>
      </c>
      <c r="C507" t="str">
        <f>Raw_Data!C507</f>
        <v>South</v>
      </c>
      <c r="D507" t="str">
        <f>Raw_Data!D507</f>
        <v>Chennai</v>
      </c>
      <c r="E507" t="str">
        <f>Raw_Data!E507</f>
        <v>Home &amp; Kitchen</v>
      </c>
      <c r="F507" t="str">
        <f>Raw_Data!F507</f>
        <v>Coffee Maker</v>
      </c>
      <c r="G507" t="str">
        <f>Raw_Data!G507</f>
        <v>Consumer</v>
      </c>
      <c r="H507" t="str">
        <f>Raw_Data!H507</f>
        <v>Marketplace</v>
      </c>
      <c r="I507">
        <f>Raw_Data!I507</f>
        <v>8</v>
      </c>
      <c r="J507" s="3">
        <f>Raw_Data!J507</f>
        <v>65.73</v>
      </c>
      <c r="K507" s="4">
        <f>Raw_Data!K507</f>
        <v>0</v>
      </c>
      <c r="L507" s="3">
        <f>Raw_Data!L507</f>
        <v>525.84</v>
      </c>
      <c r="M507" s="3">
        <f>Raw_Data!M507</f>
        <v>406.89</v>
      </c>
      <c r="N507" s="3">
        <f>Raw_Data!N507</f>
        <v>118.95</v>
      </c>
      <c r="O507" t="str">
        <f t="shared" si="21"/>
        <v>2025-07</v>
      </c>
      <c r="P507" s="5">
        <f t="shared" si="22"/>
        <v>0.22620949338201735</v>
      </c>
      <c r="Q507" s="3">
        <f t="shared" si="23"/>
        <v>525.84</v>
      </c>
    </row>
    <row r="508" spans="1:17" x14ac:dyDescent="0.35">
      <c r="A508" t="str">
        <f>Raw_Data!A508</f>
        <v>ORD-0563</v>
      </c>
      <c r="B508" s="2">
        <f>Raw_Data!B508</f>
        <v>45844</v>
      </c>
      <c r="C508" t="str">
        <f>Raw_Data!C508</f>
        <v>East</v>
      </c>
      <c r="D508" t="str">
        <f>Raw_Data!D508</f>
        <v>Kolkata</v>
      </c>
      <c r="E508" t="str">
        <f>Raw_Data!E508</f>
        <v>Home &amp; Kitchen</v>
      </c>
      <c r="F508" t="str">
        <f>Raw_Data!F508</f>
        <v>Storage Box</v>
      </c>
      <c r="G508" t="str">
        <f>Raw_Data!G508</f>
        <v>Small Business</v>
      </c>
      <c r="H508" t="str">
        <f>Raw_Data!H508</f>
        <v>In-Store</v>
      </c>
      <c r="I508">
        <f>Raw_Data!I508</f>
        <v>12</v>
      </c>
      <c r="J508" s="3">
        <f>Raw_Data!J508</f>
        <v>16.39</v>
      </c>
      <c r="K508" s="4">
        <f>Raw_Data!K508</f>
        <v>0.05</v>
      </c>
      <c r="L508" s="3">
        <f>Raw_Data!L508</f>
        <v>186.85</v>
      </c>
      <c r="M508" s="3">
        <f>Raw_Data!M508</f>
        <v>140.94999999999999</v>
      </c>
      <c r="N508" s="3">
        <f>Raw_Data!N508</f>
        <v>45.9</v>
      </c>
      <c r="O508" t="str">
        <f t="shared" si="21"/>
        <v>2025-07</v>
      </c>
      <c r="P508" s="5">
        <f t="shared" si="22"/>
        <v>0.24565159218624566</v>
      </c>
      <c r="Q508" s="3">
        <f t="shared" si="23"/>
        <v>186.85</v>
      </c>
    </row>
    <row r="509" spans="1:17" x14ac:dyDescent="0.35">
      <c r="A509" t="str">
        <f>Raw_Data!A509</f>
        <v>ORD-0007</v>
      </c>
      <c r="B509" s="2">
        <f>Raw_Data!B509</f>
        <v>45844</v>
      </c>
      <c r="C509" t="str">
        <f>Raw_Data!C509</f>
        <v>North</v>
      </c>
      <c r="D509" t="str">
        <f>Raw_Data!D509</f>
        <v>Delhi</v>
      </c>
      <c r="E509" t="str">
        <f>Raw_Data!E509</f>
        <v>Office Supplies</v>
      </c>
      <c r="F509" t="str">
        <f>Raw_Data!F509</f>
        <v>Desk Organizer</v>
      </c>
      <c r="G509" t="str">
        <f>Raw_Data!G509</f>
        <v>Corporate</v>
      </c>
      <c r="H509" t="str">
        <f>Raw_Data!H509</f>
        <v>Marketplace</v>
      </c>
      <c r="I509">
        <f>Raw_Data!I509</f>
        <v>6</v>
      </c>
      <c r="J509" s="3">
        <f>Raw_Data!J509</f>
        <v>19.39</v>
      </c>
      <c r="K509" s="4">
        <f>Raw_Data!K509</f>
        <v>0.05</v>
      </c>
      <c r="L509" s="3">
        <f>Raw_Data!L509</f>
        <v>110.52</v>
      </c>
      <c r="M509" s="3">
        <f>Raw_Data!M509</f>
        <v>80.34</v>
      </c>
      <c r="N509" s="3">
        <f>Raw_Data!N509</f>
        <v>30.18</v>
      </c>
      <c r="O509" t="str">
        <f t="shared" si="21"/>
        <v>2025-07</v>
      </c>
      <c r="P509" s="5">
        <f t="shared" si="22"/>
        <v>0.2730727470141151</v>
      </c>
      <c r="Q509" s="3">
        <f t="shared" si="23"/>
        <v>110.52</v>
      </c>
    </row>
    <row r="510" spans="1:17" x14ac:dyDescent="0.35">
      <c r="A510" t="str">
        <f>Raw_Data!A510</f>
        <v>ORD-0986</v>
      </c>
      <c r="B510" s="2">
        <f>Raw_Data!B510</f>
        <v>45844</v>
      </c>
      <c r="C510" t="str">
        <f>Raw_Data!C510</f>
        <v>West</v>
      </c>
      <c r="D510" t="str">
        <f>Raw_Data!D510</f>
        <v>Ahmedabad</v>
      </c>
      <c r="E510" t="str">
        <f>Raw_Data!E510</f>
        <v>Furniture</v>
      </c>
      <c r="F510" t="str">
        <f>Raw_Data!F510</f>
        <v>Office Chair</v>
      </c>
      <c r="G510" t="str">
        <f>Raw_Data!G510</f>
        <v>Small Business</v>
      </c>
      <c r="H510" t="str">
        <f>Raw_Data!H510</f>
        <v>In-Store</v>
      </c>
      <c r="I510">
        <f>Raw_Data!I510</f>
        <v>2</v>
      </c>
      <c r="J510" s="3">
        <f>Raw_Data!J510</f>
        <v>132.34</v>
      </c>
      <c r="K510" s="4">
        <f>Raw_Data!K510</f>
        <v>0.1</v>
      </c>
      <c r="L510" s="3">
        <f>Raw_Data!L510</f>
        <v>238.21</v>
      </c>
      <c r="M510" s="3">
        <f>Raw_Data!M510</f>
        <v>147.53</v>
      </c>
      <c r="N510" s="3">
        <f>Raw_Data!N510</f>
        <v>90.68</v>
      </c>
      <c r="O510" t="str">
        <f t="shared" si="21"/>
        <v>2025-07</v>
      </c>
      <c r="P510" s="5">
        <f t="shared" si="22"/>
        <v>0.38067251584736161</v>
      </c>
      <c r="Q510" s="3">
        <f t="shared" si="23"/>
        <v>238.21</v>
      </c>
    </row>
    <row r="511" spans="1:17" x14ac:dyDescent="0.35">
      <c r="A511" t="str">
        <f>Raw_Data!A511</f>
        <v>ORD-0102</v>
      </c>
      <c r="B511" s="2">
        <f>Raw_Data!B511</f>
        <v>45845</v>
      </c>
      <c r="C511" t="str">
        <f>Raw_Data!C511</f>
        <v>East</v>
      </c>
      <c r="D511" t="str">
        <f>Raw_Data!D511</f>
        <v>Kolkata</v>
      </c>
      <c r="E511" t="str">
        <f>Raw_Data!E511</f>
        <v>Furniture</v>
      </c>
      <c r="F511" t="str">
        <f>Raw_Data!F511</f>
        <v>Desk Lamp</v>
      </c>
      <c r="G511" t="str">
        <f>Raw_Data!G511</f>
        <v>Corporate</v>
      </c>
      <c r="H511" t="str">
        <f>Raw_Data!H511</f>
        <v>In-Store</v>
      </c>
      <c r="I511">
        <f>Raw_Data!I511</f>
        <v>5</v>
      </c>
      <c r="J511" s="3">
        <f>Raw_Data!J511</f>
        <v>44.46</v>
      </c>
      <c r="K511" s="4">
        <f>Raw_Data!K511</f>
        <v>0.1</v>
      </c>
      <c r="L511" s="3">
        <f>Raw_Data!L511</f>
        <v>200.07</v>
      </c>
      <c r="M511" s="3">
        <f>Raw_Data!M511</f>
        <v>171.22</v>
      </c>
      <c r="N511" s="3">
        <f>Raw_Data!N511</f>
        <v>28.85</v>
      </c>
      <c r="O511" t="str">
        <f t="shared" si="21"/>
        <v>2025-07</v>
      </c>
      <c r="P511" s="5">
        <f t="shared" si="22"/>
        <v>0.14419953016444245</v>
      </c>
      <c r="Q511" s="3">
        <f t="shared" si="23"/>
        <v>200.07</v>
      </c>
    </row>
    <row r="512" spans="1:17" x14ac:dyDescent="0.35">
      <c r="A512" t="str">
        <f>Raw_Data!A512</f>
        <v>ORD-0578</v>
      </c>
      <c r="B512" s="2">
        <f>Raw_Data!B512</f>
        <v>45845</v>
      </c>
      <c r="C512" t="str">
        <f>Raw_Data!C512</f>
        <v>West</v>
      </c>
      <c r="D512" t="str">
        <f>Raw_Data!D512</f>
        <v>Mumbai</v>
      </c>
      <c r="E512" t="str">
        <f>Raw_Data!E512</f>
        <v>Technology</v>
      </c>
      <c r="F512" t="str">
        <f>Raw_Data!F512</f>
        <v>Wireless Mouse</v>
      </c>
      <c r="G512" t="str">
        <f>Raw_Data!G512</f>
        <v>Corporate</v>
      </c>
      <c r="H512" t="str">
        <f>Raw_Data!H512</f>
        <v>Online</v>
      </c>
      <c r="I512">
        <f>Raw_Data!I512</f>
        <v>10</v>
      </c>
      <c r="J512" s="3">
        <f>Raw_Data!J512</f>
        <v>18.34</v>
      </c>
      <c r="K512" s="4">
        <f>Raw_Data!K512</f>
        <v>0.05</v>
      </c>
      <c r="L512" s="3">
        <f>Raw_Data!L512</f>
        <v>174.23</v>
      </c>
      <c r="M512" s="3">
        <f>Raw_Data!M512</f>
        <v>94.26</v>
      </c>
      <c r="N512" s="3">
        <f>Raw_Data!N512</f>
        <v>79.97</v>
      </c>
      <c r="O512" t="str">
        <f t="shared" si="21"/>
        <v>2025-07</v>
      </c>
      <c r="P512" s="5">
        <f t="shared" si="22"/>
        <v>0.45899098892268841</v>
      </c>
      <c r="Q512" s="3">
        <f t="shared" si="23"/>
        <v>174.23</v>
      </c>
    </row>
    <row r="513" spans="1:17" x14ac:dyDescent="0.35">
      <c r="A513" t="str">
        <f>Raw_Data!A513</f>
        <v>ORD-0630</v>
      </c>
      <c r="B513" s="2">
        <f>Raw_Data!B513</f>
        <v>45845</v>
      </c>
      <c r="C513" t="str">
        <f>Raw_Data!C513</f>
        <v>South</v>
      </c>
      <c r="D513" t="str">
        <f>Raw_Data!D513</f>
        <v>Bengaluru</v>
      </c>
      <c r="E513" t="str">
        <f>Raw_Data!E513</f>
        <v>Home &amp; Kitchen</v>
      </c>
      <c r="F513" t="str">
        <f>Raw_Data!F513</f>
        <v>Water Bottle</v>
      </c>
      <c r="G513" t="str">
        <f>Raw_Data!G513</f>
        <v>Consumer</v>
      </c>
      <c r="H513" t="str">
        <f>Raw_Data!H513</f>
        <v>In-Store</v>
      </c>
      <c r="I513">
        <f>Raw_Data!I513</f>
        <v>6</v>
      </c>
      <c r="J513" s="3">
        <f>Raw_Data!J513</f>
        <v>15.65</v>
      </c>
      <c r="K513" s="4">
        <f>Raw_Data!K513</f>
        <v>0.15</v>
      </c>
      <c r="L513" s="3">
        <f>Raw_Data!L513</f>
        <v>79.81</v>
      </c>
      <c r="M513" s="3">
        <f>Raw_Data!M513</f>
        <v>64.930000000000007</v>
      </c>
      <c r="N513" s="3">
        <f>Raw_Data!N513</f>
        <v>14.88</v>
      </c>
      <c r="O513" t="str">
        <f t="shared" si="21"/>
        <v>2025-07</v>
      </c>
      <c r="P513" s="5">
        <f t="shared" si="22"/>
        <v>0.1864428016539281</v>
      </c>
      <c r="Q513" s="3">
        <f t="shared" si="23"/>
        <v>79.81</v>
      </c>
    </row>
    <row r="514" spans="1:17" x14ac:dyDescent="0.35">
      <c r="A514" t="str">
        <f>Raw_Data!A514</f>
        <v>ORD-0109</v>
      </c>
      <c r="B514" s="2">
        <f>Raw_Data!B514</f>
        <v>45846</v>
      </c>
      <c r="C514" t="str">
        <f>Raw_Data!C514</f>
        <v>West</v>
      </c>
      <c r="D514" t="str">
        <f>Raw_Data!D514</f>
        <v>Mumbai</v>
      </c>
      <c r="E514" t="str">
        <f>Raw_Data!E514</f>
        <v>Furniture</v>
      </c>
      <c r="F514" t="str">
        <f>Raw_Data!F514</f>
        <v>Office Chair</v>
      </c>
      <c r="G514" t="str">
        <f>Raw_Data!G514</f>
        <v>Consumer</v>
      </c>
      <c r="H514" t="str">
        <f>Raw_Data!H514</f>
        <v>Marketplace</v>
      </c>
      <c r="I514">
        <f>Raw_Data!I514</f>
        <v>7</v>
      </c>
      <c r="J514" s="3">
        <f>Raw_Data!J514</f>
        <v>137.25</v>
      </c>
      <c r="K514" s="4">
        <f>Raw_Data!K514</f>
        <v>0</v>
      </c>
      <c r="L514" s="3">
        <f>Raw_Data!L514</f>
        <v>960.75</v>
      </c>
      <c r="M514" s="3">
        <f>Raw_Data!M514</f>
        <v>734.69</v>
      </c>
      <c r="N514" s="3">
        <f>Raw_Data!N514</f>
        <v>226.06</v>
      </c>
      <c r="O514" t="str">
        <f t="shared" ref="O514:O577" si="24">TEXT(B514,"yyyy-mm")</f>
        <v>2025-07</v>
      </c>
      <c r="P514" s="5">
        <f t="shared" ref="P514:P577" si="25">IFERROR(N514/L514,0)</f>
        <v>0.23529534218058809</v>
      </c>
      <c r="Q514" s="3">
        <f t="shared" ref="Q514:Q577" si="26">IFERROR(L514,0)</f>
        <v>960.75</v>
      </c>
    </row>
    <row r="515" spans="1:17" x14ac:dyDescent="0.35">
      <c r="A515" t="str">
        <f>Raw_Data!A515</f>
        <v>ORD-0146</v>
      </c>
      <c r="B515" s="2">
        <f>Raw_Data!B515</f>
        <v>45846</v>
      </c>
      <c r="C515" t="str">
        <f>Raw_Data!C515</f>
        <v>South</v>
      </c>
      <c r="D515" t="str">
        <f>Raw_Data!D515</f>
        <v>Bengaluru</v>
      </c>
      <c r="E515" t="str">
        <f>Raw_Data!E515</f>
        <v>Home &amp; Kitchen</v>
      </c>
      <c r="F515" t="str">
        <f>Raw_Data!F515</f>
        <v>Lunch Box</v>
      </c>
      <c r="G515" t="str">
        <f>Raw_Data!G515</f>
        <v>Consumer</v>
      </c>
      <c r="H515" t="str">
        <f>Raw_Data!H515</f>
        <v>Marketplace</v>
      </c>
      <c r="I515">
        <f>Raw_Data!I515</f>
        <v>5</v>
      </c>
      <c r="J515" s="3">
        <f>Raw_Data!J515</f>
        <v>22.45</v>
      </c>
      <c r="K515" s="4">
        <f>Raw_Data!K515</f>
        <v>0.15</v>
      </c>
      <c r="L515" s="3">
        <f>Raw_Data!L515</f>
        <v>95.41</v>
      </c>
      <c r="M515" s="3">
        <f>Raw_Data!M515</f>
        <v>71.64</v>
      </c>
      <c r="N515" s="3">
        <f>Raw_Data!N515</f>
        <v>23.77</v>
      </c>
      <c r="O515" t="str">
        <f t="shared" si="24"/>
        <v>2025-07</v>
      </c>
      <c r="P515" s="5">
        <f t="shared" si="25"/>
        <v>0.24913531076407086</v>
      </c>
      <c r="Q515" s="3">
        <f t="shared" si="26"/>
        <v>95.41</v>
      </c>
    </row>
    <row r="516" spans="1:17" x14ac:dyDescent="0.35">
      <c r="A516" t="str">
        <f>Raw_Data!A516</f>
        <v>ORD-0764</v>
      </c>
      <c r="B516" s="2">
        <f>Raw_Data!B516</f>
        <v>45847</v>
      </c>
      <c r="C516" t="str">
        <f>Raw_Data!C516</f>
        <v>West</v>
      </c>
      <c r="D516" t="str">
        <f>Raw_Data!D516</f>
        <v>Mumbai</v>
      </c>
      <c r="E516" t="str">
        <f>Raw_Data!E516</f>
        <v>Home &amp; Kitchen</v>
      </c>
      <c r="F516" t="str">
        <f>Raw_Data!F516</f>
        <v>Lunch Box</v>
      </c>
      <c r="G516" t="str">
        <f>Raw_Data!G516</f>
        <v>Corporate</v>
      </c>
      <c r="H516" t="str">
        <f>Raw_Data!H516</f>
        <v>In-Store</v>
      </c>
      <c r="I516">
        <f>Raw_Data!I516</f>
        <v>5</v>
      </c>
      <c r="J516" s="3">
        <f>Raw_Data!J516</f>
        <v>21.09</v>
      </c>
      <c r="K516" s="4">
        <f>Raw_Data!K516</f>
        <v>0.1</v>
      </c>
      <c r="L516" s="3">
        <f>Raw_Data!L516</f>
        <v>94.91</v>
      </c>
      <c r="M516" s="3">
        <f>Raw_Data!M516</f>
        <v>82.14</v>
      </c>
      <c r="N516" s="3">
        <f>Raw_Data!N516</f>
        <v>12.77</v>
      </c>
      <c r="O516" t="str">
        <f t="shared" si="24"/>
        <v>2025-07</v>
      </c>
      <c r="P516" s="5">
        <f t="shared" si="25"/>
        <v>0.13454851965019493</v>
      </c>
      <c r="Q516" s="3">
        <f t="shared" si="26"/>
        <v>94.91</v>
      </c>
    </row>
    <row r="517" spans="1:17" x14ac:dyDescent="0.35">
      <c r="A517" t="str">
        <f>Raw_Data!A517</f>
        <v>ORD-0425</v>
      </c>
      <c r="B517" s="2">
        <f>Raw_Data!B517</f>
        <v>45847</v>
      </c>
      <c r="C517" t="str">
        <f>Raw_Data!C517</f>
        <v>West</v>
      </c>
      <c r="D517" t="str">
        <f>Raw_Data!D517</f>
        <v>Ahmedabad</v>
      </c>
      <c r="E517" t="str">
        <f>Raw_Data!E517</f>
        <v>Office Supplies</v>
      </c>
      <c r="F517" t="str">
        <f>Raw_Data!F517</f>
        <v>Notebook Pack</v>
      </c>
      <c r="G517" t="str">
        <f>Raw_Data!G517</f>
        <v>Consumer</v>
      </c>
      <c r="H517" t="str">
        <f>Raw_Data!H517</f>
        <v>Online</v>
      </c>
      <c r="I517">
        <f>Raw_Data!I517</f>
        <v>11</v>
      </c>
      <c r="J517" s="3">
        <f>Raw_Data!J517</f>
        <v>11.07</v>
      </c>
      <c r="K517" s="4">
        <f>Raw_Data!K517</f>
        <v>0.05</v>
      </c>
      <c r="L517" s="3">
        <f>Raw_Data!L517</f>
        <v>115.68</v>
      </c>
      <c r="M517" s="3">
        <f>Raw_Data!M517</f>
        <v>72.63</v>
      </c>
      <c r="N517" s="3">
        <f>Raw_Data!N517</f>
        <v>43.05</v>
      </c>
      <c r="O517" t="str">
        <f t="shared" si="24"/>
        <v>2025-07</v>
      </c>
      <c r="P517" s="5">
        <f t="shared" si="25"/>
        <v>0.37214730290456427</v>
      </c>
      <c r="Q517" s="3">
        <f t="shared" si="26"/>
        <v>115.68</v>
      </c>
    </row>
    <row r="518" spans="1:17" x14ac:dyDescent="0.35">
      <c r="A518" t="str">
        <f>Raw_Data!A518</f>
        <v>ORD-0916</v>
      </c>
      <c r="B518" s="2">
        <f>Raw_Data!B518</f>
        <v>45847</v>
      </c>
      <c r="C518" t="str">
        <f>Raw_Data!C518</f>
        <v>West</v>
      </c>
      <c r="D518" t="str">
        <f>Raw_Data!D518</f>
        <v>Pune</v>
      </c>
      <c r="E518" t="str">
        <f>Raw_Data!E518</f>
        <v>Office Supplies</v>
      </c>
      <c r="F518" t="str">
        <f>Raw_Data!F518</f>
        <v>Printer Paper</v>
      </c>
      <c r="G518" t="str">
        <f>Raw_Data!G518</f>
        <v>Corporate</v>
      </c>
      <c r="H518" t="str">
        <f>Raw_Data!H518</f>
        <v>In-Store</v>
      </c>
      <c r="I518">
        <f>Raw_Data!I518</f>
        <v>12</v>
      </c>
      <c r="J518" s="3">
        <f>Raw_Data!J518</f>
        <v>15.15</v>
      </c>
      <c r="K518" s="4">
        <f>Raw_Data!K518</f>
        <v>0.1</v>
      </c>
      <c r="L518" s="3">
        <f>Raw_Data!L518</f>
        <v>163.62</v>
      </c>
      <c r="M518" s="3">
        <f>Raw_Data!M518</f>
        <v>141.05000000000001</v>
      </c>
      <c r="N518" s="3">
        <f>Raw_Data!N518</f>
        <v>22.57</v>
      </c>
      <c r="O518" t="str">
        <f t="shared" si="24"/>
        <v>2025-07</v>
      </c>
      <c r="P518" s="5">
        <f t="shared" si="25"/>
        <v>0.13794157193497128</v>
      </c>
      <c r="Q518" s="3">
        <f t="shared" si="26"/>
        <v>163.62</v>
      </c>
    </row>
    <row r="519" spans="1:17" x14ac:dyDescent="0.35">
      <c r="A519" t="str">
        <f>Raw_Data!A519</f>
        <v>ORD-0500</v>
      </c>
      <c r="B519" s="2">
        <f>Raw_Data!B519</f>
        <v>45848</v>
      </c>
      <c r="C519" t="str">
        <f>Raw_Data!C519</f>
        <v>South</v>
      </c>
      <c r="D519" t="str">
        <f>Raw_Data!D519</f>
        <v>Hyderabad</v>
      </c>
      <c r="E519" t="str">
        <f>Raw_Data!E519</f>
        <v>Home &amp; Kitchen</v>
      </c>
      <c r="F519" t="str">
        <f>Raw_Data!F519</f>
        <v>Lunch Box</v>
      </c>
      <c r="G519" t="str">
        <f>Raw_Data!G519</f>
        <v>Small Business</v>
      </c>
      <c r="H519" t="str">
        <f>Raw_Data!H519</f>
        <v>Marketplace</v>
      </c>
      <c r="I519">
        <f>Raw_Data!I519</f>
        <v>12</v>
      </c>
      <c r="J519" s="3">
        <f>Raw_Data!J519</f>
        <v>19.260000000000002</v>
      </c>
      <c r="K519" s="4">
        <f>Raw_Data!K519</f>
        <v>0</v>
      </c>
      <c r="L519" s="3">
        <f>Raw_Data!L519</f>
        <v>231.12</v>
      </c>
      <c r="M519" s="3">
        <f>Raw_Data!M519</f>
        <v>149.97999999999999</v>
      </c>
      <c r="N519" s="3">
        <f>Raw_Data!N519</f>
        <v>81.14</v>
      </c>
      <c r="O519" t="str">
        <f t="shared" si="24"/>
        <v>2025-07</v>
      </c>
      <c r="P519" s="5">
        <f t="shared" si="25"/>
        <v>0.35107303565247489</v>
      </c>
      <c r="Q519" s="3">
        <f t="shared" si="26"/>
        <v>231.12</v>
      </c>
    </row>
    <row r="520" spans="1:17" x14ac:dyDescent="0.35">
      <c r="A520" t="str">
        <f>Raw_Data!A520</f>
        <v>ORD-0818</v>
      </c>
      <c r="B520" s="2">
        <f>Raw_Data!B520</f>
        <v>45849</v>
      </c>
      <c r="C520" t="str">
        <f>Raw_Data!C520</f>
        <v>North</v>
      </c>
      <c r="D520" t="str">
        <f>Raw_Data!D520</f>
        <v>Delhi</v>
      </c>
      <c r="E520" t="str">
        <f>Raw_Data!E520</f>
        <v>Home &amp; Kitchen</v>
      </c>
      <c r="F520" t="str">
        <f>Raw_Data!F520</f>
        <v>Lunch Box</v>
      </c>
      <c r="G520" t="str">
        <f>Raw_Data!G520</f>
        <v>Consumer</v>
      </c>
      <c r="H520" t="str">
        <f>Raw_Data!H520</f>
        <v>Online</v>
      </c>
      <c r="I520">
        <f>Raw_Data!I520</f>
        <v>8</v>
      </c>
      <c r="J520" s="3">
        <f>Raw_Data!J520</f>
        <v>18.88</v>
      </c>
      <c r="K520" s="4">
        <f>Raw_Data!K520</f>
        <v>0.1</v>
      </c>
      <c r="L520" s="3">
        <f>Raw_Data!L520</f>
        <v>135.94</v>
      </c>
      <c r="M520" s="3">
        <f>Raw_Data!M520</f>
        <v>101.41</v>
      </c>
      <c r="N520" s="3">
        <f>Raw_Data!N520</f>
        <v>34.53</v>
      </c>
      <c r="O520" t="str">
        <f t="shared" si="24"/>
        <v>2025-07</v>
      </c>
      <c r="P520" s="5">
        <f t="shared" si="25"/>
        <v>0.25400912167132561</v>
      </c>
      <c r="Q520" s="3">
        <f t="shared" si="26"/>
        <v>135.94</v>
      </c>
    </row>
    <row r="521" spans="1:17" x14ac:dyDescent="0.35">
      <c r="A521" t="str">
        <f>Raw_Data!A521</f>
        <v>ORD-0815</v>
      </c>
      <c r="B521" s="2">
        <f>Raw_Data!B521</f>
        <v>45849</v>
      </c>
      <c r="C521" t="str">
        <f>Raw_Data!C521</f>
        <v>South</v>
      </c>
      <c r="D521" t="str">
        <f>Raw_Data!D521</f>
        <v>Bengaluru</v>
      </c>
      <c r="E521" t="str">
        <f>Raw_Data!E521</f>
        <v>Furniture</v>
      </c>
      <c r="F521" t="str">
        <f>Raw_Data!F521</f>
        <v>Standing Desk</v>
      </c>
      <c r="G521" t="str">
        <f>Raw_Data!G521</f>
        <v>Corporate</v>
      </c>
      <c r="H521" t="str">
        <f>Raw_Data!H521</f>
        <v>In-Store</v>
      </c>
      <c r="I521">
        <f>Raw_Data!I521</f>
        <v>11</v>
      </c>
      <c r="J521" s="3">
        <f>Raw_Data!J521</f>
        <v>243.25</v>
      </c>
      <c r="K521" s="4">
        <f>Raw_Data!K521</f>
        <v>0</v>
      </c>
      <c r="L521" s="3">
        <f>Raw_Data!L521</f>
        <v>2675.75</v>
      </c>
      <c r="M521" s="3">
        <f>Raw_Data!M521</f>
        <v>1896.91</v>
      </c>
      <c r="N521" s="3">
        <f>Raw_Data!N521</f>
        <v>778.84</v>
      </c>
      <c r="O521" t="str">
        <f t="shared" si="24"/>
        <v>2025-07</v>
      </c>
      <c r="P521" s="5">
        <f t="shared" si="25"/>
        <v>0.29107353078576104</v>
      </c>
      <c r="Q521" s="3">
        <f t="shared" si="26"/>
        <v>2675.75</v>
      </c>
    </row>
    <row r="522" spans="1:17" x14ac:dyDescent="0.35">
      <c r="A522" t="str">
        <f>Raw_Data!A522</f>
        <v>ORD-0363</v>
      </c>
      <c r="B522" s="2">
        <f>Raw_Data!B522</f>
        <v>45849</v>
      </c>
      <c r="C522" t="str">
        <f>Raw_Data!C522</f>
        <v>South</v>
      </c>
      <c r="D522" t="str">
        <f>Raw_Data!D522</f>
        <v>Chennai</v>
      </c>
      <c r="E522" t="str">
        <f>Raw_Data!E522</f>
        <v>Technology</v>
      </c>
      <c r="F522" t="str">
        <f>Raw_Data!F522</f>
        <v>Headphones</v>
      </c>
      <c r="G522" t="str">
        <f>Raw_Data!G522</f>
        <v>Consumer</v>
      </c>
      <c r="H522" t="str">
        <f>Raw_Data!H522</f>
        <v>Marketplace</v>
      </c>
      <c r="I522">
        <f>Raw_Data!I522</f>
        <v>9</v>
      </c>
      <c r="J522" s="3">
        <f>Raw_Data!J522</f>
        <v>50.42</v>
      </c>
      <c r="K522" s="4">
        <f>Raw_Data!K522</f>
        <v>0</v>
      </c>
      <c r="L522" s="3">
        <f>Raw_Data!L522</f>
        <v>453.78</v>
      </c>
      <c r="M522" s="3">
        <f>Raw_Data!M522</f>
        <v>303.13</v>
      </c>
      <c r="N522" s="3">
        <f>Raw_Data!N522</f>
        <v>150.65</v>
      </c>
      <c r="O522" t="str">
        <f t="shared" si="24"/>
        <v>2025-07</v>
      </c>
      <c r="P522" s="5">
        <f t="shared" si="25"/>
        <v>0.33198906959319496</v>
      </c>
      <c r="Q522" s="3">
        <f t="shared" si="26"/>
        <v>453.78</v>
      </c>
    </row>
    <row r="523" spans="1:17" x14ac:dyDescent="0.35">
      <c r="A523" t="str">
        <f>Raw_Data!A523</f>
        <v>ORD-0846</v>
      </c>
      <c r="B523" s="2">
        <f>Raw_Data!B523</f>
        <v>45849</v>
      </c>
      <c r="C523" t="str">
        <f>Raw_Data!C523</f>
        <v>East</v>
      </c>
      <c r="D523" t="str">
        <f>Raw_Data!D523</f>
        <v>Guwahati</v>
      </c>
      <c r="E523" t="str">
        <f>Raw_Data!E523</f>
        <v>Office Supplies</v>
      </c>
      <c r="F523" t="str">
        <f>Raw_Data!F523</f>
        <v>Pen Set</v>
      </c>
      <c r="G523" t="str">
        <f>Raw_Data!G523</f>
        <v>Consumer</v>
      </c>
      <c r="H523" t="str">
        <f>Raw_Data!H523</f>
        <v>Marketplace</v>
      </c>
      <c r="I523">
        <f>Raw_Data!I523</f>
        <v>2</v>
      </c>
      <c r="J523" s="3">
        <f>Raw_Data!J523</f>
        <v>6.84</v>
      </c>
      <c r="K523" s="4">
        <f>Raw_Data!K523</f>
        <v>0</v>
      </c>
      <c r="L523" s="3">
        <f>Raw_Data!L523</f>
        <v>13.68</v>
      </c>
      <c r="M523" s="3">
        <f>Raw_Data!M523</f>
        <v>10.63</v>
      </c>
      <c r="N523" s="3">
        <f>Raw_Data!N523</f>
        <v>3.05</v>
      </c>
      <c r="O523" t="str">
        <f t="shared" si="24"/>
        <v>2025-07</v>
      </c>
      <c r="P523" s="5">
        <f t="shared" si="25"/>
        <v>0.22295321637426899</v>
      </c>
      <c r="Q523" s="3">
        <f t="shared" si="26"/>
        <v>13.68</v>
      </c>
    </row>
    <row r="524" spans="1:17" x14ac:dyDescent="0.35">
      <c r="A524" t="str">
        <f>Raw_Data!A524</f>
        <v>ORD-0184</v>
      </c>
      <c r="B524" s="2">
        <f>Raw_Data!B524</f>
        <v>45849</v>
      </c>
      <c r="C524" t="str">
        <f>Raw_Data!C524</f>
        <v>North</v>
      </c>
      <c r="D524" t="str">
        <f>Raw_Data!D524</f>
        <v>Delhi</v>
      </c>
      <c r="E524" t="str">
        <f>Raw_Data!E524</f>
        <v>Furniture</v>
      </c>
      <c r="F524" t="str">
        <f>Raw_Data!F524</f>
        <v>Bookshelf</v>
      </c>
      <c r="G524" t="str">
        <f>Raw_Data!G524</f>
        <v>Consumer</v>
      </c>
      <c r="H524" t="str">
        <f>Raw_Data!H524</f>
        <v>Online</v>
      </c>
      <c r="I524">
        <f>Raw_Data!I524</f>
        <v>3</v>
      </c>
      <c r="J524" s="3">
        <f>Raw_Data!J524</f>
        <v>101.16</v>
      </c>
      <c r="K524" s="4">
        <f>Raw_Data!K524</f>
        <v>0.15</v>
      </c>
      <c r="L524" s="3">
        <f>Raw_Data!L524</f>
        <v>257.95999999999998</v>
      </c>
      <c r="M524" s="3">
        <f>Raw_Data!M524</f>
        <v>182.21</v>
      </c>
      <c r="N524" s="3">
        <f>Raw_Data!N524</f>
        <v>75.75</v>
      </c>
      <c r="O524" t="str">
        <f t="shared" si="24"/>
        <v>2025-07</v>
      </c>
      <c r="P524" s="5">
        <f t="shared" si="25"/>
        <v>0.29365017832222051</v>
      </c>
      <c r="Q524" s="3">
        <f t="shared" si="26"/>
        <v>257.95999999999998</v>
      </c>
    </row>
    <row r="525" spans="1:17" x14ac:dyDescent="0.35">
      <c r="A525" t="str">
        <f>Raw_Data!A525</f>
        <v>ORD-0788</v>
      </c>
      <c r="B525" s="2">
        <f>Raw_Data!B525</f>
        <v>45850</v>
      </c>
      <c r="C525" t="str">
        <f>Raw_Data!C525</f>
        <v>East</v>
      </c>
      <c r="D525" t="str">
        <f>Raw_Data!D525</f>
        <v>Kolkata</v>
      </c>
      <c r="E525" t="str">
        <f>Raw_Data!E525</f>
        <v>Furniture</v>
      </c>
      <c r="F525" t="str">
        <f>Raw_Data!F525</f>
        <v>Standing Desk</v>
      </c>
      <c r="G525" t="str">
        <f>Raw_Data!G525</f>
        <v>Consumer</v>
      </c>
      <c r="H525" t="str">
        <f>Raw_Data!H525</f>
        <v>In-Store</v>
      </c>
      <c r="I525">
        <f>Raw_Data!I525</f>
        <v>3</v>
      </c>
      <c r="J525" s="3">
        <f>Raw_Data!J525</f>
        <v>297.36</v>
      </c>
      <c r="K525" s="4">
        <f>Raw_Data!K525</f>
        <v>0</v>
      </c>
      <c r="L525" s="3">
        <f>Raw_Data!L525</f>
        <v>892.08</v>
      </c>
      <c r="M525" s="3">
        <f>Raw_Data!M525</f>
        <v>461.59</v>
      </c>
      <c r="N525" s="3">
        <f>Raw_Data!N525</f>
        <v>430.49</v>
      </c>
      <c r="O525" t="str">
        <f t="shared" si="24"/>
        <v>2025-07</v>
      </c>
      <c r="P525" s="5">
        <f t="shared" si="25"/>
        <v>0.48256882790781097</v>
      </c>
      <c r="Q525" s="3">
        <f t="shared" si="26"/>
        <v>892.08</v>
      </c>
    </row>
    <row r="526" spans="1:17" x14ac:dyDescent="0.35">
      <c r="A526" t="str">
        <f>Raw_Data!A526</f>
        <v>ORD-0874</v>
      </c>
      <c r="B526" s="2">
        <f>Raw_Data!B526</f>
        <v>45851</v>
      </c>
      <c r="C526" t="str">
        <f>Raw_Data!C526</f>
        <v>West</v>
      </c>
      <c r="D526" t="str">
        <f>Raw_Data!D526</f>
        <v>Mumbai</v>
      </c>
      <c r="E526" t="str">
        <f>Raw_Data!E526</f>
        <v>Technology</v>
      </c>
      <c r="F526" t="str">
        <f>Raw_Data!F526</f>
        <v>Headphones</v>
      </c>
      <c r="G526" t="str">
        <f>Raw_Data!G526</f>
        <v>Corporate</v>
      </c>
      <c r="H526" t="str">
        <f>Raw_Data!H526</f>
        <v>Online</v>
      </c>
      <c r="I526">
        <f>Raw_Data!I526</f>
        <v>2</v>
      </c>
      <c r="J526" s="3">
        <f>Raw_Data!J526</f>
        <v>53.34</v>
      </c>
      <c r="K526" s="4">
        <f>Raw_Data!K526</f>
        <v>0.15</v>
      </c>
      <c r="L526" s="3">
        <f>Raw_Data!L526</f>
        <v>90.68</v>
      </c>
      <c r="M526" s="3">
        <f>Raw_Data!M526</f>
        <v>58.72</v>
      </c>
      <c r="N526" s="3">
        <f>Raw_Data!N526</f>
        <v>31.96</v>
      </c>
      <c r="O526" t="str">
        <f t="shared" si="24"/>
        <v>2025-07</v>
      </c>
      <c r="P526" s="5">
        <f t="shared" si="25"/>
        <v>0.35244816938685486</v>
      </c>
      <c r="Q526" s="3">
        <f t="shared" si="26"/>
        <v>90.68</v>
      </c>
    </row>
    <row r="527" spans="1:17" x14ac:dyDescent="0.35">
      <c r="A527" t="str">
        <f>Raw_Data!A527</f>
        <v>ORD-0212</v>
      </c>
      <c r="B527" s="2">
        <f>Raw_Data!B527</f>
        <v>45851</v>
      </c>
      <c r="C527" t="str">
        <f>Raw_Data!C527</f>
        <v>East</v>
      </c>
      <c r="D527" t="str">
        <f>Raw_Data!D527</f>
        <v>Guwahati</v>
      </c>
      <c r="E527" t="str">
        <f>Raw_Data!E527</f>
        <v>Home &amp; Kitchen</v>
      </c>
      <c r="F527" t="str">
        <f>Raw_Data!F527</f>
        <v>Water Bottle</v>
      </c>
      <c r="G527" t="str">
        <f>Raw_Data!G527</f>
        <v>Consumer</v>
      </c>
      <c r="H527" t="str">
        <f>Raw_Data!H527</f>
        <v>Online</v>
      </c>
      <c r="I527">
        <f>Raw_Data!I527</f>
        <v>11</v>
      </c>
      <c r="J527" s="3">
        <f>Raw_Data!J527</f>
        <v>19</v>
      </c>
      <c r="K527" s="4">
        <f>Raw_Data!K527</f>
        <v>0.15</v>
      </c>
      <c r="L527" s="3">
        <f>Raw_Data!L527</f>
        <v>177.65</v>
      </c>
      <c r="M527" s="3">
        <f>Raw_Data!M527</f>
        <v>108.66</v>
      </c>
      <c r="N527" s="3">
        <f>Raw_Data!N527</f>
        <v>68.989999999999995</v>
      </c>
      <c r="O527" t="str">
        <f t="shared" si="24"/>
        <v>2025-07</v>
      </c>
      <c r="P527" s="5">
        <f t="shared" si="25"/>
        <v>0.38834787503518148</v>
      </c>
      <c r="Q527" s="3">
        <f t="shared" si="26"/>
        <v>177.65</v>
      </c>
    </row>
    <row r="528" spans="1:17" x14ac:dyDescent="0.35">
      <c r="A528" t="str">
        <f>Raw_Data!A528</f>
        <v>ORD-0234</v>
      </c>
      <c r="B528" s="2">
        <f>Raw_Data!B528</f>
        <v>45851</v>
      </c>
      <c r="C528" t="str">
        <f>Raw_Data!C528</f>
        <v>West</v>
      </c>
      <c r="D528" t="str">
        <f>Raw_Data!D528</f>
        <v>Ahmedabad</v>
      </c>
      <c r="E528" t="str">
        <f>Raw_Data!E528</f>
        <v>Home &amp; Kitchen</v>
      </c>
      <c r="F528" t="str">
        <f>Raw_Data!F528</f>
        <v>Water Bottle</v>
      </c>
      <c r="G528" t="str">
        <f>Raw_Data!G528</f>
        <v>Corporate</v>
      </c>
      <c r="H528" t="str">
        <f>Raw_Data!H528</f>
        <v>In-Store</v>
      </c>
      <c r="I528">
        <f>Raw_Data!I528</f>
        <v>11</v>
      </c>
      <c r="J528" s="3">
        <f>Raw_Data!J528</f>
        <v>13.65</v>
      </c>
      <c r="K528" s="4">
        <f>Raw_Data!K528</f>
        <v>0</v>
      </c>
      <c r="L528" s="3">
        <f>Raw_Data!L528</f>
        <v>150.15</v>
      </c>
      <c r="M528" s="3">
        <f>Raw_Data!M528</f>
        <v>75.8</v>
      </c>
      <c r="N528" s="3">
        <f>Raw_Data!N528</f>
        <v>74.349999999999994</v>
      </c>
      <c r="O528" t="str">
        <f t="shared" si="24"/>
        <v>2025-07</v>
      </c>
      <c r="P528" s="5">
        <f t="shared" si="25"/>
        <v>0.49517149517149511</v>
      </c>
      <c r="Q528" s="3">
        <f t="shared" si="26"/>
        <v>150.15</v>
      </c>
    </row>
    <row r="529" spans="1:17" x14ac:dyDescent="0.35">
      <c r="A529" t="str">
        <f>Raw_Data!A529</f>
        <v>ORD-0684</v>
      </c>
      <c r="B529" s="2">
        <f>Raw_Data!B529</f>
        <v>45851</v>
      </c>
      <c r="C529" t="str">
        <f>Raw_Data!C529</f>
        <v>South</v>
      </c>
      <c r="D529" t="str">
        <f>Raw_Data!D529</f>
        <v>Hyderabad</v>
      </c>
      <c r="E529" t="str">
        <f>Raw_Data!E529</f>
        <v>Home &amp; Kitchen</v>
      </c>
      <c r="F529" t="str">
        <f>Raw_Data!F529</f>
        <v>Coffee Maker</v>
      </c>
      <c r="G529" t="str">
        <f>Raw_Data!G529</f>
        <v>Small Business</v>
      </c>
      <c r="H529" t="str">
        <f>Raw_Data!H529</f>
        <v>In-Store</v>
      </c>
      <c r="I529">
        <f>Raw_Data!I529</f>
        <v>10</v>
      </c>
      <c r="J529" s="3">
        <f>Raw_Data!J529</f>
        <v>63.66</v>
      </c>
      <c r="K529" s="4">
        <f>Raw_Data!K529</f>
        <v>0.1</v>
      </c>
      <c r="L529" s="3">
        <f>Raw_Data!L529</f>
        <v>572.94000000000005</v>
      </c>
      <c r="M529" s="3">
        <f>Raw_Data!M529</f>
        <v>324.68</v>
      </c>
      <c r="N529" s="3">
        <f>Raw_Data!N529</f>
        <v>248.26</v>
      </c>
      <c r="O529" t="str">
        <f t="shared" si="24"/>
        <v>2025-07</v>
      </c>
      <c r="P529" s="5">
        <f t="shared" si="25"/>
        <v>0.43330889796488281</v>
      </c>
      <c r="Q529" s="3">
        <f t="shared" si="26"/>
        <v>572.94000000000005</v>
      </c>
    </row>
    <row r="530" spans="1:17" x14ac:dyDescent="0.35">
      <c r="A530" t="str">
        <f>Raw_Data!A530</f>
        <v>ORD-0770</v>
      </c>
      <c r="B530" s="2">
        <f>Raw_Data!B530</f>
        <v>45851</v>
      </c>
      <c r="C530" t="str">
        <f>Raw_Data!C530</f>
        <v>West</v>
      </c>
      <c r="D530" t="str">
        <f>Raw_Data!D530</f>
        <v>Pune</v>
      </c>
      <c r="E530" t="str">
        <f>Raw_Data!E530</f>
        <v>Home &amp; Kitchen</v>
      </c>
      <c r="F530" t="str">
        <f>Raw_Data!F530</f>
        <v>Storage Box</v>
      </c>
      <c r="G530" t="str">
        <f>Raw_Data!G530</f>
        <v>Consumer</v>
      </c>
      <c r="H530" t="str">
        <f>Raw_Data!H530</f>
        <v>Marketplace</v>
      </c>
      <c r="I530">
        <f>Raw_Data!I530</f>
        <v>3</v>
      </c>
      <c r="J530" s="3">
        <f>Raw_Data!J530</f>
        <v>14.37</v>
      </c>
      <c r="K530" s="4">
        <f>Raw_Data!K530</f>
        <v>0.1</v>
      </c>
      <c r="L530" s="3">
        <f>Raw_Data!L530</f>
        <v>38.799999999999997</v>
      </c>
      <c r="M530" s="3">
        <f>Raw_Data!M530</f>
        <v>30.54</v>
      </c>
      <c r="N530" s="3">
        <f>Raw_Data!N530</f>
        <v>8.26</v>
      </c>
      <c r="O530" t="str">
        <f t="shared" si="24"/>
        <v>2025-07</v>
      </c>
      <c r="P530" s="5">
        <f t="shared" si="25"/>
        <v>0.21288659793814435</v>
      </c>
      <c r="Q530" s="3">
        <f t="shared" si="26"/>
        <v>38.799999999999997</v>
      </c>
    </row>
    <row r="531" spans="1:17" x14ac:dyDescent="0.35">
      <c r="A531" t="str">
        <f>Raw_Data!A531</f>
        <v>ORD-0491</v>
      </c>
      <c r="B531" s="2">
        <f>Raw_Data!B531</f>
        <v>45852</v>
      </c>
      <c r="C531" t="str">
        <f>Raw_Data!C531</f>
        <v>North</v>
      </c>
      <c r="D531" t="str">
        <f>Raw_Data!D531</f>
        <v>Chandigarh</v>
      </c>
      <c r="E531" t="str">
        <f>Raw_Data!E531</f>
        <v>Office Supplies</v>
      </c>
      <c r="F531" t="str">
        <f>Raw_Data!F531</f>
        <v>Notebook Pack</v>
      </c>
      <c r="G531" t="str">
        <f>Raw_Data!G531</f>
        <v>Corporate</v>
      </c>
      <c r="H531" t="str">
        <f>Raw_Data!H531</f>
        <v>Marketplace</v>
      </c>
      <c r="I531">
        <f>Raw_Data!I531</f>
        <v>10</v>
      </c>
      <c r="J531" s="3">
        <f>Raw_Data!J531</f>
        <v>13.8</v>
      </c>
      <c r="K531" s="4">
        <f>Raw_Data!K531</f>
        <v>0.15</v>
      </c>
      <c r="L531" s="3">
        <f>Raw_Data!L531</f>
        <v>117.3</v>
      </c>
      <c r="M531" s="3">
        <f>Raw_Data!M531</f>
        <v>76.13</v>
      </c>
      <c r="N531" s="3">
        <f>Raw_Data!N531</f>
        <v>41.17</v>
      </c>
      <c r="O531" t="str">
        <f t="shared" si="24"/>
        <v>2025-07</v>
      </c>
      <c r="P531" s="5">
        <f t="shared" si="25"/>
        <v>0.35098039215686277</v>
      </c>
      <c r="Q531" s="3">
        <f t="shared" si="26"/>
        <v>117.3</v>
      </c>
    </row>
    <row r="532" spans="1:17" x14ac:dyDescent="0.35">
      <c r="A532" t="str">
        <f>Raw_Data!A532</f>
        <v>ORD-0405</v>
      </c>
      <c r="B532" s="2">
        <f>Raw_Data!B532</f>
        <v>45853</v>
      </c>
      <c r="C532" t="str">
        <f>Raw_Data!C532</f>
        <v>East</v>
      </c>
      <c r="D532" t="str">
        <f>Raw_Data!D532</f>
        <v>Bhubaneswar</v>
      </c>
      <c r="E532" t="str">
        <f>Raw_Data!E532</f>
        <v>Technology</v>
      </c>
      <c r="F532" t="str">
        <f>Raw_Data!F532</f>
        <v>USB Hub</v>
      </c>
      <c r="G532" t="str">
        <f>Raw_Data!G532</f>
        <v>Corporate</v>
      </c>
      <c r="H532" t="str">
        <f>Raw_Data!H532</f>
        <v>Marketplace</v>
      </c>
      <c r="I532">
        <f>Raw_Data!I532</f>
        <v>5</v>
      </c>
      <c r="J532" s="3">
        <f>Raw_Data!J532</f>
        <v>24.94</v>
      </c>
      <c r="K532" s="4">
        <f>Raw_Data!K532</f>
        <v>0.05</v>
      </c>
      <c r="L532" s="3">
        <f>Raw_Data!L532</f>
        <v>118.47</v>
      </c>
      <c r="M532" s="3">
        <f>Raw_Data!M532</f>
        <v>60.78</v>
      </c>
      <c r="N532" s="3">
        <f>Raw_Data!N532</f>
        <v>57.69</v>
      </c>
      <c r="O532" t="str">
        <f t="shared" si="24"/>
        <v>2025-07</v>
      </c>
      <c r="P532" s="5">
        <f t="shared" si="25"/>
        <v>0.48695872372752597</v>
      </c>
      <c r="Q532" s="3">
        <f t="shared" si="26"/>
        <v>118.47</v>
      </c>
    </row>
    <row r="533" spans="1:17" x14ac:dyDescent="0.35">
      <c r="A533" t="str">
        <f>Raw_Data!A533</f>
        <v>ORD-0713</v>
      </c>
      <c r="B533" s="2">
        <f>Raw_Data!B533</f>
        <v>45854</v>
      </c>
      <c r="C533" t="str">
        <f>Raw_Data!C533</f>
        <v>South</v>
      </c>
      <c r="D533" t="str">
        <f>Raw_Data!D533</f>
        <v>Hyderabad</v>
      </c>
      <c r="E533" t="str">
        <f>Raw_Data!E533</f>
        <v>Home &amp; Kitchen</v>
      </c>
      <c r="F533" t="str">
        <f>Raw_Data!F533</f>
        <v>Coffee Maker</v>
      </c>
      <c r="G533" t="str">
        <f>Raw_Data!G533</f>
        <v>Small Business</v>
      </c>
      <c r="H533" t="str">
        <f>Raw_Data!H533</f>
        <v>In-Store</v>
      </c>
      <c r="I533">
        <f>Raw_Data!I533</f>
        <v>2</v>
      </c>
      <c r="J533" s="3">
        <f>Raw_Data!J533</f>
        <v>63.6</v>
      </c>
      <c r="K533" s="4">
        <f>Raw_Data!K533</f>
        <v>0</v>
      </c>
      <c r="L533" s="3">
        <f>Raw_Data!L533</f>
        <v>127.2</v>
      </c>
      <c r="M533" s="3">
        <f>Raw_Data!M533</f>
        <v>63.04</v>
      </c>
      <c r="N533" s="3">
        <f>Raw_Data!N533</f>
        <v>64.16</v>
      </c>
      <c r="O533" t="str">
        <f t="shared" si="24"/>
        <v>2025-07</v>
      </c>
      <c r="P533" s="5">
        <f t="shared" si="25"/>
        <v>0.50440251572327044</v>
      </c>
      <c r="Q533" s="3">
        <f t="shared" si="26"/>
        <v>127.2</v>
      </c>
    </row>
    <row r="534" spans="1:17" x14ac:dyDescent="0.35">
      <c r="A534" t="str">
        <f>Raw_Data!A534</f>
        <v>ORD-0669</v>
      </c>
      <c r="B534" s="2">
        <f>Raw_Data!B534</f>
        <v>45855</v>
      </c>
      <c r="C534" t="str">
        <f>Raw_Data!C534</f>
        <v>West</v>
      </c>
      <c r="D534" t="str">
        <f>Raw_Data!D534</f>
        <v>Mumbai</v>
      </c>
      <c r="E534" t="str">
        <f>Raw_Data!E534</f>
        <v>Furniture</v>
      </c>
      <c r="F534" t="str">
        <f>Raw_Data!F534</f>
        <v>Standing Desk</v>
      </c>
      <c r="G534" t="str">
        <f>Raw_Data!G534</f>
        <v>Small Business</v>
      </c>
      <c r="H534" t="str">
        <f>Raw_Data!H534</f>
        <v>In-Store</v>
      </c>
      <c r="I534">
        <f>Raw_Data!I534</f>
        <v>10</v>
      </c>
      <c r="J534" s="3">
        <f>Raw_Data!J534</f>
        <v>287.99</v>
      </c>
      <c r="K534" s="4">
        <f>Raw_Data!K534</f>
        <v>0.1</v>
      </c>
      <c r="L534" s="3">
        <f>Raw_Data!L534</f>
        <v>2591.91</v>
      </c>
      <c r="M534" s="3">
        <f>Raw_Data!M534</f>
        <v>1577.5</v>
      </c>
      <c r="N534" s="3">
        <f>Raw_Data!N534</f>
        <v>1014.41</v>
      </c>
      <c r="O534" t="str">
        <f t="shared" si="24"/>
        <v>2025-07</v>
      </c>
      <c r="P534" s="5">
        <f t="shared" si="25"/>
        <v>0.39137547214216545</v>
      </c>
      <c r="Q534" s="3">
        <f t="shared" si="26"/>
        <v>2591.91</v>
      </c>
    </row>
    <row r="535" spans="1:17" x14ac:dyDescent="0.35">
      <c r="A535" t="str">
        <f>Raw_Data!A535</f>
        <v>ORD-0482</v>
      </c>
      <c r="B535" s="2">
        <f>Raw_Data!B535</f>
        <v>45855</v>
      </c>
      <c r="C535" t="str">
        <f>Raw_Data!C535</f>
        <v>North</v>
      </c>
      <c r="D535" t="str">
        <f>Raw_Data!D535</f>
        <v>Delhi</v>
      </c>
      <c r="E535" t="str">
        <f>Raw_Data!E535</f>
        <v>Home &amp; Kitchen</v>
      </c>
      <c r="F535" t="str">
        <f>Raw_Data!F535</f>
        <v>Storage Box</v>
      </c>
      <c r="G535" t="str">
        <f>Raw_Data!G535</f>
        <v>Corporate</v>
      </c>
      <c r="H535" t="str">
        <f>Raw_Data!H535</f>
        <v>Marketplace</v>
      </c>
      <c r="I535">
        <f>Raw_Data!I535</f>
        <v>12</v>
      </c>
      <c r="J535" s="3">
        <f>Raw_Data!J535</f>
        <v>16.77</v>
      </c>
      <c r="K535" s="4">
        <f>Raw_Data!K535</f>
        <v>0</v>
      </c>
      <c r="L535" s="3">
        <f>Raw_Data!L535</f>
        <v>201.24</v>
      </c>
      <c r="M535" s="3">
        <f>Raw_Data!M535</f>
        <v>124.42</v>
      </c>
      <c r="N535" s="3">
        <f>Raw_Data!N535</f>
        <v>76.819999999999993</v>
      </c>
      <c r="O535" t="str">
        <f t="shared" si="24"/>
        <v>2025-07</v>
      </c>
      <c r="P535" s="5">
        <f t="shared" si="25"/>
        <v>0.38173325382627704</v>
      </c>
      <c r="Q535" s="3">
        <f t="shared" si="26"/>
        <v>201.24</v>
      </c>
    </row>
    <row r="536" spans="1:17" x14ac:dyDescent="0.35">
      <c r="A536" t="str">
        <f>Raw_Data!A536</f>
        <v>ORD-0155</v>
      </c>
      <c r="B536" s="2">
        <f>Raw_Data!B536</f>
        <v>45856</v>
      </c>
      <c r="C536" t="str">
        <f>Raw_Data!C536</f>
        <v>North</v>
      </c>
      <c r="D536" t="str">
        <f>Raw_Data!D536</f>
        <v>Chandigarh</v>
      </c>
      <c r="E536" t="str">
        <f>Raw_Data!E536</f>
        <v>Furniture</v>
      </c>
      <c r="F536" t="str">
        <f>Raw_Data!F536</f>
        <v>Bookshelf</v>
      </c>
      <c r="G536" t="str">
        <f>Raw_Data!G536</f>
        <v>Corporate</v>
      </c>
      <c r="H536" t="str">
        <f>Raw_Data!H536</f>
        <v>Marketplace</v>
      </c>
      <c r="I536">
        <f>Raw_Data!I536</f>
        <v>12</v>
      </c>
      <c r="J536" s="3">
        <f>Raw_Data!J536</f>
        <v>94.13</v>
      </c>
      <c r="K536" s="4">
        <f>Raw_Data!K536</f>
        <v>0</v>
      </c>
      <c r="L536" s="3">
        <f>Raw_Data!L536</f>
        <v>1129.56</v>
      </c>
      <c r="M536" s="3">
        <f>Raw_Data!M536</f>
        <v>659.03</v>
      </c>
      <c r="N536" s="3">
        <f>Raw_Data!N536</f>
        <v>470.53</v>
      </c>
      <c r="O536" t="str">
        <f t="shared" si="24"/>
        <v>2025-07</v>
      </c>
      <c r="P536" s="5">
        <f t="shared" si="25"/>
        <v>0.41656043061014908</v>
      </c>
      <c r="Q536" s="3">
        <f t="shared" si="26"/>
        <v>1129.56</v>
      </c>
    </row>
    <row r="537" spans="1:17" x14ac:dyDescent="0.35">
      <c r="A537" t="str">
        <f>Raw_Data!A537</f>
        <v>ORD-0701</v>
      </c>
      <c r="B537" s="2">
        <f>Raw_Data!B537</f>
        <v>45856</v>
      </c>
      <c r="C537" t="str">
        <f>Raw_Data!C537</f>
        <v>South</v>
      </c>
      <c r="D537" t="str">
        <f>Raw_Data!D537</f>
        <v>Chennai</v>
      </c>
      <c r="E537" t="str">
        <f>Raw_Data!E537</f>
        <v>Technology</v>
      </c>
      <c r="F537" t="str">
        <f>Raw_Data!F537</f>
        <v>USB Hub</v>
      </c>
      <c r="G537" t="str">
        <f>Raw_Data!G537</f>
        <v>Small Business</v>
      </c>
      <c r="H537" t="str">
        <f>Raw_Data!H537</f>
        <v>Marketplace</v>
      </c>
      <c r="I537">
        <f>Raw_Data!I537</f>
        <v>5</v>
      </c>
      <c r="J537" s="3">
        <f>Raw_Data!J537</f>
        <v>22.93</v>
      </c>
      <c r="K537" s="4">
        <f>Raw_Data!K537</f>
        <v>0</v>
      </c>
      <c r="L537" s="3">
        <f>Raw_Data!L537</f>
        <v>114.65</v>
      </c>
      <c r="M537" s="3">
        <f>Raw_Data!M537</f>
        <v>65.260000000000005</v>
      </c>
      <c r="N537" s="3">
        <f>Raw_Data!N537</f>
        <v>49.39</v>
      </c>
      <c r="O537" t="str">
        <f t="shared" si="24"/>
        <v>2025-07</v>
      </c>
      <c r="P537" s="5">
        <f t="shared" si="25"/>
        <v>0.43078935891844744</v>
      </c>
      <c r="Q537" s="3">
        <f t="shared" si="26"/>
        <v>114.65</v>
      </c>
    </row>
    <row r="538" spans="1:17" x14ac:dyDescent="0.35">
      <c r="A538" t="str">
        <f>Raw_Data!A538</f>
        <v>ORD-0984</v>
      </c>
      <c r="B538" s="2">
        <f>Raw_Data!B538</f>
        <v>45856</v>
      </c>
      <c r="C538" t="str">
        <f>Raw_Data!C538</f>
        <v>West</v>
      </c>
      <c r="D538" t="str">
        <f>Raw_Data!D538</f>
        <v>Mumbai</v>
      </c>
      <c r="E538" t="str">
        <f>Raw_Data!E538</f>
        <v>Office Supplies</v>
      </c>
      <c r="F538" t="str">
        <f>Raw_Data!F538</f>
        <v>Pen Set</v>
      </c>
      <c r="G538" t="str">
        <f>Raw_Data!G538</f>
        <v>Consumer</v>
      </c>
      <c r="H538" t="str">
        <f>Raw_Data!H538</f>
        <v>Online</v>
      </c>
      <c r="I538">
        <f>Raw_Data!I538</f>
        <v>10</v>
      </c>
      <c r="J538" s="3">
        <f>Raw_Data!J538</f>
        <v>8.5</v>
      </c>
      <c r="K538" s="4">
        <f>Raw_Data!K538</f>
        <v>0</v>
      </c>
      <c r="L538" s="3">
        <f>Raw_Data!L538</f>
        <v>85</v>
      </c>
      <c r="M538" s="3">
        <f>Raw_Data!M538</f>
        <v>55.26</v>
      </c>
      <c r="N538" s="3">
        <f>Raw_Data!N538</f>
        <v>29.74</v>
      </c>
      <c r="O538" t="str">
        <f t="shared" si="24"/>
        <v>2025-07</v>
      </c>
      <c r="P538" s="5">
        <f t="shared" si="25"/>
        <v>0.34988235294117648</v>
      </c>
      <c r="Q538" s="3">
        <f t="shared" si="26"/>
        <v>85</v>
      </c>
    </row>
    <row r="539" spans="1:17" x14ac:dyDescent="0.35">
      <c r="A539" t="str">
        <f>Raw_Data!A539</f>
        <v>ORD-0697</v>
      </c>
      <c r="B539" s="2">
        <f>Raw_Data!B539</f>
        <v>45857</v>
      </c>
      <c r="C539" t="str">
        <f>Raw_Data!C539</f>
        <v>East</v>
      </c>
      <c r="D539" t="str">
        <f>Raw_Data!D539</f>
        <v>Bhubaneswar</v>
      </c>
      <c r="E539" t="str">
        <f>Raw_Data!E539</f>
        <v>Office Supplies</v>
      </c>
      <c r="F539" t="str">
        <f>Raw_Data!F539</f>
        <v>Printer Paper</v>
      </c>
      <c r="G539" t="str">
        <f>Raw_Data!G539</f>
        <v>Small Business</v>
      </c>
      <c r="H539" t="str">
        <f>Raw_Data!H539</f>
        <v>In-Store</v>
      </c>
      <c r="I539">
        <f>Raw_Data!I539</f>
        <v>4</v>
      </c>
      <c r="J539" s="3">
        <f>Raw_Data!J539</f>
        <v>13.51</v>
      </c>
      <c r="K539" s="4">
        <f>Raw_Data!K539</f>
        <v>0</v>
      </c>
      <c r="L539" s="3">
        <f>Raw_Data!L539</f>
        <v>54.04</v>
      </c>
      <c r="M539" s="3">
        <f>Raw_Data!M539</f>
        <v>29.41</v>
      </c>
      <c r="N539" s="3">
        <f>Raw_Data!N539</f>
        <v>24.63</v>
      </c>
      <c r="O539" t="str">
        <f t="shared" si="24"/>
        <v>2025-07</v>
      </c>
      <c r="P539" s="5">
        <f t="shared" si="25"/>
        <v>0.45577350111028864</v>
      </c>
      <c r="Q539" s="3">
        <f t="shared" si="26"/>
        <v>54.04</v>
      </c>
    </row>
    <row r="540" spans="1:17" x14ac:dyDescent="0.35">
      <c r="A540" t="str">
        <f>Raw_Data!A540</f>
        <v>ORD-0476</v>
      </c>
      <c r="B540" s="2">
        <f>Raw_Data!B540</f>
        <v>45857</v>
      </c>
      <c r="C540" t="str">
        <f>Raw_Data!C540</f>
        <v>East</v>
      </c>
      <c r="D540" t="str">
        <f>Raw_Data!D540</f>
        <v>Guwahati</v>
      </c>
      <c r="E540" t="str">
        <f>Raw_Data!E540</f>
        <v>Home &amp; Kitchen</v>
      </c>
      <c r="F540" t="str">
        <f>Raw_Data!F540</f>
        <v>Storage Box</v>
      </c>
      <c r="G540" t="str">
        <f>Raw_Data!G540</f>
        <v>Small Business</v>
      </c>
      <c r="H540" t="str">
        <f>Raw_Data!H540</f>
        <v>Marketplace</v>
      </c>
      <c r="I540">
        <f>Raw_Data!I540</f>
        <v>5</v>
      </c>
      <c r="J540" s="3">
        <f>Raw_Data!J540</f>
        <v>12.29</v>
      </c>
      <c r="K540" s="4">
        <f>Raw_Data!K540</f>
        <v>0</v>
      </c>
      <c r="L540" s="3">
        <f>Raw_Data!L540</f>
        <v>61.45</v>
      </c>
      <c r="M540" s="3">
        <f>Raw_Data!M540</f>
        <v>39.020000000000003</v>
      </c>
      <c r="N540" s="3">
        <f>Raw_Data!N540</f>
        <v>22.43</v>
      </c>
      <c r="O540" t="str">
        <f t="shared" si="24"/>
        <v>2025-07</v>
      </c>
      <c r="P540" s="5">
        <f t="shared" si="25"/>
        <v>0.36501220504475179</v>
      </c>
      <c r="Q540" s="3">
        <f t="shared" si="26"/>
        <v>61.45</v>
      </c>
    </row>
    <row r="541" spans="1:17" x14ac:dyDescent="0.35">
      <c r="A541" t="str">
        <f>Raw_Data!A541</f>
        <v>ORD-0930</v>
      </c>
      <c r="B541" s="2">
        <f>Raw_Data!B541</f>
        <v>45857</v>
      </c>
      <c r="C541" t="str">
        <f>Raw_Data!C541</f>
        <v>North</v>
      </c>
      <c r="D541" t="str">
        <f>Raw_Data!D541</f>
        <v>Delhi</v>
      </c>
      <c r="E541" t="str">
        <f>Raw_Data!E541</f>
        <v>Office Supplies</v>
      </c>
      <c r="F541" t="str">
        <f>Raw_Data!F541</f>
        <v>Notebook Pack</v>
      </c>
      <c r="G541" t="str">
        <f>Raw_Data!G541</f>
        <v>Corporate</v>
      </c>
      <c r="H541" t="str">
        <f>Raw_Data!H541</f>
        <v>Online</v>
      </c>
      <c r="I541">
        <f>Raw_Data!I541</f>
        <v>2</v>
      </c>
      <c r="J541" s="3">
        <f>Raw_Data!J541</f>
        <v>13.53</v>
      </c>
      <c r="K541" s="4">
        <f>Raw_Data!K541</f>
        <v>0</v>
      </c>
      <c r="L541" s="3">
        <f>Raw_Data!L541</f>
        <v>27.06</v>
      </c>
      <c r="M541" s="3">
        <f>Raw_Data!M541</f>
        <v>14.25</v>
      </c>
      <c r="N541" s="3">
        <f>Raw_Data!N541</f>
        <v>12.81</v>
      </c>
      <c r="O541" t="str">
        <f t="shared" si="24"/>
        <v>2025-07</v>
      </c>
      <c r="P541" s="5">
        <f t="shared" si="25"/>
        <v>0.4733924611973393</v>
      </c>
      <c r="Q541" s="3">
        <f t="shared" si="26"/>
        <v>27.06</v>
      </c>
    </row>
    <row r="542" spans="1:17" x14ac:dyDescent="0.35">
      <c r="A542" t="str">
        <f>Raw_Data!A542</f>
        <v>ORD-0980</v>
      </c>
      <c r="B542" s="2">
        <f>Raw_Data!B542</f>
        <v>45858</v>
      </c>
      <c r="C542" t="str">
        <f>Raw_Data!C542</f>
        <v>North</v>
      </c>
      <c r="D542" t="str">
        <f>Raw_Data!D542</f>
        <v>Delhi</v>
      </c>
      <c r="E542" t="str">
        <f>Raw_Data!E542</f>
        <v>Furniture</v>
      </c>
      <c r="F542" t="str">
        <f>Raw_Data!F542</f>
        <v>Desk Lamp</v>
      </c>
      <c r="G542" t="str">
        <f>Raw_Data!G542</f>
        <v>Corporate</v>
      </c>
      <c r="H542" t="str">
        <f>Raw_Data!H542</f>
        <v>Online</v>
      </c>
      <c r="I542">
        <f>Raw_Data!I542</f>
        <v>12</v>
      </c>
      <c r="J542" s="3">
        <f>Raw_Data!J542</f>
        <v>41.27</v>
      </c>
      <c r="K542" s="4">
        <f>Raw_Data!K542</f>
        <v>0.05</v>
      </c>
      <c r="L542" s="3">
        <f>Raw_Data!L542</f>
        <v>470.48</v>
      </c>
      <c r="M542" s="3">
        <f>Raw_Data!M542</f>
        <v>298.23</v>
      </c>
      <c r="N542" s="3">
        <f>Raw_Data!N542</f>
        <v>172.25</v>
      </c>
      <c r="O542" t="str">
        <f t="shared" si="24"/>
        <v>2025-07</v>
      </c>
      <c r="P542" s="5">
        <f t="shared" si="25"/>
        <v>0.36611545655500766</v>
      </c>
      <c r="Q542" s="3">
        <f t="shared" si="26"/>
        <v>470.48</v>
      </c>
    </row>
    <row r="543" spans="1:17" x14ac:dyDescent="0.35">
      <c r="A543" t="str">
        <f>Raw_Data!A543</f>
        <v>ORD-0141</v>
      </c>
      <c r="B543" s="2">
        <f>Raw_Data!B543</f>
        <v>45858</v>
      </c>
      <c r="C543" t="str">
        <f>Raw_Data!C543</f>
        <v>North</v>
      </c>
      <c r="D543" t="str">
        <f>Raw_Data!D543</f>
        <v>Chandigarh</v>
      </c>
      <c r="E543" t="str">
        <f>Raw_Data!E543</f>
        <v>Office Supplies</v>
      </c>
      <c r="F543" t="str">
        <f>Raw_Data!F543</f>
        <v>Notebook Pack</v>
      </c>
      <c r="G543" t="str">
        <f>Raw_Data!G543</f>
        <v>Corporate</v>
      </c>
      <c r="H543" t="str">
        <f>Raw_Data!H543</f>
        <v>Marketplace</v>
      </c>
      <c r="I543">
        <f>Raw_Data!I543</f>
        <v>5</v>
      </c>
      <c r="J543" s="3">
        <f>Raw_Data!J543</f>
        <v>12.55</v>
      </c>
      <c r="K543" s="4">
        <f>Raw_Data!K543</f>
        <v>0.05</v>
      </c>
      <c r="L543" s="3">
        <f>Raw_Data!L543</f>
        <v>59.61</v>
      </c>
      <c r="M543" s="3">
        <f>Raw_Data!M543</f>
        <v>45.43</v>
      </c>
      <c r="N543" s="3">
        <f>Raw_Data!N543</f>
        <v>14.18</v>
      </c>
      <c r="O543" t="str">
        <f t="shared" si="24"/>
        <v>2025-07</v>
      </c>
      <c r="P543" s="5">
        <f t="shared" si="25"/>
        <v>0.23787955041100486</v>
      </c>
      <c r="Q543" s="3">
        <f t="shared" si="26"/>
        <v>59.61</v>
      </c>
    </row>
    <row r="544" spans="1:17" x14ac:dyDescent="0.35">
      <c r="A544" t="str">
        <f>Raw_Data!A544</f>
        <v>ORD-0261</v>
      </c>
      <c r="B544" s="2">
        <f>Raw_Data!B544</f>
        <v>45858</v>
      </c>
      <c r="C544" t="str">
        <f>Raw_Data!C544</f>
        <v>East</v>
      </c>
      <c r="D544" t="str">
        <f>Raw_Data!D544</f>
        <v>Kolkata</v>
      </c>
      <c r="E544" t="str">
        <f>Raw_Data!E544</f>
        <v>Technology</v>
      </c>
      <c r="F544" t="str">
        <f>Raw_Data!F544</f>
        <v>Headphones</v>
      </c>
      <c r="G544" t="str">
        <f>Raw_Data!G544</f>
        <v>Corporate</v>
      </c>
      <c r="H544" t="str">
        <f>Raw_Data!H544</f>
        <v>Marketplace</v>
      </c>
      <c r="I544">
        <f>Raw_Data!I544</f>
        <v>6</v>
      </c>
      <c r="J544" s="3">
        <f>Raw_Data!J544</f>
        <v>63.03</v>
      </c>
      <c r="K544" s="4">
        <f>Raw_Data!K544</f>
        <v>0.15</v>
      </c>
      <c r="L544" s="3">
        <f>Raw_Data!L544</f>
        <v>321.45</v>
      </c>
      <c r="M544" s="3">
        <f>Raw_Data!M544</f>
        <v>201.1</v>
      </c>
      <c r="N544" s="3">
        <f>Raw_Data!N544</f>
        <v>120.35</v>
      </c>
      <c r="O544" t="str">
        <f t="shared" si="24"/>
        <v>2025-07</v>
      </c>
      <c r="P544" s="5">
        <f t="shared" si="25"/>
        <v>0.37439726240472859</v>
      </c>
      <c r="Q544" s="3">
        <f t="shared" si="26"/>
        <v>321.45</v>
      </c>
    </row>
    <row r="545" spans="1:17" x14ac:dyDescent="0.35">
      <c r="A545" t="str">
        <f>Raw_Data!A545</f>
        <v>ORD-0213</v>
      </c>
      <c r="B545" s="2">
        <f>Raw_Data!B545</f>
        <v>45859</v>
      </c>
      <c r="C545" t="str">
        <f>Raw_Data!C545</f>
        <v>West</v>
      </c>
      <c r="D545" t="str">
        <f>Raw_Data!D545</f>
        <v>Mumbai</v>
      </c>
      <c r="E545" t="str">
        <f>Raw_Data!E545</f>
        <v>Office Supplies</v>
      </c>
      <c r="F545" t="str">
        <f>Raw_Data!F545</f>
        <v>Pen Set</v>
      </c>
      <c r="G545" t="str">
        <f>Raw_Data!G545</f>
        <v>Corporate</v>
      </c>
      <c r="H545" t="str">
        <f>Raw_Data!H545</f>
        <v>In-Store</v>
      </c>
      <c r="I545">
        <f>Raw_Data!I545</f>
        <v>1</v>
      </c>
      <c r="J545" s="3">
        <f>Raw_Data!J545</f>
        <v>8.92</v>
      </c>
      <c r="K545" s="4">
        <f>Raw_Data!K545</f>
        <v>0.05</v>
      </c>
      <c r="L545" s="3">
        <f>Raw_Data!L545</f>
        <v>8.4700000000000006</v>
      </c>
      <c r="M545" s="3">
        <f>Raw_Data!M545</f>
        <v>5.52</v>
      </c>
      <c r="N545" s="3">
        <f>Raw_Data!N545</f>
        <v>2.95</v>
      </c>
      <c r="O545" t="str">
        <f t="shared" si="24"/>
        <v>2025-07</v>
      </c>
      <c r="P545" s="5">
        <f t="shared" si="25"/>
        <v>0.34828807556080282</v>
      </c>
      <c r="Q545" s="3">
        <f t="shared" si="26"/>
        <v>8.4700000000000006</v>
      </c>
    </row>
    <row r="546" spans="1:17" x14ac:dyDescent="0.35">
      <c r="A546" t="str">
        <f>Raw_Data!A546</f>
        <v>ORD-0838</v>
      </c>
      <c r="B546" s="2">
        <f>Raw_Data!B546</f>
        <v>45859</v>
      </c>
      <c r="C546" t="str">
        <f>Raw_Data!C546</f>
        <v>North</v>
      </c>
      <c r="D546" t="str">
        <f>Raw_Data!D546</f>
        <v>Jaipur</v>
      </c>
      <c r="E546" t="str">
        <f>Raw_Data!E546</f>
        <v>Technology</v>
      </c>
      <c r="F546" t="str">
        <f>Raw_Data!F546</f>
        <v>Keyboard</v>
      </c>
      <c r="G546" t="str">
        <f>Raw_Data!G546</f>
        <v>Corporate</v>
      </c>
      <c r="H546" t="str">
        <f>Raw_Data!H546</f>
        <v>Marketplace</v>
      </c>
      <c r="I546">
        <f>Raw_Data!I546</f>
        <v>3</v>
      </c>
      <c r="J546" s="3">
        <f>Raw_Data!J546</f>
        <v>30.27</v>
      </c>
      <c r="K546" s="4">
        <f>Raw_Data!K546</f>
        <v>0.15</v>
      </c>
      <c r="L546" s="3">
        <f>Raw_Data!L546</f>
        <v>77.19</v>
      </c>
      <c r="M546" s="3">
        <f>Raw_Data!M546</f>
        <v>51.54</v>
      </c>
      <c r="N546" s="3">
        <f>Raw_Data!N546</f>
        <v>25.65</v>
      </c>
      <c r="O546" t="str">
        <f t="shared" si="24"/>
        <v>2025-07</v>
      </c>
      <c r="P546" s="5">
        <f t="shared" si="25"/>
        <v>0.33229692965410024</v>
      </c>
      <c r="Q546" s="3">
        <f t="shared" si="26"/>
        <v>77.19</v>
      </c>
    </row>
    <row r="547" spans="1:17" x14ac:dyDescent="0.35">
      <c r="A547" t="str">
        <f>Raw_Data!A547</f>
        <v>ORD-0010</v>
      </c>
      <c r="B547" s="2">
        <f>Raw_Data!B547</f>
        <v>45860</v>
      </c>
      <c r="C547" t="str">
        <f>Raw_Data!C547</f>
        <v>West</v>
      </c>
      <c r="D547" t="str">
        <f>Raw_Data!D547</f>
        <v>Pune</v>
      </c>
      <c r="E547" t="str">
        <f>Raw_Data!E547</f>
        <v>Home &amp; Kitchen</v>
      </c>
      <c r="F547" t="str">
        <f>Raw_Data!F547</f>
        <v>Storage Box</v>
      </c>
      <c r="G547" t="str">
        <f>Raw_Data!G547</f>
        <v>Corporate</v>
      </c>
      <c r="H547" t="str">
        <f>Raw_Data!H547</f>
        <v>In-Store</v>
      </c>
      <c r="I547">
        <f>Raw_Data!I547</f>
        <v>5</v>
      </c>
      <c r="J547" s="3">
        <f>Raw_Data!J547</f>
        <v>12.58</v>
      </c>
      <c r="K547" s="4">
        <f>Raw_Data!K547</f>
        <v>0.15</v>
      </c>
      <c r="L547" s="3">
        <f>Raw_Data!L547</f>
        <v>53.46</v>
      </c>
      <c r="M547" s="3">
        <f>Raw_Data!M547</f>
        <v>40.36</v>
      </c>
      <c r="N547" s="3">
        <f>Raw_Data!N547</f>
        <v>13.1</v>
      </c>
      <c r="O547" t="str">
        <f t="shared" si="24"/>
        <v>2025-07</v>
      </c>
      <c r="P547" s="5">
        <f t="shared" si="25"/>
        <v>0.24504302282080059</v>
      </c>
      <c r="Q547" s="3">
        <f t="shared" si="26"/>
        <v>53.46</v>
      </c>
    </row>
    <row r="548" spans="1:17" x14ac:dyDescent="0.35">
      <c r="A548" t="str">
        <f>Raw_Data!A548</f>
        <v>ORD-0149</v>
      </c>
      <c r="B548" s="2">
        <f>Raw_Data!B548</f>
        <v>45860</v>
      </c>
      <c r="C548" t="str">
        <f>Raw_Data!C548</f>
        <v>East</v>
      </c>
      <c r="D548" t="str">
        <f>Raw_Data!D548</f>
        <v>Guwahati</v>
      </c>
      <c r="E548" t="str">
        <f>Raw_Data!E548</f>
        <v>Furniture</v>
      </c>
      <c r="F548" t="str">
        <f>Raw_Data!F548</f>
        <v>Desk Lamp</v>
      </c>
      <c r="G548" t="str">
        <f>Raw_Data!G548</f>
        <v>Consumer</v>
      </c>
      <c r="H548" t="str">
        <f>Raw_Data!H548</f>
        <v>Marketplace</v>
      </c>
      <c r="I548">
        <f>Raw_Data!I548</f>
        <v>7</v>
      </c>
      <c r="J548" s="3">
        <f>Raw_Data!J548</f>
        <v>45.53</v>
      </c>
      <c r="K548" s="4">
        <f>Raw_Data!K548</f>
        <v>0.05</v>
      </c>
      <c r="L548" s="3">
        <f>Raw_Data!L548</f>
        <v>302.77</v>
      </c>
      <c r="M548" s="3">
        <f>Raw_Data!M548</f>
        <v>174.45</v>
      </c>
      <c r="N548" s="3">
        <f>Raw_Data!N548</f>
        <v>128.32</v>
      </c>
      <c r="O548" t="str">
        <f t="shared" si="24"/>
        <v>2025-07</v>
      </c>
      <c r="P548" s="5">
        <f t="shared" si="25"/>
        <v>0.42382006143277073</v>
      </c>
      <c r="Q548" s="3">
        <f t="shared" si="26"/>
        <v>302.77</v>
      </c>
    </row>
    <row r="549" spans="1:17" x14ac:dyDescent="0.35">
      <c r="A549" t="str">
        <f>Raw_Data!A549</f>
        <v>ORD-0864</v>
      </c>
      <c r="B549" s="2">
        <f>Raw_Data!B549</f>
        <v>45860</v>
      </c>
      <c r="C549" t="str">
        <f>Raw_Data!C549</f>
        <v>North</v>
      </c>
      <c r="D549" t="str">
        <f>Raw_Data!D549</f>
        <v>Jaipur</v>
      </c>
      <c r="E549" t="str">
        <f>Raw_Data!E549</f>
        <v>Furniture</v>
      </c>
      <c r="F549" t="str">
        <f>Raw_Data!F549</f>
        <v>Standing Desk</v>
      </c>
      <c r="G549" t="str">
        <f>Raw_Data!G549</f>
        <v>Consumer</v>
      </c>
      <c r="H549" t="str">
        <f>Raw_Data!H549</f>
        <v>In-Store</v>
      </c>
      <c r="I549">
        <f>Raw_Data!I549</f>
        <v>8</v>
      </c>
      <c r="J549" s="3">
        <f>Raw_Data!J549</f>
        <v>249.01</v>
      </c>
      <c r="K549" s="4">
        <f>Raw_Data!K549</f>
        <v>0.15</v>
      </c>
      <c r="L549" s="3">
        <f>Raw_Data!L549</f>
        <v>1693.27</v>
      </c>
      <c r="M549" s="3">
        <f>Raw_Data!M549</f>
        <v>998.77</v>
      </c>
      <c r="N549" s="3">
        <f>Raw_Data!N549</f>
        <v>694.5</v>
      </c>
      <c r="O549" t="str">
        <f t="shared" si="24"/>
        <v>2025-07</v>
      </c>
      <c r="P549" s="5">
        <f t="shared" si="25"/>
        <v>0.41015313564877426</v>
      </c>
      <c r="Q549" s="3">
        <f t="shared" si="26"/>
        <v>1693.27</v>
      </c>
    </row>
    <row r="550" spans="1:17" x14ac:dyDescent="0.35">
      <c r="A550" t="str">
        <f>Raw_Data!A550</f>
        <v>ORD-0944</v>
      </c>
      <c r="B550" s="2">
        <f>Raw_Data!B550</f>
        <v>45861</v>
      </c>
      <c r="C550" t="str">
        <f>Raw_Data!C550</f>
        <v>West</v>
      </c>
      <c r="D550" t="str">
        <f>Raw_Data!D550</f>
        <v>Pune</v>
      </c>
      <c r="E550" t="str">
        <f>Raw_Data!E550</f>
        <v>Home &amp; Kitchen</v>
      </c>
      <c r="F550" t="str">
        <f>Raw_Data!F550</f>
        <v>Water Bottle</v>
      </c>
      <c r="G550" t="str">
        <f>Raw_Data!G550</f>
        <v>Small Business</v>
      </c>
      <c r="H550" t="str">
        <f>Raw_Data!H550</f>
        <v>Marketplace</v>
      </c>
      <c r="I550">
        <f>Raw_Data!I550</f>
        <v>3</v>
      </c>
      <c r="J550" s="3">
        <f>Raw_Data!J550</f>
        <v>16.05</v>
      </c>
      <c r="K550" s="4">
        <f>Raw_Data!K550</f>
        <v>0.15</v>
      </c>
      <c r="L550" s="3">
        <f>Raw_Data!L550</f>
        <v>40.93</v>
      </c>
      <c r="M550" s="3">
        <f>Raw_Data!M550</f>
        <v>28.66</v>
      </c>
      <c r="N550" s="3">
        <f>Raw_Data!N550</f>
        <v>12.27</v>
      </c>
      <c r="O550" t="str">
        <f t="shared" si="24"/>
        <v>2025-07</v>
      </c>
      <c r="P550" s="5">
        <f t="shared" si="25"/>
        <v>0.2997801123870022</v>
      </c>
      <c r="Q550" s="3">
        <f t="shared" si="26"/>
        <v>40.93</v>
      </c>
    </row>
    <row r="551" spans="1:17" x14ac:dyDescent="0.35">
      <c r="A551" t="str">
        <f>Raw_Data!A551</f>
        <v>ORD-0092</v>
      </c>
      <c r="B551" s="2">
        <f>Raw_Data!B551</f>
        <v>45861</v>
      </c>
      <c r="C551" t="str">
        <f>Raw_Data!C551</f>
        <v>West</v>
      </c>
      <c r="D551" t="str">
        <f>Raw_Data!D551</f>
        <v>Ahmedabad</v>
      </c>
      <c r="E551" t="str">
        <f>Raw_Data!E551</f>
        <v>Technology</v>
      </c>
      <c r="F551" t="str">
        <f>Raw_Data!F551</f>
        <v>Headphones</v>
      </c>
      <c r="G551" t="str">
        <f>Raw_Data!G551</f>
        <v>Corporate</v>
      </c>
      <c r="H551" t="str">
        <f>Raw_Data!H551</f>
        <v>Online</v>
      </c>
      <c r="I551">
        <f>Raw_Data!I551</f>
        <v>11</v>
      </c>
      <c r="J551" s="3">
        <f>Raw_Data!J551</f>
        <v>63.29</v>
      </c>
      <c r="K551" s="4">
        <f>Raw_Data!K551</f>
        <v>0.1</v>
      </c>
      <c r="L551" s="3">
        <f>Raw_Data!L551</f>
        <v>626.57000000000005</v>
      </c>
      <c r="M551" s="3">
        <f>Raw_Data!M551</f>
        <v>533.45000000000005</v>
      </c>
      <c r="N551" s="3">
        <f>Raw_Data!N551</f>
        <v>93.12</v>
      </c>
      <c r="O551" t="str">
        <f t="shared" si="24"/>
        <v>2025-07</v>
      </c>
      <c r="P551" s="5">
        <f t="shared" si="25"/>
        <v>0.14861866990120817</v>
      </c>
      <c r="Q551" s="3">
        <f t="shared" si="26"/>
        <v>626.57000000000005</v>
      </c>
    </row>
    <row r="552" spans="1:17" x14ac:dyDescent="0.35">
      <c r="A552" t="str">
        <f>Raw_Data!A552</f>
        <v>ORD-0347</v>
      </c>
      <c r="B552" s="2">
        <f>Raw_Data!B552</f>
        <v>45861</v>
      </c>
      <c r="C552" t="str">
        <f>Raw_Data!C552</f>
        <v>West</v>
      </c>
      <c r="D552" t="str">
        <f>Raw_Data!D552</f>
        <v>Pune</v>
      </c>
      <c r="E552" t="str">
        <f>Raw_Data!E552</f>
        <v>Technology</v>
      </c>
      <c r="F552" t="str">
        <f>Raw_Data!F552</f>
        <v>Wireless Mouse</v>
      </c>
      <c r="G552" t="str">
        <f>Raw_Data!G552</f>
        <v>Corporate</v>
      </c>
      <c r="H552" t="str">
        <f>Raw_Data!H552</f>
        <v>Marketplace</v>
      </c>
      <c r="I552">
        <f>Raw_Data!I552</f>
        <v>4</v>
      </c>
      <c r="J552" s="3">
        <f>Raw_Data!J552</f>
        <v>17.649999999999999</v>
      </c>
      <c r="K552" s="4">
        <f>Raw_Data!K552</f>
        <v>0.15</v>
      </c>
      <c r="L552" s="3">
        <f>Raw_Data!L552</f>
        <v>60.01</v>
      </c>
      <c r="M552" s="3">
        <f>Raw_Data!M552</f>
        <v>43.34</v>
      </c>
      <c r="N552" s="3">
        <f>Raw_Data!N552</f>
        <v>16.670000000000002</v>
      </c>
      <c r="O552" t="str">
        <f t="shared" si="24"/>
        <v>2025-07</v>
      </c>
      <c r="P552" s="5">
        <f t="shared" si="25"/>
        <v>0.27778703549408434</v>
      </c>
      <c r="Q552" s="3">
        <f t="shared" si="26"/>
        <v>60.01</v>
      </c>
    </row>
    <row r="553" spans="1:17" x14ac:dyDescent="0.35">
      <c r="A553" t="str">
        <f>Raw_Data!A553</f>
        <v>ORD-0841</v>
      </c>
      <c r="B553" s="2">
        <f>Raw_Data!B553</f>
        <v>45862</v>
      </c>
      <c r="C553" t="str">
        <f>Raw_Data!C553</f>
        <v>South</v>
      </c>
      <c r="D553" t="str">
        <f>Raw_Data!D553</f>
        <v>Hyderabad</v>
      </c>
      <c r="E553" t="str">
        <f>Raw_Data!E553</f>
        <v>Office Supplies</v>
      </c>
      <c r="F553" t="str">
        <f>Raw_Data!F553</f>
        <v>Printer Paper</v>
      </c>
      <c r="G553" t="str">
        <f>Raw_Data!G553</f>
        <v>Small Business</v>
      </c>
      <c r="H553" t="str">
        <f>Raw_Data!H553</f>
        <v>Marketplace</v>
      </c>
      <c r="I553">
        <f>Raw_Data!I553</f>
        <v>1</v>
      </c>
      <c r="J553" s="3">
        <f>Raw_Data!J553</f>
        <v>12.81</v>
      </c>
      <c r="K553" s="4">
        <f>Raw_Data!K553</f>
        <v>0</v>
      </c>
      <c r="L553" s="3">
        <f>Raw_Data!L553</f>
        <v>12.81</v>
      </c>
      <c r="M553" s="3">
        <f>Raw_Data!M553</f>
        <v>8.8699999999999992</v>
      </c>
      <c r="N553" s="3">
        <f>Raw_Data!N553</f>
        <v>3.94</v>
      </c>
      <c r="O553" t="str">
        <f t="shared" si="24"/>
        <v>2025-07</v>
      </c>
      <c r="P553" s="5">
        <f t="shared" si="25"/>
        <v>0.30757220921155348</v>
      </c>
      <c r="Q553" s="3">
        <f t="shared" si="26"/>
        <v>12.81</v>
      </c>
    </row>
    <row r="554" spans="1:17" x14ac:dyDescent="0.35">
      <c r="A554" t="str">
        <f>Raw_Data!A554</f>
        <v>ORD-0376</v>
      </c>
      <c r="B554" s="2">
        <f>Raw_Data!B554</f>
        <v>45862</v>
      </c>
      <c r="C554" t="str">
        <f>Raw_Data!C554</f>
        <v>South</v>
      </c>
      <c r="D554" t="str">
        <f>Raw_Data!D554</f>
        <v>Hyderabad</v>
      </c>
      <c r="E554" t="str">
        <f>Raw_Data!E554</f>
        <v>Home &amp; Kitchen</v>
      </c>
      <c r="F554" t="str">
        <f>Raw_Data!F554</f>
        <v>Coffee Maker</v>
      </c>
      <c r="G554" t="str">
        <f>Raw_Data!G554</f>
        <v>Consumer</v>
      </c>
      <c r="H554" t="str">
        <f>Raw_Data!H554</f>
        <v>Online</v>
      </c>
      <c r="I554">
        <f>Raw_Data!I554</f>
        <v>7</v>
      </c>
      <c r="J554" s="3">
        <f>Raw_Data!J554</f>
        <v>78.59</v>
      </c>
      <c r="K554" s="4">
        <f>Raw_Data!K554</f>
        <v>0.1</v>
      </c>
      <c r="L554" s="3">
        <f>Raw_Data!L554</f>
        <v>495.12</v>
      </c>
      <c r="M554" s="3">
        <f>Raw_Data!M554</f>
        <v>396.08</v>
      </c>
      <c r="N554" s="3">
        <f>Raw_Data!N554</f>
        <v>99.04</v>
      </c>
      <c r="O554" t="str">
        <f t="shared" si="24"/>
        <v>2025-07</v>
      </c>
      <c r="P554" s="5">
        <f t="shared" si="25"/>
        <v>0.20003231539828731</v>
      </c>
      <c r="Q554" s="3">
        <f t="shared" si="26"/>
        <v>495.12</v>
      </c>
    </row>
    <row r="555" spans="1:17" x14ac:dyDescent="0.35">
      <c r="A555" t="str">
        <f>Raw_Data!A555</f>
        <v>ORD-0566</v>
      </c>
      <c r="B555" s="2">
        <f>Raw_Data!B555</f>
        <v>45863</v>
      </c>
      <c r="C555" t="str">
        <f>Raw_Data!C555</f>
        <v>West</v>
      </c>
      <c r="D555" t="str">
        <f>Raw_Data!D555</f>
        <v>Mumbai</v>
      </c>
      <c r="E555" t="str">
        <f>Raw_Data!E555</f>
        <v>Home &amp; Kitchen</v>
      </c>
      <c r="F555" t="str">
        <f>Raw_Data!F555</f>
        <v>Storage Box</v>
      </c>
      <c r="G555" t="str">
        <f>Raw_Data!G555</f>
        <v>Consumer</v>
      </c>
      <c r="H555" t="str">
        <f>Raw_Data!H555</f>
        <v>In-Store</v>
      </c>
      <c r="I555">
        <f>Raw_Data!I555</f>
        <v>10</v>
      </c>
      <c r="J555" s="3">
        <f>Raw_Data!J555</f>
        <v>13.09</v>
      </c>
      <c r="K555" s="4">
        <f>Raw_Data!K555</f>
        <v>0</v>
      </c>
      <c r="L555" s="3">
        <f>Raw_Data!L555</f>
        <v>130.9</v>
      </c>
      <c r="M555" s="3">
        <f>Raw_Data!M555</f>
        <v>101.08</v>
      </c>
      <c r="N555" s="3">
        <f>Raw_Data!N555</f>
        <v>29.82</v>
      </c>
      <c r="O555" t="str">
        <f t="shared" si="24"/>
        <v>2025-07</v>
      </c>
      <c r="P555" s="5">
        <f t="shared" si="25"/>
        <v>0.22780748663101605</v>
      </c>
      <c r="Q555" s="3">
        <f t="shared" si="26"/>
        <v>130.9</v>
      </c>
    </row>
    <row r="556" spans="1:17" x14ac:dyDescent="0.35">
      <c r="A556" t="str">
        <f>Raw_Data!A556</f>
        <v>ORD-0216</v>
      </c>
      <c r="B556" s="2">
        <f>Raw_Data!B556</f>
        <v>45863</v>
      </c>
      <c r="C556" t="str">
        <f>Raw_Data!C556</f>
        <v>East</v>
      </c>
      <c r="D556" t="str">
        <f>Raw_Data!D556</f>
        <v>Guwahati</v>
      </c>
      <c r="E556" t="str">
        <f>Raw_Data!E556</f>
        <v>Home &amp; Kitchen</v>
      </c>
      <c r="F556" t="str">
        <f>Raw_Data!F556</f>
        <v>Storage Box</v>
      </c>
      <c r="G556" t="str">
        <f>Raw_Data!G556</f>
        <v>Consumer</v>
      </c>
      <c r="H556" t="str">
        <f>Raw_Data!H556</f>
        <v>Marketplace</v>
      </c>
      <c r="I556">
        <f>Raw_Data!I556</f>
        <v>9</v>
      </c>
      <c r="J556" s="3">
        <f>Raw_Data!J556</f>
        <v>12.96</v>
      </c>
      <c r="K556" s="4">
        <f>Raw_Data!K556</f>
        <v>0</v>
      </c>
      <c r="L556" s="3">
        <f>Raw_Data!L556</f>
        <v>116.64</v>
      </c>
      <c r="M556" s="3">
        <f>Raw_Data!M556</f>
        <v>60.89</v>
      </c>
      <c r="N556" s="3">
        <f>Raw_Data!N556</f>
        <v>55.75</v>
      </c>
      <c r="O556" t="str">
        <f t="shared" si="24"/>
        <v>2025-07</v>
      </c>
      <c r="P556" s="5">
        <f t="shared" si="25"/>
        <v>0.47796639231824417</v>
      </c>
      <c r="Q556" s="3">
        <f t="shared" si="26"/>
        <v>116.64</v>
      </c>
    </row>
    <row r="557" spans="1:17" x14ac:dyDescent="0.35">
      <c r="A557" t="str">
        <f>Raw_Data!A557</f>
        <v>ORD-0755</v>
      </c>
      <c r="B557" s="2">
        <f>Raw_Data!B557</f>
        <v>45863</v>
      </c>
      <c r="C557" t="str">
        <f>Raw_Data!C557</f>
        <v>South</v>
      </c>
      <c r="D557" t="str">
        <f>Raw_Data!D557</f>
        <v>Hyderabad</v>
      </c>
      <c r="E557" t="str">
        <f>Raw_Data!E557</f>
        <v>Office Supplies</v>
      </c>
      <c r="F557" t="str">
        <f>Raw_Data!F557</f>
        <v>Printer Paper</v>
      </c>
      <c r="G557" t="str">
        <f>Raw_Data!G557</f>
        <v>Corporate</v>
      </c>
      <c r="H557" t="str">
        <f>Raw_Data!H557</f>
        <v>Online</v>
      </c>
      <c r="I557">
        <f>Raw_Data!I557</f>
        <v>1</v>
      </c>
      <c r="J557" s="3">
        <f>Raw_Data!J557</f>
        <v>14.81</v>
      </c>
      <c r="K557" s="4">
        <f>Raw_Data!K557</f>
        <v>0</v>
      </c>
      <c r="L557" s="3">
        <f>Raw_Data!L557</f>
        <v>14.81</v>
      </c>
      <c r="M557" s="3">
        <f>Raw_Data!M557</f>
        <v>10.039999999999999</v>
      </c>
      <c r="N557" s="3">
        <f>Raw_Data!N557</f>
        <v>4.7699999999999996</v>
      </c>
      <c r="O557" t="str">
        <f t="shared" si="24"/>
        <v>2025-07</v>
      </c>
      <c r="P557" s="5">
        <f t="shared" si="25"/>
        <v>0.32207967589466574</v>
      </c>
      <c r="Q557" s="3">
        <f t="shared" si="26"/>
        <v>14.81</v>
      </c>
    </row>
    <row r="558" spans="1:17" x14ac:dyDescent="0.35">
      <c r="A558" t="str">
        <f>Raw_Data!A558</f>
        <v>ORD-0934</v>
      </c>
      <c r="B558" s="2">
        <f>Raw_Data!B558</f>
        <v>45863</v>
      </c>
      <c r="C558" t="str">
        <f>Raw_Data!C558</f>
        <v>South</v>
      </c>
      <c r="D558" t="str">
        <f>Raw_Data!D558</f>
        <v>Chennai</v>
      </c>
      <c r="E558" t="str">
        <f>Raw_Data!E558</f>
        <v>Technology</v>
      </c>
      <c r="F558" t="str">
        <f>Raw_Data!F558</f>
        <v>Headphones</v>
      </c>
      <c r="G558" t="str">
        <f>Raw_Data!G558</f>
        <v>Consumer</v>
      </c>
      <c r="H558" t="str">
        <f>Raw_Data!H558</f>
        <v>Online</v>
      </c>
      <c r="I558">
        <f>Raw_Data!I558</f>
        <v>4</v>
      </c>
      <c r="J558" s="3">
        <f>Raw_Data!J558</f>
        <v>64.64</v>
      </c>
      <c r="K558" s="4">
        <f>Raw_Data!K558</f>
        <v>0.1</v>
      </c>
      <c r="L558" s="3">
        <f>Raw_Data!L558</f>
        <v>232.7</v>
      </c>
      <c r="M558" s="3">
        <f>Raw_Data!M558</f>
        <v>125.48</v>
      </c>
      <c r="N558" s="3">
        <f>Raw_Data!N558</f>
        <v>107.22</v>
      </c>
      <c r="O558" t="str">
        <f t="shared" si="24"/>
        <v>2025-07</v>
      </c>
      <c r="P558" s="5">
        <f t="shared" si="25"/>
        <v>0.46076493339063174</v>
      </c>
      <c r="Q558" s="3">
        <f t="shared" si="26"/>
        <v>232.7</v>
      </c>
    </row>
    <row r="559" spans="1:17" x14ac:dyDescent="0.35">
      <c r="A559" t="str">
        <f>Raw_Data!A559</f>
        <v>ORD-0309</v>
      </c>
      <c r="B559" s="2">
        <f>Raw_Data!B559</f>
        <v>45863</v>
      </c>
      <c r="C559" t="str">
        <f>Raw_Data!C559</f>
        <v>North</v>
      </c>
      <c r="D559" t="str">
        <f>Raw_Data!D559</f>
        <v>Chandigarh</v>
      </c>
      <c r="E559" t="str">
        <f>Raw_Data!E559</f>
        <v>Furniture</v>
      </c>
      <c r="F559" t="str">
        <f>Raw_Data!F559</f>
        <v>Office Chair</v>
      </c>
      <c r="G559" t="str">
        <f>Raw_Data!G559</f>
        <v>Consumer</v>
      </c>
      <c r="H559" t="str">
        <f>Raw_Data!H559</f>
        <v>Marketplace</v>
      </c>
      <c r="I559">
        <f>Raw_Data!I559</f>
        <v>10</v>
      </c>
      <c r="J559" s="3">
        <f>Raw_Data!J559</f>
        <v>153</v>
      </c>
      <c r="K559" s="4">
        <f>Raw_Data!K559</f>
        <v>0</v>
      </c>
      <c r="L559" s="3">
        <f>Raw_Data!L559</f>
        <v>1530</v>
      </c>
      <c r="M559" s="3">
        <f>Raw_Data!M559</f>
        <v>744.41</v>
      </c>
      <c r="N559" s="3">
        <f>Raw_Data!N559</f>
        <v>785.59</v>
      </c>
      <c r="O559" t="str">
        <f t="shared" si="24"/>
        <v>2025-07</v>
      </c>
      <c r="P559" s="5">
        <f t="shared" si="25"/>
        <v>0.51345751633986925</v>
      </c>
      <c r="Q559" s="3">
        <f t="shared" si="26"/>
        <v>1530</v>
      </c>
    </row>
    <row r="560" spans="1:17" x14ac:dyDescent="0.35">
      <c r="A560" t="str">
        <f>Raw_Data!A560</f>
        <v>ORD-0878</v>
      </c>
      <c r="B560" s="2">
        <f>Raw_Data!B560</f>
        <v>45863</v>
      </c>
      <c r="C560" t="str">
        <f>Raw_Data!C560</f>
        <v>South</v>
      </c>
      <c r="D560" t="str">
        <f>Raw_Data!D560</f>
        <v>Hyderabad</v>
      </c>
      <c r="E560" t="str">
        <f>Raw_Data!E560</f>
        <v>Office Supplies</v>
      </c>
      <c r="F560" t="str">
        <f>Raw_Data!F560</f>
        <v>Notebook Pack</v>
      </c>
      <c r="G560" t="str">
        <f>Raw_Data!G560</f>
        <v>Small Business</v>
      </c>
      <c r="H560" t="str">
        <f>Raw_Data!H560</f>
        <v>In-Store</v>
      </c>
      <c r="I560">
        <f>Raw_Data!I560</f>
        <v>10</v>
      </c>
      <c r="J560" s="3">
        <f>Raw_Data!J560</f>
        <v>10.72</v>
      </c>
      <c r="K560" s="4">
        <f>Raw_Data!K560</f>
        <v>0.15</v>
      </c>
      <c r="L560" s="3">
        <f>Raw_Data!L560</f>
        <v>91.12</v>
      </c>
      <c r="M560" s="3">
        <f>Raw_Data!M560</f>
        <v>60.44</v>
      </c>
      <c r="N560" s="3">
        <f>Raw_Data!N560</f>
        <v>30.68</v>
      </c>
      <c r="O560" t="str">
        <f t="shared" si="24"/>
        <v>2025-07</v>
      </c>
      <c r="P560" s="5">
        <f t="shared" si="25"/>
        <v>0.33669885864793675</v>
      </c>
      <c r="Q560" s="3">
        <f t="shared" si="26"/>
        <v>91.12</v>
      </c>
    </row>
    <row r="561" spans="1:17" x14ac:dyDescent="0.35">
      <c r="A561" t="str">
        <f>Raw_Data!A561</f>
        <v>ORD-0601</v>
      </c>
      <c r="B561" s="2">
        <f>Raw_Data!B561</f>
        <v>45863</v>
      </c>
      <c r="C561" t="str">
        <f>Raw_Data!C561</f>
        <v>West</v>
      </c>
      <c r="D561" t="str">
        <f>Raw_Data!D561</f>
        <v>Mumbai</v>
      </c>
      <c r="E561" t="str">
        <f>Raw_Data!E561</f>
        <v>Technology</v>
      </c>
      <c r="F561" t="str">
        <f>Raw_Data!F561</f>
        <v>Wireless Mouse</v>
      </c>
      <c r="G561" t="str">
        <f>Raw_Data!G561</f>
        <v>Small Business</v>
      </c>
      <c r="H561" t="str">
        <f>Raw_Data!H561</f>
        <v>Marketplace</v>
      </c>
      <c r="I561">
        <f>Raw_Data!I561</f>
        <v>6</v>
      </c>
      <c r="J561" s="3">
        <f>Raw_Data!J561</f>
        <v>18.670000000000002</v>
      </c>
      <c r="K561" s="4">
        <f>Raw_Data!K561</f>
        <v>0.05</v>
      </c>
      <c r="L561" s="3">
        <f>Raw_Data!L561</f>
        <v>106.42</v>
      </c>
      <c r="M561" s="3">
        <f>Raw_Data!M561</f>
        <v>56.47</v>
      </c>
      <c r="N561" s="3">
        <f>Raw_Data!N561</f>
        <v>49.95</v>
      </c>
      <c r="O561" t="str">
        <f t="shared" si="24"/>
        <v>2025-07</v>
      </c>
      <c r="P561" s="5">
        <f t="shared" si="25"/>
        <v>0.46936666040218006</v>
      </c>
      <c r="Q561" s="3">
        <f t="shared" si="26"/>
        <v>106.42</v>
      </c>
    </row>
    <row r="562" spans="1:17" x14ac:dyDescent="0.35">
      <c r="A562" t="str">
        <f>Raw_Data!A562</f>
        <v>ORD-0072</v>
      </c>
      <c r="B562" s="2">
        <f>Raw_Data!B562</f>
        <v>45863</v>
      </c>
      <c r="C562" t="str">
        <f>Raw_Data!C562</f>
        <v>East</v>
      </c>
      <c r="D562" t="str">
        <f>Raw_Data!D562</f>
        <v>Kolkata</v>
      </c>
      <c r="E562" t="str">
        <f>Raw_Data!E562</f>
        <v>Home &amp; Kitchen</v>
      </c>
      <c r="F562" t="str">
        <f>Raw_Data!F562</f>
        <v>Water Bottle</v>
      </c>
      <c r="G562" t="str">
        <f>Raw_Data!G562</f>
        <v>Consumer</v>
      </c>
      <c r="H562" t="str">
        <f>Raw_Data!H562</f>
        <v>Online</v>
      </c>
      <c r="I562">
        <f>Raw_Data!I562</f>
        <v>10</v>
      </c>
      <c r="J562" s="3">
        <f>Raw_Data!J562</f>
        <v>17.12</v>
      </c>
      <c r="K562" s="4">
        <f>Raw_Data!K562</f>
        <v>0</v>
      </c>
      <c r="L562" s="3">
        <f>Raw_Data!L562</f>
        <v>171.2</v>
      </c>
      <c r="M562" s="3">
        <f>Raw_Data!M562</f>
        <v>89.97</v>
      </c>
      <c r="N562" s="3">
        <f>Raw_Data!N562</f>
        <v>81.23</v>
      </c>
      <c r="O562" t="str">
        <f t="shared" si="24"/>
        <v>2025-07</v>
      </c>
      <c r="P562" s="5">
        <f t="shared" si="25"/>
        <v>0.4744742990654206</v>
      </c>
      <c r="Q562" s="3">
        <f t="shared" si="26"/>
        <v>171.2</v>
      </c>
    </row>
    <row r="563" spans="1:17" x14ac:dyDescent="0.35">
      <c r="A563" t="str">
        <f>Raw_Data!A563</f>
        <v>ORD-0403</v>
      </c>
      <c r="B563" s="2">
        <f>Raw_Data!B563</f>
        <v>45864</v>
      </c>
      <c r="C563" t="str">
        <f>Raw_Data!C563</f>
        <v>East</v>
      </c>
      <c r="D563" t="str">
        <f>Raw_Data!D563</f>
        <v>Guwahati</v>
      </c>
      <c r="E563" t="str">
        <f>Raw_Data!E563</f>
        <v>Technology</v>
      </c>
      <c r="F563" t="str">
        <f>Raw_Data!F563</f>
        <v>Headphones</v>
      </c>
      <c r="G563" t="str">
        <f>Raw_Data!G563</f>
        <v>Consumer</v>
      </c>
      <c r="H563" t="str">
        <f>Raw_Data!H563</f>
        <v>Marketplace</v>
      </c>
      <c r="I563">
        <f>Raw_Data!I563</f>
        <v>4</v>
      </c>
      <c r="J563" s="3">
        <f>Raw_Data!J563</f>
        <v>63.76</v>
      </c>
      <c r="K563" s="4">
        <f>Raw_Data!K563</f>
        <v>0.05</v>
      </c>
      <c r="L563" s="3">
        <f>Raw_Data!L563</f>
        <v>242.29</v>
      </c>
      <c r="M563" s="3">
        <f>Raw_Data!M563</f>
        <v>147.75</v>
      </c>
      <c r="N563" s="3">
        <f>Raw_Data!N563</f>
        <v>94.54</v>
      </c>
      <c r="O563" t="str">
        <f t="shared" si="24"/>
        <v>2025-07</v>
      </c>
      <c r="P563" s="5">
        <f t="shared" si="25"/>
        <v>0.39019356968921542</v>
      </c>
      <c r="Q563" s="3">
        <f t="shared" si="26"/>
        <v>242.29</v>
      </c>
    </row>
    <row r="564" spans="1:17" x14ac:dyDescent="0.35">
      <c r="A564" t="str">
        <f>Raw_Data!A564</f>
        <v>ORD-0366</v>
      </c>
      <c r="B564" s="2">
        <f>Raw_Data!B564</f>
        <v>45864</v>
      </c>
      <c r="C564" t="str">
        <f>Raw_Data!C564</f>
        <v>North</v>
      </c>
      <c r="D564" t="str">
        <f>Raw_Data!D564</f>
        <v>Delhi</v>
      </c>
      <c r="E564" t="str">
        <f>Raw_Data!E564</f>
        <v>Technology</v>
      </c>
      <c r="F564" t="str">
        <f>Raw_Data!F564</f>
        <v>Keyboard</v>
      </c>
      <c r="G564" t="str">
        <f>Raw_Data!G564</f>
        <v>Corporate</v>
      </c>
      <c r="H564" t="str">
        <f>Raw_Data!H564</f>
        <v>Marketplace</v>
      </c>
      <c r="I564">
        <f>Raw_Data!I564</f>
        <v>4</v>
      </c>
      <c r="J564" s="3">
        <f>Raw_Data!J564</f>
        <v>35.340000000000003</v>
      </c>
      <c r="K564" s="4">
        <f>Raw_Data!K564</f>
        <v>0</v>
      </c>
      <c r="L564" s="3">
        <f>Raw_Data!L564</f>
        <v>141.36000000000001</v>
      </c>
      <c r="M564" s="3">
        <f>Raw_Data!M564</f>
        <v>76.81</v>
      </c>
      <c r="N564" s="3">
        <f>Raw_Data!N564</f>
        <v>64.55</v>
      </c>
      <c r="O564" t="str">
        <f t="shared" si="24"/>
        <v>2025-07</v>
      </c>
      <c r="P564" s="5">
        <f t="shared" si="25"/>
        <v>0.45663554046406329</v>
      </c>
      <c r="Q564" s="3">
        <f t="shared" si="26"/>
        <v>141.36000000000001</v>
      </c>
    </row>
    <row r="565" spans="1:17" x14ac:dyDescent="0.35">
      <c r="A565" t="str">
        <f>Raw_Data!A565</f>
        <v>ORD-0758</v>
      </c>
      <c r="B565" s="2">
        <f>Raw_Data!B565</f>
        <v>45865</v>
      </c>
      <c r="C565" t="str">
        <f>Raw_Data!C565</f>
        <v>South</v>
      </c>
      <c r="D565" t="str">
        <f>Raw_Data!D565</f>
        <v>Chennai</v>
      </c>
      <c r="E565" t="str">
        <f>Raw_Data!E565</f>
        <v>Office Supplies</v>
      </c>
      <c r="F565" t="str">
        <f>Raw_Data!F565</f>
        <v>Desk Organizer</v>
      </c>
      <c r="G565" t="str">
        <f>Raw_Data!G565</f>
        <v>Corporate</v>
      </c>
      <c r="H565" t="str">
        <f>Raw_Data!H565</f>
        <v>Marketplace</v>
      </c>
      <c r="I565">
        <f>Raw_Data!I565</f>
        <v>2</v>
      </c>
      <c r="J565" s="3">
        <f>Raw_Data!J565</f>
        <v>18.12</v>
      </c>
      <c r="K565" s="4">
        <f>Raw_Data!K565</f>
        <v>0.05</v>
      </c>
      <c r="L565" s="3">
        <f>Raw_Data!L565</f>
        <v>34.43</v>
      </c>
      <c r="M565" s="3">
        <f>Raw_Data!M565</f>
        <v>21.64</v>
      </c>
      <c r="N565" s="3">
        <f>Raw_Data!N565</f>
        <v>12.79</v>
      </c>
      <c r="O565" t="str">
        <f t="shared" si="24"/>
        <v>2025-07</v>
      </c>
      <c r="P565" s="5">
        <f t="shared" si="25"/>
        <v>0.37147836189369732</v>
      </c>
      <c r="Q565" s="3">
        <f t="shared" si="26"/>
        <v>34.43</v>
      </c>
    </row>
    <row r="566" spans="1:17" x14ac:dyDescent="0.35">
      <c r="A566" t="str">
        <f>Raw_Data!A566</f>
        <v>ORD-0410</v>
      </c>
      <c r="B566" s="2">
        <f>Raw_Data!B566</f>
        <v>45865</v>
      </c>
      <c r="C566" t="str">
        <f>Raw_Data!C566</f>
        <v>North</v>
      </c>
      <c r="D566" t="str">
        <f>Raw_Data!D566</f>
        <v>Delhi</v>
      </c>
      <c r="E566" t="str">
        <f>Raw_Data!E566</f>
        <v>Home &amp; Kitchen</v>
      </c>
      <c r="F566" t="str">
        <f>Raw_Data!F566</f>
        <v>Coffee Maker</v>
      </c>
      <c r="G566" t="str">
        <f>Raw_Data!G566</f>
        <v>Corporate</v>
      </c>
      <c r="H566" t="str">
        <f>Raw_Data!H566</f>
        <v>Marketplace</v>
      </c>
      <c r="I566">
        <f>Raw_Data!I566</f>
        <v>1</v>
      </c>
      <c r="J566" s="3">
        <f>Raw_Data!J566</f>
        <v>71.02</v>
      </c>
      <c r="K566" s="4">
        <f>Raw_Data!K566</f>
        <v>0</v>
      </c>
      <c r="L566" s="3">
        <f>Raw_Data!L566</f>
        <v>71.02</v>
      </c>
      <c r="M566" s="3">
        <f>Raw_Data!M566</f>
        <v>45.48</v>
      </c>
      <c r="N566" s="3">
        <f>Raw_Data!N566</f>
        <v>25.54</v>
      </c>
      <c r="O566" t="str">
        <f t="shared" si="24"/>
        <v>2025-07</v>
      </c>
      <c r="P566" s="5">
        <f t="shared" si="25"/>
        <v>0.35961700929315688</v>
      </c>
      <c r="Q566" s="3">
        <f t="shared" si="26"/>
        <v>71.02</v>
      </c>
    </row>
    <row r="567" spans="1:17" x14ac:dyDescent="0.35">
      <c r="A567" t="str">
        <f>Raw_Data!A567</f>
        <v>ORD-0202</v>
      </c>
      <c r="B567" s="2">
        <f>Raw_Data!B567</f>
        <v>45865</v>
      </c>
      <c r="C567" t="str">
        <f>Raw_Data!C567</f>
        <v>South</v>
      </c>
      <c r="D567" t="str">
        <f>Raw_Data!D567</f>
        <v>Bengaluru</v>
      </c>
      <c r="E567" t="str">
        <f>Raw_Data!E567</f>
        <v>Home &amp; Kitchen</v>
      </c>
      <c r="F567" t="str">
        <f>Raw_Data!F567</f>
        <v>Coffee Maker</v>
      </c>
      <c r="G567" t="str">
        <f>Raw_Data!G567</f>
        <v>Small Business</v>
      </c>
      <c r="H567" t="str">
        <f>Raw_Data!H567</f>
        <v>In-Store</v>
      </c>
      <c r="I567">
        <f>Raw_Data!I567</f>
        <v>2</v>
      </c>
      <c r="J567" s="3">
        <f>Raw_Data!J567</f>
        <v>71.3</v>
      </c>
      <c r="K567" s="4">
        <f>Raw_Data!K567</f>
        <v>0</v>
      </c>
      <c r="L567" s="3">
        <f>Raw_Data!L567</f>
        <v>142.6</v>
      </c>
      <c r="M567" s="3">
        <f>Raw_Data!M567</f>
        <v>76.349999999999994</v>
      </c>
      <c r="N567" s="3">
        <f>Raw_Data!N567</f>
        <v>66.25</v>
      </c>
      <c r="O567" t="str">
        <f t="shared" si="24"/>
        <v>2025-07</v>
      </c>
      <c r="P567" s="5">
        <f t="shared" si="25"/>
        <v>0.46458625525946706</v>
      </c>
      <c r="Q567" s="3">
        <f t="shared" si="26"/>
        <v>142.6</v>
      </c>
    </row>
    <row r="568" spans="1:17" x14ac:dyDescent="0.35">
      <c r="A568" t="str">
        <f>Raw_Data!A568</f>
        <v>ORD-0935</v>
      </c>
      <c r="B568" s="2">
        <f>Raw_Data!B568</f>
        <v>45866</v>
      </c>
      <c r="C568" t="str">
        <f>Raw_Data!C568</f>
        <v>West</v>
      </c>
      <c r="D568" t="str">
        <f>Raw_Data!D568</f>
        <v>Pune</v>
      </c>
      <c r="E568" t="str">
        <f>Raw_Data!E568</f>
        <v>Furniture</v>
      </c>
      <c r="F568" t="str">
        <f>Raw_Data!F568</f>
        <v>Desk Lamp</v>
      </c>
      <c r="G568" t="str">
        <f>Raw_Data!G568</f>
        <v>Corporate</v>
      </c>
      <c r="H568" t="str">
        <f>Raw_Data!H568</f>
        <v>Online</v>
      </c>
      <c r="I568">
        <f>Raw_Data!I568</f>
        <v>4</v>
      </c>
      <c r="J568" s="3">
        <f>Raw_Data!J568</f>
        <v>36.770000000000003</v>
      </c>
      <c r="K568" s="4">
        <f>Raw_Data!K568</f>
        <v>0.1</v>
      </c>
      <c r="L568" s="3">
        <f>Raw_Data!L568</f>
        <v>132.37</v>
      </c>
      <c r="M568" s="3">
        <f>Raw_Data!M568</f>
        <v>73.31</v>
      </c>
      <c r="N568" s="3">
        <f>Raw_Data!N568</f>
        <v>59.06</v>
      </c>
      <c r="O568" t="str">
        <f t="shared" si="24"/>
        <v>2025-07</v>
      </c>
      <c r="P568" s="5">
        <f t="shared" si="25"/>
        <v>0.4461736042910025</v>
      </c>
      <c r="Q568" s="3">
        <f t="shared" si="26"/>
        <v>132.37</v>
      </c>
    </row>
    <row r="569" spans="1:17" x14ac:dyDescent="0.35">
      <c r="A569" t="str">
        <f>Raw_Data!A569</f>
        <v>ORD-0438</v>
      </c>
      <c r="B569" s="2">
        <f>Raw_Data!B569</f>
        <v>45867</v>
      </c>
      <c r="C569" t="str">
        <f>Raw_Data!C569</f>
        <v>North</v>
      </c>
      <c r="D569" t="str">
        <f>Raw_Data!D569</f>
        <v>Chandigarh</v>
      </c>
      <c r="E569" t="str">
        <f>Raw_Data!E569</f>
        <v>Furniture</v>
      </c>
      <c r="F569" t="str">
        <f>Raw_Data!F569</f>
        <v>Desk Lamp</v>
      </c>
      <c r="G569" t="str">
        <f>Raw_Data!G569</f>
        <v>Corporate</v>
      </c>
      <c r="H569" t="str">
        <f>Raw_Data!H569</f>
        <v>Online</v>
      </c>
      <c r="I569">
        <f>Raw_Data!I569</f>
        <v>1</v>
      </c>
      <c r="J569" s="3">
        <f>Raw_Data!J569</f>
        <v>41.73</v>
      </c>
      <c r="K569" s="4">
        <f>Raw_Data!K569</f>
        <v>0</v>
      </c>
      <c r="L569" s="3">
        <f>Raw_Data!L569</f>
        <v>41.73</v>
      </c>
      <c r="M569" s="3">
        <f>Raw_Data!M569</f>
        <v>27.27</v>
      </c>
      <c r="N569" s="3">
        <f>Raw_Data!N569</f>
        <v>14.46</v>
      </c>
      <c r="O569" t="str">
        <f t="shared" si="24"/>
        <v>2025-07</v>
      </c>
      <c r="P569" s="5">
        <f t="shared" si="25"/>
        <v>0.34651329978432788</v>
      </c>
      <c r="Q569" s="3">
        <f t="shared" si="26"/>
        <v>41.73</v>
      </c>
    </row>
    <row r="570" spans="1:17" x14ac:dyDescent="0.35">
      <c r="A570" t="str">
        <f>Raw_Data!A570</f>
        <v>ORD-0330</v>
      </c>
      <c r="B570" s="2">
        <f>Raw_Data!B570</f>
        <v>45867</v>
      </c>
      <c r="C570" t="str">
        <f>Raw_Data!C570</f>
        <v>West</v>
      </c>
      <c r="D570" t="str">
        <f>Raw_Data!D570</f>
        <v>Pune</v>
      </c>
      <c r="E570" t="str">
        <f>Raw_Data!E570</f>
        <v>Furniture</v>
      </c>
      <c r="F570" t="str">
        <f>Raw_Data!F570</f>
        <v>Bookshelf</v>
      </c>
      <c r="G570" t="str">
        <f>Raw_Data!G570</f>
        <v>Consumer</v>
      </c>
      <c r="H570" t="str">
        <f>Raw_Data!H570</f>
        <v>Online</v>
      </c>
      <c r="I570">
        <f>Raw_Data!I570</f>
        <v>5</v>
      </c>
      <c r="J570" s="3">
        <f>Raw_Data!J570</f>
        <v>102.65</v>
      </c>
      <c r="K570" s="4">
        <f>Raw_Data!K570</f>
        <v>0</v>
      </c>
      <c r="L570" s="3">
        <f>Raw_Data!L570</f>
        <v>513.25</v>
      </c>
      <c r="M570" s="3">
        <f>Raw_Data!M570</f>
        <v>306.86</v>
      </c>
      <c r="N570" s="3">
        <f>Raw_Data!N570</f>
        <v>206.39</v>
      </c>
      <c r="O570" t="str">
        <f t="shared" si="24"/>
        <v>2025-07</v>
      </c>
      <c r="P570" s="5">
        <f t="shared" si="25"/>
        <v>0.4021237213833414</v>
      </c>
      <c r="Q570" s="3">
        <f t="shared" si="26"/>
        <v>513.25</v>
      </c>
    </row>
    <row r="571" spans="1:17" x14ac:dyDescent="0.35">
      <c r="A571" t="str">
        <f>Raw_Data!A571</f>
        <v>ORD-0106</v>
      </c>
      <c r="B571" s="2">
        <f>Raw_Data!B571</f>
        <v>45867</v>
      </c>
      <c r="C571" t="str">
        <f>Raw_Data!C571</f>
        <v>North</v>
      </c>
      <c r="D571" t="str">
        <f>Raw_Data!D571</f>
        <v>Jaipur</v>
      </c>
      <c r="E571" t="str">
        <f>Raw_Data!E571</f>
        <v>Technology</v>
      </c>
      <c r="F571" t="str">
        <f>Raw_Data!F571</f>
        <v>Keyboard</v>
      </c>
      <c r="G571" t="str">
        <f>Raw_Data!G571</f>
        <v>Consumer</v>
      </c>
      <c r="H571" t="str">
        <f>Raw_Data!H571</f>
        <v>Online</v>
      </c>
      <c r="I571">
        <f>Raw_Data!I571</f>
        <v>1</v>
      </c>
      <c r="J571" s="3">
        <f>Raw_Data!J571</f>
        <v>37.799999999999997</v>
      </c>
      <c r="K571" s="4">
        <f>Raw_Data!K571</f>
        <v>0.05</v>
      </c>
      <c r="L571" s="3">
        <f>Raw_Data!L571</f>
        <v>35.909999999999997</v>
      </c>
      <c r="M571" s="3">
        <f>Raw_Data!M571</f>
        <v>29.44</v>
      </c>
      <c r="N571" s="3">
        <f>Raw_Data!N571</f>
        <v>6.47</v>
      </c>
      <c r="O571" t="str">
        <f t="shared" si="24"/>
        <v>2025-07</v>
      </c>
      <c r="P571" s="5">
        <f t="shared" si="25"/>
        <v>0.1801726538568644</v>
      </c>
      <c r="Q571" s="3">
        <f t="shared" si="26"/>
        <v>35.909999999999997</v>
      </c>
    </row>
    <row r="572" spans="1:17" x14ac:dyDescent="0.35">
      <c r="A572" t="str">
        <f>Raw_Data!A572</f>
        <v>ORD-0754</v>
      </c>
      <c r="B572" s="2">
        <f>Raw_Data!B572</f>
        <v>45867</v>
      </c>
      <c r="C572" t="str">
        <f>Raw_Data!C572</f>
        <v>North</v>
      </c>
      <c r="D572" t="str">
        <f>Raw_Data!D572</f>
        <v>Chandigarh</v>
      </c>
      <c r="E572" t="str">
        <f>Raw_Data!E572</f>
        <v>Home &amp; Kitchen</v>
      </c>
      <c r="F572" t="str">
        <f>Raw_Data!F572</f>
        <v>Coffee Maker</v>
      </c>
      <c r="G572" t="str">
        <f>Raw_Data!G572</f>
        <v>Consumer</v>
      </c>
      <c r="H572" t="str">
        <f>Raw_Data!H572</f>
        <v>In-Store</v>
      </c>
      <c r="I572">
        <f>Raw_Data!I572</f>
        <v>1</v>
      </c>
      <c r="J572" s="3">
        <f>Raw_Data!J572</f>
        <v>72.349999999999994</v>
      </c>
      <c r="K572" s="4">
        <f>Raw_Data!K572</f>
        <v>0</v>
      </c>
      <c r="L572" s="3">
        <f>Raw_Data!L572</f>
        <v>72.349999999999994</v>
      </c>
      <c r="M572" s="3">
        <f>Raw_Data!M572</f>
        <v>50.3</v>
      </c>
      <c r="N572" s="3">
        <f>Raw_Data!N572</f>
        <v>22.05</v>
      </c>
      <c r="O572" t="str">
        <f t="shared" si="24"/>
        <v>2025-07</v>
      </c>
      <c r="P572" s="5">
        <f t="shared" si="25"/>
        <v>0.30476848652384247</v>
      </c>
      <c r="Q572" s="3">
        <f t="shared" si="26"/>
        <v>72.349999999999994</v>
      </c>
    </row>
    <row r="573" spans="1:17" x14ac:dyDescent="0.35">
      <c r="A573" t="str">
        <f>Raw_Data!A573</f>
        <v>ORD-0095</v>
      </c>
      <c r="B573" s="2">
        <f>Raw_Data!B573</f>
        <v>45868</v>
      </c>
      <c r="C573" t="str">
        <f>Raw_Data!C573</f>
        <v>South</v>
      </c>
      <c r="D573" t="str">
        <f>Raw_Data!D573</f>
        <v>Bengaluru</v>
      </c>
      <c r="E573" t="str">
        <f>Raw_Data!E573</f>
        <v>Office Supplies</v>
      </c>
      <c r="F573" t="str">
        <f>Raw_Data!F573</f>
        <v>Pen Set</v>
      </c>
      <c r="G573" t="str">
        <f>Raw_Data!G573</f>
        <v>Small Business</v>
      </c>
      <c r="H573" t="str">
        <f>Raw_Data!H573</f>
        <v>Marketplace</v>
      </c>
      <c r="I573">
        <f>Raw_Data!I573</f>
        <v>3</v>
      </c>
      <c r="J573" s="3">
        <f>Raw_Data!J573</f>
        <v>7.02</v>
      </c>
      <c r="K573" s="4">
        <f>Raw_Data!K573</f>
        <v>0.1</v>
      </c>
      <c r="L573" s="3">
        <f>Raw_Data!L573</f>
        <v>18.95</v>
      </c>
      <c r="M573" s="3">
        <f>Raw_Data!M573</f>
        <v>14.02</v>
      </c>
      <c r="N573" s="3">
        <f>Raw_Data!N573</f>
        <v>4.93</v>
      </c>
      <c r="O573" t="str">
        <f t="shared" si="24"/>
        <v>2025-07</v>
      </c>
      <c r="P573" s="5">
        <f t="shared" si="25"/>
        <v>0.26015831134564643</v>
      </c>
      <c r="Q573" s="3">
        <f t="shared" si="26"/>
        <v>18.95</v>
      </c>
    </row>
    <row r="574" spans="1:17" x14ac:dyDescent="0.35">
      <c r="A574" t="str">
        <f>Raw_Data!A574</f>
        <v>ORD-0145</v>
      </c>
      <c r="B574" s="2">
        <f>Raw_Data!B574</f>
        <v>45868</v>
      </c>
      <c r="C574" t="str">
        <f>Raw_Data!C574</f>
        <v>South</v>
      </c>
      <c r="D574" t="str">
        <f>Raw_Data!D574</f>
        <v>Bengaluru</v>
      </c>
      <c r="E574" t="str">
        <f>Raw_Data!E574</f>
        <v>Furniture</v>
      </c>
      <c r="F574" t="str">
        <f>Raw_Data!F574</f>
        <v>Desk Lamp</v>
      </c>
      <c r="G574" t="str">
        <f>Raw_Data!G574</f>
        <v>Small Business</v>
      </c>
      <c r="H574" t="str">
        <f>Raw_Data!H574</f>
        <v>In-Store</v>
      </c>
      <c r="I574">
        <f>Raw_Data!I574</f>
        <v>8</v>
      </c>
      <c r="J574" s="3">
        <f>Raw_Data!J574</f>
        <v>40.42</v>
      </c>
      <c r="K574" s="4">
        <f>Raw_Data!K574</f>
        <v>0.1</v>
      </c>
      <c r="L574" s="3">
        <f>Raw_Data!L574</f>
        <v>291.02</v>
      </c>
      <c r="M574" s="3">
        <f>Raw_Data!M574</f>
        <v>177.91</v>
      </c>
      <c r="N574" s="3">
        <f>Raw_Data!N574</f>
        <v>113.11</v>
      </c>
      <c r="O574" t="str">
        <f t="shared" si="24"/>
        <v>2025-07</v>
      </c>
      <c r="P574" s="5">
        <f t="shared" si="25"/>
        <v>0.38866744553638927</v>
      </c>
      <c r="Q574" s="3">
        <f t="shared" si="26"/>
        <v>291.02</v>
      </c>
    </row>
    <row r="575" spans="1:17" x14ac:dyDescent="0.35">
      <c r="A575" t="str">
        <f>Raw_Data!A575</f>
        <v>ORD-0525</v>
      </c>
      <c r="B575" s="2">
        <f>Raw_Data!B575</f>
        <v>45869</v>
      </c>
      <c r="C575" t="str">
        <f>Raw_Data!C575</f>
        <v>South</v>
      </c>
      <c r="D575" t="str">
        <f>Raw_Data!D575</f>
        <v>Bengaluru</v>
      </c>
      <c r="E575" t="str">
        <f>Raw_Data!E575</f>
        <v>Home &amp; Kitchen</v>
      </c>
      <c r="F575" t="str">
        <f>Raw_Data!F575</f>
        <v>Coffee Maker</v>
      </c>
      <c r="G575" t="str">
        <f>Raw_Data!G575</f>
        <v>Consumer</v>
      </c>
      <c r="H575" t="str">
        <f>Raw_Data!H575</f>
        <v>Online</v>
      </c>
      <c r="I575">
        <f>Raw_Data!I575</f>
        <v>8</v>
      </c>
      <c r="J575" s="3">
        <f>Raw_Data!J575</f>
        <v>79.989999999999995</v>
      </c>
      <c r="K575" s="4">
        <f>Raw_Data!K575</f>
        <v>0.05</v>
      </c>
      <c r="L575" s="3">
        <f>Raw_Data!L575</f>
        <v>607.91999999999996</v>
      </c>
      <c r="M575" s="3">
        <f>Raw_Data!M575</f>
        <v>336.33</v>
      </c>
      <c r="N575" s="3">
        <f>Raw_Data!N575</f>
        <v>271.58999999999997</v>
      </c>
      <c r="O575" t="str">
        <f t="shared" si="24"/>
        <v>2025-07</v>
      </c>
      <c r="P575" s="5">
        <f t="shared" si="25"/>
        <v>0.44675286221871296</v>
      </c>
      <c r="Q575" s="3">
        <f t="shared" si="26"/>
        <v>607.91999999999996</v>
      </c>
    </row>
    <row r="576" spans="1:17" x14ac:dyDescent="0.35">
      <c r="A576" t="str">
        <f>Raw_Data!A576</f>
        <v>ORD-0787</v>
      </c>
      <c r="B576" s="2">
        <f>Raw_Data!B576</f>
        <v>45869</v>
      </c>
      <c r="C576" t="str">
        <f>Raw_Data!C576</f>
        <v>West</v>
      </c>
      <c r="D576" t="str">
        <f>Raw_Data!D576</f>
        <v>Pune</v>
      </c>
      <c r="E576" t="str">
        <f>Raw_Data!E576</f>
        <v>Home &amp; Kitchen</v>
      </c>
      <c r="F576" t="str">
        <f>Raw_Data!F576</f>
        <v>Lunch Box</v>
      </c>
      <c r="G576" t="str">
        <f>Raw_Data!G576</f>
        <v>Corporate</v>
      </c>
      <c r="H576" t="str">
        <f>Raw_Data!H576</f>
        <v>Online</v>
      </c>
      <c r="I576">
        <f>Raw_Data!I576</f>
        <v>9</v>
      </c>
      <c r="J576" s="3">
        <f>Raw_Data!J576</f>
        <v>17.57</v>
      </c>
      <c r="K576" s="4">
        <f>Raw_Data!K576</f>
        <v>0</v>
      </c>
      <c r="L576" s="3">
        <f>Raw_Data!L576</f>
        <v>158.13</v>
      </c>
      <c r="M576" s="3">
        <f>Raw_Data!M576</f>
        <v>101.46</v>
      </c>
      <c r="N576" s="3">
        <f>Raw_Data!N576</f>
        <v>56.67</v>
      </c>
      <c r="O576" t="str">
        <f t="shared" si="24"/>
        <v>2025-07</v>
      </c>
      <c r="P576" s="5">
        <f t="shared" si="25"/>
        <v>0.3583760197306014</v>
      </c>
      <c r="Q576" s="3">
        <f t="shared" si="26"/>
        <v>158.13</v>
      </c>
    </row>
    <row r="577" spans="1:17" x14ac:dyDescent="0.35">
      <c r="A577" t="str">
        <f>Raw_Data!A577</f>
        <v>ORD-0229</v>
      </c>
      <c r="B577" s="2">
        <f>Raw_Data!B577</f>
        <v>45869</v>
      </c>
      <c r="C577" t="str">
        <f>Raw_Data!C577</f>
        <v>West</v>
      </c>
      <c r="D577" t="str">
        <f>Raw_Data!D577</f>
        <v>Ahmedabad</v>
      </c>
      <c r="E577" t="str">
        <f>Raw_Data!E577</f>
        <v>Office Supplies</v>
      </c>
      <c r="F577" t="str">
        <f>Raw_Data!F577</f>
        <v>Pen Set</v>
      </c>
      <c r="G577" t="str">
        <f>Raw_Data!G577</f>
        <v>Small Business</v>
      </c>
      <c r="H577" t="str">
        <f>Raw_Data!H577</f>
        <v>Online</v>
      </c>
      <c r="I577">
        <f>Raw_Data!I577</f>
        <v>2</v>
      </c>
      <c r="J577" s="3">
        <f>Raw_Data!J577</f>
        <v>8.7799999999999994</v>
      </c>
      <c r="K577" s="4">
        <f>Raw_Data!K577</f>
        <v>0</v>
      </c>
      <c r="L577" s="3">
        <f>Raw_Data!L577</f>
        <v>17.559999999999999</v>
      </c>
      <c r="M577" s="3">
        <f>Raw_Data!M577</f>
        <v>9.58</v>
      </c>
      <c r="N577" s="3">
        <f>Raw_Data!N577</f>
        <v>7.98</v>
      </c>
      <c r="O577" t="str">
        <f t="shared" si="24"/>
        <v>2025-07</v>
      </c>
      <c r="P577" s="5">
        <f t="shared" si="25"/>
        <v>0.45444191343963558</v>
      </c>
      <c r="Q577" s="3">
        <f t="shared" si="26"/>
        <v>17.559999999999999</v>
      </c>
    </row>
    <row r="578" spans="1:17" x14ac:dyDescent="0.35">
      <c r="A578" t="str">
        <f>Raw_Data!A578</f>
        <v>ORD-0243</v>
      </c>
      <c r="B578" s="2">
        <f>Raw_Data!B578</f>
        <v>45869</v>
      </c>
      <c r="C578" t="str">
        <f>Raw_Data!C578</f>
        <v>South</v>
      </c>
      <c r="D578" t="str">
        <f>Raw_Data!D578</f>
        <v>Bengaluru</v>
      </c>
      <c r="E578" t="str">
        <f>Raw_Data!E578</f>
        <v>Home &amp; Kitchen</v>
      </c>
      <c r="F578" t="str">
        <f>Raw_Data!F578</f>
        <v>Water Bottle</v>
      </c>
      <c r="G578" t="str">
        <f>Raw_Data!G578</f>
        <v>Corporate</v>
      </c>
      <c r="H578" t="str">
        <f>Raw_Data!H578</f>
        <v>In-Store</v>
      </c>
      <c r="I578">
        <f>Raw_Data!I578</f>
        <v>12</v>
      </c>
      <c r="J578" s="3">
        <f>Raw_Data!J578</f>
        <v>18.649999999999999</v>
      </c>
      <c r="K578" s="4">
        <f>Raw_Data!K578</f>
        <v>0</v>
      </c>
      <c r="L578" s="3">
        <f>Raw_Data!L578</f>
        <v>223.8</v>
      </c>
      <c r="M578" s="3">
        <f>Raw_Data!M578</f>
        <v>145.83000000000001</v>
      </c>
      <c r="N578" s="3">
        <f>Raw_Data!N578</f>
        <v>77.97</v>
      </c>
      <c r="O578" t="str">
        <f t="shared" ref="O578:O641" si="27">TEXT(B578,"yyyy-mm")</f>
        <v>2025-07</v>
      </c>
      <c r="P578" s="5">
        <f t="shared" ref="P578:P641" si="28">IFERROR(N578/L578,0)</f>
        <v>0.34839142091152814</v>
      </c>
      <c r="Q578" s="3">
        <f t="shared" ref="Q578:Q641" si="29">IFERROR(L578,0)</f>
        <v>223.8</v>
      </c>
    </row>
    <row r="579" spans="1:17" x14ac:dyDescent="0.35">
      <c r="A579" t="str">
        <f>Raw_Data!A579</f>
        <v>ORD-0753</v>
      </c>
      <c r="B579" s="2">
        <f>Raw_Data!B579</f>
        <v>45870</v>
      </c>
      <c r="C579" t="str">
        <f>Raw_Data!C579</f>
        <v>South</v>
      </c>
      <c r="D579" t="str">
        <f>Raw_Data!D579</f>
        <v>Chennai</v>
      </c>
      <c r="E579" t="str">
        <f>Raw_Data!E579</f>
        <v>Furniture</v>
      </c>
      <c r="F579" t="str">
        <f>Raw_Data!F579</f>
        <v>Desk Lamp</v>
      </c>
      <c r="G579" t="str">
        <f>Raw_Data!G579</f>
        <v>Consumer</v>
      </c>
      <c r="H579" t="str">
        <f>Raw_Data!H579</f>
        <v>In-Store</v>
      </c>
      <c r="I579">
        <f>Raw_Data!I579</f>
        <v>3</v>
      </c>
      <c r="J579" s="3">
        <f>Raw_Data!J579</f>
        <v>42.32</v>
      </c>
      <c r="K579" s="4">
        <f>Raw_Data!K579</f>
        <v>0.15</v>
      </c>
      <c r="L579" s="3">
        <f>Raw_Data!L579</f>
        <v>107.92</v>
      </c>
      <c r="M579" s="3">
        <f>Raw_Data!M579</f>
        <v>77</v>
      </c>
      <c r="N579" s="3">
        <f>Raw_Data!N579</f>
        <v>30.92</v>
      </c>
      <c r="O579" t="str">
        <f t="shared" si="27"/>
        <v>2025-08</v>
      </c>
      <c r="P579" s="5">
        <f t="shared" si="28"/>
        <v>0.28650852483320982</v>
      </c>
      <c r="Q579" s="3">
        <f t="shared" si="29"/>
        <v>107.92</v>
      </c>
    </row>
    <row r="580" spans="1:17" x14ac:dyDescent="0.35">
      <c r="A580" t="str">
        <f>Raw_Data!A580</f>
        <v>ORD-0576</v>
      </c>
      <c r="B580" s="2">
        <f>Raw_Data!B580</f>
        <v>45870</v>
      </c>
      <c r="C580" t="str">
        <f>Raw_Data!C580</f>
        <v>West</v>
      </c>
      <c r="D580" t="str">
        <f>Raw_Data!D580</f>
        <v>Mumbai</v>
      </c>
      <c r="E580" t="str">
        <f>Raw_Data!E580</f>
        <v>Home &amp; Kitchen</v>
      </c>
      <c r="F580" t="str">
        <f>Raw_Data!F580</f>
        <v>Lunch Box</v>
      </c>
      <c r="G580" t="str">
        <f>Raw_Data!G580</f>
        <v>Small Business</v>
      </c>
      <c r="H580" t="str">
        <f>Raw_Data!H580</f>
        <v>In-Store</v>
      </c>
      <c r="I580">
        <f>Raw_Data!I580</f>
        <v>10</v>
      </c>
      <c r="J580" s="3">
        <f>Raw_Data!J580</f>
        <v>18.260000000000002</v>
      </c>
      <c r="K580" s="4">
        <f>Raw_Data!K580</f>
        <v>0.15</v>
      </c>
      <c r="L580" s="3">
        <f>Raw_Data!L580</f>
        <v>155.21</v>
      </c>
      <c r="M580" s="3">
        <f>Raw_Data!M580</f>
        <v>110.88</v>
      </c>
      <c r="N580" s="3">
        <f>Raw_Data!N580</f>
        <v>44.33</v>
      </c>
      <c r="O580" t="str">
        <f t="shared" si="27"/>
        <v>2025-08</v>
      </c>
      <c r="P580" s="5">
        <f t="shared" si="28"/>
        <v>0.28561304039688162</v>
      </c>
      <c r="Q580" s="3">
        <f t="shared" si="29"/>
        <v>155.21</v>
      </c>
    </row>
    <row r="581" spans="1:17" x14ac:dyDescent="0.35">
      <c r="A581" t="str">
        <f>Raw_Data!A581</f>
        <v>ORD-0496</v>
      </c>
      <c r="B581" s="2">
        <f>Raw_Data!B581</f>
        <v>45870</v>
      </c>
      <c r="C581" t="str">
        <f>Raw_Data!C581</f>
        <v>East</v>
      </c>
      <c r="D581" t="str">
        <f>Raw_Data!D581</f>
        <v>Guwahati</v>
      </c>
      <c r="E581" t="str">
        <f>Raw_Data!E581</f>
        <v>Furniture</v>
      </c>
      <c r="F581" t="str">
        <f>Raw_Data!F581</f>
        <v>Office Chair</v>
      </c>
      <c r="G581" t="str">
        <f>Raw_Data!G581</f>
        <v>Consumer</v>
      </c>
      <c r="H581" t="str">
        <f>Raw_Data!H581</f>
        <v>Online</v>
      </c>
      <c r="I581">
        <f>Raw_Data!I581</f>
        <v>10</v>
      </c>
      <c r="J581" s="3">
        <f>Raw_Data!J581</f>
        <v>136.74</v>
      </c>
      <c r="K581" s="4">
        <f>Raw_Data!K581</f>
        <v>0</v>
      </c>
      <c r="L581" s="3">
        <f>Raw_Data!L581</f>
        <v>1367.4</v>
      </c>
      <c r="M581" s="3">
        <f>Raw_Data!M581</f>
        <v>957.58</v>
      </c>
      <c r="N581" s="3">
        <f>Raw_Data!N581</f>
        <v>409.82</v>
      </c>
      <c r="O581" t="str">
        <f t="shared" si="27"/>
        <v>2025-08</v>
      </c>
      <c r="P581" s="5">
        <f t="shared" si="28"/>
        <v>0.29970747403832088</v>
      </c>
      <c r="Q581" s="3">
        <f t="shared" si="29"/>
        <v>1367.4</v>
      </c>
    </row>
    <row r="582" spans="1:17" x14ac:dyDescent="0.35">
      <c r="A582" t="str">
        <f>Raw_Data!A582</f>
        <v>ORD-0837</v>
      </c>
      <c r="B582" s="2">
        <f>Raw_Data!B582</f>
        <v>45870</v>
      </c>
      <c r="C582" t="str">
        <f>Raw_Data!C582</f>
        <v>South</v>
      </c>
      <c r="D582" t="str">
        <f>Raw_Data!D582</f>
        <v>Bengaluru</v>
      </c>
      <c r="E582" t="str">
        <f>Raw_Data!E582</f>
        <v>Office Supplies</v>
      </c>
      <c r="F582" t="str">
        <f>Raw_Data!F582</f>
        <v>Pen Set</v>
      </c>
      <c r="G582" t="str">
        <f>Raw_Data!G582</f>
        <v>Corporate</v>
      </c>
      <c r="H582" t="str">
        <f>Raw_Data!H582</f>
        <v>Marketplace</v>
      </c>
      <c r="I582">
        <f>Raw_Data!I582</f>
        <v>10</v>
      </c>
      <c r="J582" s="3">
        <f>Raw_Data!J582</f>
        <v>8.85</v>
      </c>
      <c r="K582" s="4">
        <f>Raw_Data!K582</f>
        <v>0.1</v>
      </c>
      <c r="L582" s="3">
        <f>Raw_Data!L582</f>
        <v>79.650000000000006</v>
      </c>
      <c r="M582" s="3">
        <f>Raw_Data!M582</f>
        <v>52.69</v>
      </c>
      <c r="N582" s="3">
        <f>Raw_Data!N582</f>
        <v>26.96</v>
      </c>
      <c r="O582" t="str">
        <f t="shared" si="27"/>
        <v>2025-08</v>
      </c>
      <c r="P582" s="5">
        <f t="shared" si="28"/>
        <v>0.33848085373509101</v>
      </c>
      <c r="Q582" s="3">
        <f t="shared" si="29"/>
        <v>79.650000000000006</v>
      </c>
    </row>
    <row r="583" spans="1:17" x14ac:dyDescent="0.35">
      <c r="A583" t="str">
        <f>Raw_Data!A583</f>
        <v>ORD-0745</v>
      </c>
      <c r="B583" s="2">
        <f>Raw_Data!B583</f>
        <v>45871</v>
      </c>
      <c r="C583" t="str">
        <f>Raw_Data!C583</f>
        <v>North</v>
      </c>
      <c r="D583" t="str">
        <f>Raw_Data!D583</f>
        <v>Delhi</v>
      </c>
      <c r="E583" t="str">
        <f>Raw_Data!E583</f>
        <v>Furniture</v>
      </c>
      <c r="F583" t="str">
        <f>Raw_Data!F583</f>
        <v>Standing Desk</v>
      </c>
      <c r="G583" t="str">
        <f>Raw_Data!G583</f>
        <v>Corporate</v>
      </c>
      <c r="H583" t="str">
        <f>Raw_Data!H583</f>
        <v>In-Store</v>
      </c>
      <c r="I583">
        <f>Raw_Data!I583</f>
        <v>3</v>
      </c>
      <c r="J583" s="3">
        <f>Raw_Data!J583</f>
        <v>277.58999999999997</v>
      </c>
      <c r="K583" s="4">
        <f>Raw_Data!K583</f>
        <v>0.05</v>
      </c>
      <c r="L583" s="3">
        <f>Raw_Data!L583</f>
        <v>791.13</v>
      </c>
      <c r="M583" s="3">
        <f>Raw_Data!M583</f>
        <v>572.29</v>
      </c>
      <c r="N583" s="3">
        <f>Raw_Data!N583</f>
        <v>218.84</v>
      </c>
      <c r="O583" t="str">
        <f t="shared" si="27"/>
        <v>2025-08</v>
      </c>
      <c r="P583" s="5">
        <f t="shared" si="28"/>
        <v>0.27661699088645358</v>
      </c>
      <c r="Q583" s="3">
        <f t="shared" si="29"/>
        <v>791.13</v>
      </c>
    </row>
    <row r="584" spans="1:17" x14ac:dyDescent="0.35">
      <c r="A584" t="str">
        <f>Raw_Data!A584</f>
        <v>ORD-0506</v>
      </c>
      <c r="B584" s="2">
        <f>Raw_Data!B584</f>
        <v>45871</v>
      </c>
      <c r="C584" t="str">
        <f>Raw_Data!C584</f>
        <v>West</v>
      </c>
      <c r="D584" t="str">
        <f>Raw_Data!D584</f>
        <v>Ahmedabad</v>
      </c>
      <c r="E584" t="str">
        <f>Raw_Data!E584</f>
        <v>Technology</v>
      </c>
      <c r="F584" t="str">
        <f>Raw_Data!F584</f>
        <v>Keyboard</v>
      </c>
      <c r="G584" t="str">
        <f>Raw_Data!G584</f>
        <v>Consumer</v>
      </c>
      <c r="H584" t="str">
        <f>Raw_Data!H584</f>
        <v>In-Store</v>
      </c>
      <c r="I584">
        <f>Raw_Data!I584</f>
        <v>12</v>
      </c>
      <c r="J584" s="3">
        <f>Raw_Data!J584</f>
        <v>34.51</v>
      </c>
      <c r="K584" s="4">
        <f>Raw_Data!K584</f>
        <v>0.15</v>
      </c>
      <c r="L584" s="3">
        <f>Raw_Data!L584</f>
        <v>352</v>
      </c>
      <c r="M584" s="3">
        <f>Raw_Data!M584</f>
        <v>314.14999999999998</v>
      </c>
      <c r="N584" s="3">
        <f>Raw_Data!N584</f>
        <v>37.85</v>
      </c>
      <c r="O584" t="str">
        <f t="shared" si="27"/>
        <v>2025-08</v>
      </c>
      <c r="P584" s="5">
        <f t="shared" si="28"/>
        <v>0.10752840909090909</v>
      </c>
      <c r="Q584" s="3">
        <f t="shared" si="29"/>
        <v>352</v>
      </c>
    </row>
    <row r="585" spans="1:17" x14ac:dyDescent="0.35">
      <c r="A585" t="str">
        <f>Raw_Data!A585</f>
        <v>ORD-0187</v>
      </c>
      <c r="B585" s="2">
        <f>Raw_Data!B585</f>
        <v>45871</v>
      </c>
      <c r="C585" t="str">
        <f>Raw_Data!C585</f>
        <v>North</v>
      </c>
      <c r="D585" t="str">
        <f>Raw_Data!D585</f>
        <v>Delhi</v>
      </c>
      <c r="E585" t="str">
        <f>Raw_Data!E585</f>
        <v>Furniture</v>
      </c>
      <c r="F585" t="str">
        <f>Raw_Data!F585</f>
        <v>Office Chair</v>
      </c>
      <c r="G585" t="str">
        <f>Raw_Data!G585</f>
        <v>Corporate</v>
      </c>
      <c r="H585" t="str">
        <f>Raw_Data!H585</f>
        <v>In-Store</v>
      </c>
      <c r="I585">
        <f>Raw_Data!I585</f>
        <v>10</v>
      </c>
      <c r="J585" s="3">
        <f>Raw_Data!J585</f>
        <v>147.34</v>
      </c>
      <c r="K585" s="4">
        <f>Raw_Data!K585</f>
        <v>0.15</v>
      </c>
      <c r="L585" s="3">
        <f>Raw_Data!L585</f>
        <v>1252.3900000000001</v>
      </c>
      <c r="M585" s="3">
        <f>Raw_Data!M585</f>
        <v>962.56</v>
      </c>
      <c r="N585" s="3">
        <f>Raw_Data!N585</f>
        <v>289.83</v>
      </c>
      <c r="O585" t="str">
        <f t="shared" si="27"/>
        <v>2025-08</v>
      </c>
      <c r="P585" s="5">
        <f t="shared" si="28"/>
        <v>0.23142152204984068</v>
      </c>
      <c r="Q585" s="3">
        <f t="shared" si="29"/>
        <v>1252.3900000000001</v>
      </c>
    </row>
    <row r="586" spans="1:17" x14ac:dyDescent="0.35">
      <c r="A586" t="str">
        <f>Raw_Data!A586</f>
        <v>ORD-0219</v>
      </c>
      <c r="B586" s="2">
        <f>Raw_Data!B586</f>
        <v>45871</v>
      </c>
      <c r="C586" t="str">
        <f>Raw_Data!C586</f>
        <v>South</v>
      </c>
      <c r="D586" t="str">
        <f>Raw_Data!D586</f>
        <v>Bengaluru</v>
      </c>
      <c r="E586" t="str">
        <f>Raw_Data!E586</f>
        <v>Home &amp; Kitchen</v>
      </c>
      <c r="F586" t="str">
        <f>Raw_Data!F586</f>
        <v>Storage Box</v>
      </c>
      <c r="G586" t="str">
        <f>Raw_Data!G586</f>
        <v>Small Business</v>
      </c>
      <c r="H586" t="str">
        <f>Raw_Data!H586</f>
        <v>Marketplace</v>
      </c>
      <c r="I586">
        <f>Raw_Data!I586</f>
        <v>5</v>
      </c>
      <c r="J586" s="3">
        <f>Raw_Data!J586</f>
        <v>13.74</v>
      </c>
      <c r="K586" s="4">
        <f>Raw_Data!K586</f>
        <v>0.15</v>
      </c>
      <c r="L586" s="3">
        <f>Raw_Data!L586</f>
        <v>58.4</v>
      </c>
      <c r="M586" s="3">
        <f>Raw_Data!M586</f>
        <v>42.74</v>
      </c>
      <c r="N586" s="3">
        <f>Raw_Data!N586</f>
        <v>15.66</v>
      </c>
      <c r="O586" t="str">
        <f t="shared" si="27"/>
        <v>2025-08</v>
      </c>
      <c r="P586" s="5">
        <f t="shared" si="28"/>
        <v>0.26815068493150684</v>
      </c>
      <c r="Q586" s="3">
        <f t="shared" si="29"/>
        <v>58.4</v>
      </c>
    </row>
    <row r="587" spans="1:17" x14ac:dyDescent="0.35">
      <c r="A587" t="str">
        <f>Raw_Data!A587</f>
        <v>ORD-0942</v>
      </c>
      <c r="B587" s="2">
        <f>Raw_Data!B587</f>
        <v>45872</v>
      </c>
      <c r="C587" t="str">
        <f>Raw_Data!C587</f>
        <v>North</v>
      </c>
      <c r="D587" t="str">
        <f>Raw_Data!D587</f>
        <v>Jaipur</v>
      </c>
      <c r="E587" t="str">
        <f>Raw_Data!E587</f>
        <v>Furniture</v>
      </c>
      <c r="F587" t="str">
        <f>Raw_Data!F587</f>
        <v>Bookshelf</v>
      </c>
      <c r="G587" t="str">
        <f>Raw_Data!G587</f>
        <v>Small Business</v>
      </c>
      <c r="H587" t="str">
        <f>Raw_Data!H587</f>
        <v>In-Store</v>
      </c>
      <c r="I587">
        <f>Raw_Data!I587</f>
        <v>6</v>
      </c>
      <c r="J587" s="3">
        <f>Raw_Data!J587</f>
        <v>110.77</v>
      </c>
      <c r="K587" s="4">
        <f>Raw_Data!K587</f>
        <v>0</v>
      </c>
      <c r="L587" s="3">
        <f>Raw_Data!L587</f>
        <v>664.62</v>
      </c>
      <c r="M587" s="3">
        <f>Raw_Data!M587</f>
        <v>500.63</v>
      </c>
      <c r="N587" s="3">
        <f>Raw_Data!N587</f>
        <v>163.99</v>
      </c>
      <c r="O587" t="str">
        <f t="shared" si="27"/>
        <v>2025-08</v>
      </c>
      <c r="P587" s="5">
        <f t="shared" si="28"/>
        <v>0.24674249947338331</v>
      </c>
      <c r="Q587" s="3">
        <f t="shared" si="29"/>
        <v>664.62</v>
      </c>
    </row>
    <row r="588" spans="1:17" x14ac:dyDescent="0.35">
      <c r="A588" t="str">
        <f>Raw_Data!A588</f>
        <v>ORD-0326</v>
      </c>
      <c r="B588" s="2">
        <f>Raw_Data!B588</f>
        <v>45872</v>
      </c>
      <c r="C588" t="str">
        <f>Raw_Data!C588</f>
        <v>North</v>
      </c>
      <c r="D588" t="str">
        <f>Raw_Data!D588</f>
        <v>Jaipur</v>
      </c>
      <c r="E588" t="str">
        <f>Raw_Data!E588</f>
        <v>Office Supplies</v>
      </c>
      <c r="F588" t="str">
        <f>Raw_Data!F588</f>
        <v>Printer Paper</v>
      </c>
      <c r="G588" t="str">
        <f>Raw_Data!G588</f>
        <v>Small Business</v>
      </c>
      <c r="H588" t="str">
        <f>Raw_Data!H588</f>
        <v>Marketplace</v>
      </c>
      <c r="I588">
        <f>Raw_Data!I588</f>
        <v>8</v>
      </c>
      <c r="J588" s="3">
        <f>Raw_Data!J588</f>
        <v>17.38</v>
      </c>
      <c r="K588" s="4">
        <f>Raw_Data!K588</f>
        <v>0.05</v>
      </c>
      <c r="L588" s="3">
        <f>Raw_Data!L588</f>
        <v>132.09</v>
      </c>
      <c r="M588" s="3">
        <f>Raw_Data!M588</f>
        <v>89.51</v>
      </c>
      <c r="N588" s="3">
        <f>Raw_Data!N588</f>
        <v>42.58</v>
      </c>
      <c r="O588" t="str">
        <f t="shared" si="27"/>
        <v>2025-08</v>
      </c>
      <c r="P588" s="5">
        <f t="shared" si="28"/>
        <v>0.32235596941479294</v>
      </c>
      <c r="Q588" s="3">
        <f t="shared" si="29"/>
        <v>132.09</v>
      </c>
    </row>
    <row r="589" spans="1:17" x14ac:dyDescent="0.35">
      <c r="A589" t="str">
        <f>Raw_Data!A589</f>
        <v>ORD-0313</v>
      </c>
      <c r="B589" s="2">
        <f>Raw_Data!B589</f>
        <v>45872</v>
      </c>
      <c r="C589" t="str">
        <f>Raw_Data!C589</f>
        <v>West</v>
      </c>
      <c r="D589" t="str">
        <f>Raw_Data!D589</f>
        <v>Pune</v>
      </c>
      <c r="E589" t="str">
        <f>Raw_Data!E589</f>
        <v>Office Supplies</v>
      </c>
      <c r="F589" t="str">
        <f>Raw_Data!F589</f>
        <v>Pen Set</v>
      </c>
      <c r="G589" t="str">
        <f>Raw_Data!G589</f>
        <v>Corporate</v>
      </c>
      <c r="H589" t="str">
        <f>Raw_Data!H589</f>
        <v>In-Store</v>
      </c>
      <c r="I589">
        <f>Raw_Data!I589</f>
        <v>11</v>
      </c>
      <c r="J589" s="3">
        <f>Raw_Data!J589</f>
        <v>9.58</v>
      </c>
      <c r="K589" s="4">
        <f>Raw_Data!K589</f>
        <v>0.15</v>
      </c>
      <c r="L589" s="3">
        <f>Raw_Data!L589</f>
        <v>89.57</v>
      </c>
      <c r="M589" s="3">
        <f>Raw_Data!M589</f>
        <v>75.709999999999994</v>
      </c>
      <c r="N589" s="3">
        <f>Raw_Data!N589</f>
        <v>13.86</v>
      </c>
      <c r="O589" t="str">
        <f t="shared" si="27"/>
        <v>2025-08</v>
      </c>
      <c r="P589" s="5">
        <f t="shared" si="28"/>
        <v>0.15473931003684269</v>
      </c>
      <c r="Q589" s="3">
        <f t="shared" si="29"/>
        <v>89.57</v>
      </c>
    </row>
    <row r="590" spans="1:17" x14ac:dyDescent="0.35">
      <c r="A590" t="str">
        <f>Raw_Data!A590</f>
        <v>ORD-0711</v>
      </c>
      <c r="B590" s="2">
        <f>Raw_Data!B590</f>
        <v>45872</v>
      </c>
      <c r="C590" t="str">
        <f>Raw_Data!C590</f>
        <v>West</v>
      </c>
      <c r="D590" t="str">
        <f>Raw_Data!D590</f>
        <v>Ahmedabad</v>
      </c>
      <c r="E590" t="str">
        <f>Raw_Data!E590</f>
        <v>Office Supplies</v>
      </c>
      <c r="F590" t="str">
        <f>Raw_Data!F590</f>
        <v>Printer Paper</v>
      </c>
      <c r="G590" t="str">
        <f>Raw_Data!G590</f>
        <v>Consumer</v>
      </c>
      <c r="H590" t="str">
        <f>Raw_Data!H590</f>
        <v>In-Store</v>
      </c>
      <c r="I590">
        <f>Raw_Data!I590</f>
        <v>3</v>
      </c>
      <c r="J590" s="3">
        <f>Raw_Data!J590</f>
        <v>12.9</v>
      </c>
      <c r="K590" s="4">
        <f>Raw_Data!K590</f>
        <v>0.05</v>
      </c>
      <c r="L590" s="3">
        <f>Raw_Data!L590</f>
        <v>36.770000000000003</v>
      </c>
      <c r="M590" s="3">
        <f>Raw_Data!M590</f>
        <v>21.31</v>
      </c>
      <c r="N590" s="3">
        <f>Raw_Data!N590</f>
        <v>15.46</v>
      </c>
      <c r="O590" t="str">
        <f t="shared" si="27"/>
        <v>2025-08</v>
      </c>
      <c r="P590" s="5">
        <f t="shared" si="28"/>
        <v>0.42045145499048137</v>
      </c>
      <c r="Q590" s="3">
        <f t="shared" si="29"/>
        <v>36.770000000000003</v>
      </c>
    </row>
    <row r="591" spans="1:17" x14ac:dyDescent="0.35">
      <c r="A591" t="str">
        <f>Raw_Data!A591</f>
        <v>ORD-0466</v>
      </c>
      <c r="B591" s="2">
        <f>Raw_Data!B591</f>
        <v>45873</v>
      </c>
      <c r="C591" t="str">
        <f>Raw_Data!C591</f>
        <v>East</v>
      </c>
      <c r="D591" t="str">
        <f>Raw_Data!D591</f>
        <v>Guwahati</v>
      </c>
      <c r="E591" t="str">
        <f>Raw_Data!E591</f>
        <v>Home &amp; Kitchen</v>
      </c>
      <c r="F591" t="str">
        <f>Raw_Data!F591</f>
        <v>Water Bottle</v>
      </c>
      <c r="G591" t="str">
        <f>Raw_Data!G591</f>
        <v>Corporate</v>
      </c>
      <c r="H591" t="str">
        <f>Raw_Data!H591</f>
        <v>In-Store</v>
      </c>
      <c r="I591">
        <f>Raw_Data!I591</f>
        <v>2</v>
      </c>
      <c r="J591" s="3">
        <f>Raw_Data!J591</f>
        <v>14.51</v>
      </c>
      <c r="K591" s="4">
        <f>Raw_Data!K591</f>
        <v>0</v>
      </c>
      <c r="L591" s="3">
        <f>Raw_Data!L591</f>
        <v>29.02</v>
      </c>
      <c r="M591" s="3">
        <f>Raw_Data!M591</f>
        <v>16.66</v>
      </c>
      <c r="N591" s="3">
        <f>Raw_Data!N591</f>
        <v>12.36</v>
      </c>
      <c r="O591" t="str">
        <f t="shared" si="27"/>
        <v>2025-08</v>
      </c>
      <c r="P591" s="5">
        <f t="shared" si="28"/>
        <v>0.42591316333563056</v>
      </c>
      <c r="Q591" s="3">
        <f t="shared" si="29"/>
        <v>29.02</v>
      </c>
    </row>
    <row r="592" spans="1:17" x14ac:dyDescent="0.35">
      <c r="A592" t="str">
        <f>Raw_Data!A592</f>
        <v>ORD-0056</v>
      </c>
      <c r="B592" s="2">
        <f>Raw_Data!B592</f>
        <v>45873</v>
      </c>
      <c r="C592" t="str">
        <f>Raw_Data!C592</f>
        <v>East</v>
      </c>
      <c r="D592" t="str">
        <f>Raw_Data!D592</f>
        <v>Kolkata</v>
      </c>
      <c r="E592" t="str">
        <f>Raw_Data!E592</f>
        <v>Furniture</v>
      </c>
      <c r="F592" t="str">
        <f>Raw_Data!F592</f>
        <v>Office Chair</v>
      </c>
      <c r="G592" t="str">
        <f>Raw_Data!G592</f>
        <v>Consumer</v>
      </c>
      <c r="H592" t="str">
        <f>Raw_Data!H592</f>
        <v>Marketplace</v>
      </c>
      <c r="I592">
        <f>Raw_Data!I592</f>
        <v>8</v>
      </c>
      <c r="J592" s="3">
        <f>Raw_Data!J592</f>
        <v>124.23</v>
      </c>
      <c r="K592" s="4">
        <f>Raw_Data!K592</f>
        <v>0.15</v>
      </c>
      <c r="L592" s="3">
        <f>Raw_Data!L592</f>
        <v>844.76</v>
      </c>
      <c r="M592" s="3">
        <f>Raw_Data!M592</f>
        <v>492.57</v>
      </c>
      <c r="N592" s="3">
        <f>Raw_Data!N592</f>
        <v>352.19</v>
      </c>
      <c r="O592" t="str">
        <f t="shared" si="27"/>
        <v>2025-08</v>
      </c>
      <c r="P592" s="5">
        <f t="shared" si="28"/>
        <v>0.41691131208864057</v>
      </c>
      <c r="Q592" s="3">
        <f t="shared" si="29"/>
        <v>844.76</v>
      </c>
    </row>
    <row r="593" spans="1:17" x14ac:dyDescent="0.35">
      <c r="A593" t="str">
        <f>Raw_Data!A593</f>
        <v>ORD-0796</v>
      </c>
      <c r="B593" s="2">
        <f>Raw_Data!B593</f>
        <v>45874</v>
      </c>
      <c r="C593" t="str">
        <f>Raw_Data!C593</f>
        <v>North</v>
      </c>
      <c r="D593" t="str">
        <f>Raw_Data!D593</f>
        <v>Chandigarh</v>
      </c>
      <c r="E593" t="str">
        <f>Raw_Data!E593</f>
        <v>Technology</v>
      </c>
      <c r="F593" t="str">
        <f>Raw_Data!F593</f>
        <v>Keyboard</v>
      </c>
      <c r="G593" t="str">
        <f>Raw_Data!G593</f>
        <v>Consumer</v>
      </c>
      <c r="H593" t="str">
        <f>Raw_Data!H593</f>
        <v>In-Store</v>
      </c>
      <c r="I593">
        <f>Raw_Data!I593</f>
        <v>4</v>
      </c>
      <c r="J593" s="3">
        <f>Raw_Data!J593</f>
        <v>29.04</v>
      </c>
      <c r="K593" s="4">
        <f>Raw_Data!K593</f>
        <v>0.05</v>
      </c>
      <c r="L593" s="3">
        <f>Raw_Data!L593</f>
        <v>110.35</v>
      </c>
      <c r="M593" s="3">
        <f>Raw_Data!M593</f>
        <v>57.95</v>
      </c>
      <c r="N593" s="3">
        <f>Raw_Data!N593</f>
        <v>52.4</v>
      </c>
      <c r="O593" t="str">
        <f t="shared" si="27"/>
        <v>2025-08</v>
      </c>
      <c r="P593" s="5">
        <f t="shared" si="28"/>
        <v>0.47485274127775262</v>
      </c>
      <c r="Q593" s="3">
        <f t="shared" si="29"/>
        <v>110.35</v>
      </c>
    </row>
    <row r="594" spans="1:17" x14ac:dyDescent="0.35">
      <c r="A594" t="str">
        <f>Raw_Data!A594</f>
        <v>ORD-0760</v>
      </c>
      <c r="B594" s="2">
        <f>Raw_Data!B594</f>
        <v>45874</v>
      </c>
      <c r="C594" t="str">
        <f>Raw_Data!C594</f>
        <v>North</v>
      </c>
      <c r="D594" t="str">
        <f>Raw_Data!D594</f>
        <v>Chandigarh</v>
      </c>
      <c r="E594" t="str">
        <f>Raw_Data!E594</f>
        <v>Technology</v>
      </c>
      <c r="F594" t="str">
        <f>Raw_Data!F594</f>
        <v>Wireless Mouse</v>
      </c>
      <c r="G594" t="str">
        <f>Raw_Data!G594</f>
        <v>Corporate</v>
      </c>
      <c r="H594" t="str">
        <f>Raw_Data!H594</f>
        <v>Online</v>
      </c>
      <c r="I594">
        <f>Raw_Data!I594</f>
        <v>6</v>
      </c>
      <c r="J594" s="3">
        <f>Raw_Data!J594</f>
        <v>16.940000000000001</v>
      </c>
      <c r="K594" s="4">
        <f>Raw_Data!K594</f>
        <v>0.15</v>
      </c>
      <c r="L594" s="3">
        <f>Raw_Data!L594</f>
        <v>86.39</v>
      </c>
      <c r="M594" s="3">
        <f>Raw_Data!M594</f>
        <v>59.6</v>
      </c>
      <c r="N594" s="3">
        <f>Raw_Data!N594</f>
        <v>26.79</v>
      </c>
      <c r="O594" t="str">
        <f t="shared" si="27"/>
        <v>2025-08</v>
      </c>
      <c r="P594" s="5">
        <f t="shared" si="28"/>
        <v>0.31010533626577147</v>
      </c>
      <c r="Q594" s="3">
        <f t="shared" si="29"/>
        <v>86.39</v>
      </c>
    </row>
    <row r="595" spans="1:17" x14ac:dyDescent="0.35">
      <c r="A595" t="str">
        <f>Raw_Data!A595</f>
        <v>ORD-0033</v>
      </c>
      <c r="B595" s="2">
        <f>Raw_Data!B595</f>
        <v>45874</v>
      </c>
      <c r="C595" t="str">
        <f>Raw_Data!C595</f>
        <v>East</v>
      </c>
      <c r="D595" t="str">
        <f>Raw_Data!D595</f>
        <v>Bhubaneswar</v>
      </c>
      <c r="E595" t="str">
        <f>Raw_Data!E595</f>
        <v>Furniture</v>
      </c>
      <c r="F595" t="str">
        <f>Raw_Data!F595</f>
        <v>Office Chair</v>
      </c>
      <c r="G595" t="str">
        <f>Raw_Data!G595</f>
        <v>Consumer</v>
      </c>
      <c r="H595" t="str">
        <f>Raw_Data!H595</f>
        <v>Marketplace</v>
      </c>
      <c r="I595">
        <f>Raw_Data!I595</f>
        <v>1</v>
      </c>
      <c r="J595" s="3">
        <f>Raw_Data!J595</f>
        <v>140.18</v>
      </c>
      <c r="K595" s="4">
        <f>Raw_Data!K595</f>
        <v>0</v>
      </c>
      <c r="L595" s="3">
        <f>Raw_Data!L595</f>
        <v>140.18</v>
      </c>
      <c r="M595" s="3">
        <f>Raw_Data!M595</f>
        <v>94.08</v>
      </c>
      <c r="N595" s="3">
        <f>Raw_Data!N595</f>
        <v>46.1</v>
      </c>
      <c r="O595" t="str">
        <f t="shared" si="27"/>
        <v>2025-08</v>
      </c>
      <c r="P595" s="5">
        <f t="shared" si="28"/>
        <v>0.3288628905692681</v>
      </c>
      <c r="Q595" s="3">
        <f t="shared" si="29"/>
        <v>140.18</v>
      </c>
    </row>
    <row r="596" spans="1:17" x14ac:dyDescent="0.35">
      <c r="A596" t="str">
        <f>Raw_Data!A596</f>
        <v>ORD-0954</v>
      </c>
      <c r="B596" s="2">
        <f>Raw_Data!B596</f>
        <v>45876</v>
      </c>
      <c r="C596" t="str">
        <f>Raw_Data!C596</f>
        <v>South</v>
      </c>
      <c r="D596" t="str">
        <f>Raw_Data!D596</f>
        <v>Hyderabad</v>
      </c>
      <c r="E596" t="str">
        <f>Raw_Data!E596</f>
        <v>Office Supplies</v>
      </c>
      <c r="F596" t="str">
        <f>Raw_Data!F596</f>
        <v>Printer Paper</v>
      </c>
      <c r="G596" t="str">
        <f>Raw_Data!G596</f>
        <v>Corporate</v>
      </c>
      <c r="H596" t="str">
        <f>Raw_Data!H596</f>
        <v>Online</v>
      </c>
      <c r="I596">
        <f>Raw_Data!I596</f>
        <v>11</v>
      </c>
      <c r="J596" s="3">
        <f>Raw_Data!J596</f>
        <v>17.84</v>
      </c>
      <c r="K596" s="4">
        <f>Raw_Data!K596</f>
        <v>0</v>
      </c>
      <c r="L596" s="3">
        <f>Raw_Data!L596</f>
        <v>196.24</v>
      </c>
      <c r="M596" s="3">
        <f>Raw_Data!M596</f>
        <v>136.84</v>
      </c>
      <c r="N596" s="3">
        <f>Raw_Data!N596</f>
        <v>59.4</v>
      </c>
      <c r="O596" t="str">
        <f t="shared" si="27"/>
        <v>2025-08</v>
      </c>
      <c r="P596" s="5">
        <f t="shared" si="28"/>
        <v>0.30269058295964124</v>
      </c>
      <c r="Q596" s="3">
        <f t="shared" si="29"/>
        <v>196.24</v>
      </c>
    </row>
    <row r="597" spans="1:17" x14ac:dyDescent="0.35">
      <c r="A597" t="str">
        <f>Raw_Data!A597</f>
        <v>ORD-0821</v>
      </c>
      <c r="B597" s="2">
        <f>Raw_Data!B597</f>
        <v>45876</v>
      </c>
      <c r="C597" t="str">
        <f>Raw_Data!C597</f>
        <v>West</v>
      </c>
      <c r="D597" t="str">
        <f>Raw_Data!D597</f>
        <v>Pune</v>
      </c>
      <c r="E597" t="str">
        <f>Raw_Data!E597</f>
        <v>Home &amp; Kitchen</v>
      </c>
      <c r="F597" t="str">
        <f>Raw_Data!F597</f>
        <v>Lunch Box</v>
      </c>
      <c r="G597" t="str">
        <f>Raw_Data!G597</f>
        <v>Consumer</v>
      </c>
      <c r="H597" t="str">
        <f>Raw_Data!H597</f>
        <v>Online</v>
      </c>
      <c r="I597">
        <f>Raw_Data!I597</f>
        <v>7</v>
      </c>
      <c r="J597" s="3">
        <f>Raw_Data!J597</f>
        <v>19.86</v>
      </c>
      <c r="K597" s="4">
        <f>Raw_Data!K597</f>
        <v>0.1</v>
      </c>
      <c r="L597" s="3">
        <f>Raw_Data!L597</f>
        <v>125.12</v>
      </c>
      <c r="M597" s="3">
        <f>Raw_Data!M597</f>
        <v>79.95</v>
      </c>
      <c r="N597" s="3">
        <f>Raw_Data!N597</f>
        <v>45.17</v>
      </c>
      <c r="O597" t="str">
        <f t="shared" si="27"/>
        <v>2025-08</v>
      </c>
      <c r="P597" s="5">
        <f t="shared" si="28"/>
        <v>0.36101342710997442</v>
      </c>
      <c r="Q597" s="3">
        <f t="shared" si="29"/>
        <v>125.12</v>
      </c>
    </row>
    <row r="598" spans="1:17" x14ac:dyDescent="0.35">
      <c r="A598" t="str">
        <f>Raw_Data!A598</f>
        <v>ORD-0859</v>
      </c>
      <c r="B598" s="2">
        <f>Raw_Data!B598</f>
        <v>45876</v>
      </c>
      <c r="C598" t="str">
        <f>Raw_Data!C598</f>
        <v>South</v>
      </c>
      <c r="D598" t="str">
        <f>Raw_Data!D598</f>
        <v>Hyderabad</v>
      </c>
      <c r="E598" t="str">
        <f>Raw_Data!E598</f>
        <v>Home &amp; Kitchen</v>
      </c>
      <c r="F598" t="str">
        <f>Raw_Data!F598</f>
        <v>Coffee Maker</v>
      </c>
      <c r="G598" t="str">
        <f>Raw_Data!G598</f>
        <v>Small Business</v>
      </c>
      <c r="H598" t="str">
        <f>Raw_Data!H598</f>
        <v>In-Store</v>
      </c>
      <c r="I598">
        <f>Raw_Data!I598</f>
        <v>3</v>
      </c>
      <c r="J598" s="3">
        <f>Raw_Data!J598</f>
        <v>79.39</v>
      </c>
      <c r="K598" s="4">
        <f>Raw_Data!K598</f>
        <v>0</v>
      </c>
      <c r="L598" s="3">
        <f>Raw_Data!L598</f>
        <v>238.17</v>
      </c>
      <c r="M598" s="3">
        <f>Raw_Data!M598</f>
        <v>144.62</v>
      </c>
      <c r="N598" s="3">
        <f>Raw_Data!N598</f>
        <v>93.55</v>
      </c>
      <c r="O598" t="str">
        <f t="shared" si="27"/>
        <v>2025-08</v>
      </c>
      <c r="P598" s="5">
        <f t="shared" si="28"/>
        <v>0.39278666498719406</v>
      </c>
      <c r="Q598" s="3">
        <f t="shared" si="29"/>
        <v>238.17</v>
      </c>
    </row>
    <row r="599" spans="1:17" x14ac:dyDescent="0.35">
      <c r="A599" t="str">
        <f>Raw_Data!A599</f>
        <v>ORD-0917</v>
      </c>
      <c r="B599" s="2">
        <f>Raw_Data!B599</f>
        <v>45877</v>
      </c>
      <c r="C599" t="str">
        <f>Raw_Data!C599</f>
        <v>East</v>
      </c>
      <c r="D599" t="str">
        <f>Raw_Data!D599</f>
        <v>Kolkata</v>
      </c>
      <c r="E599" t="str">
        <f>Raw_Data!E599</f>
        <v>Office Supplies</v>
      </c>
      <c r="F599" t="str">
        <f>Raw_Data!F599</f>
        <v>Desk Organizer</v>
      </c>
      <c r="G599" t="str">
        <f>Raw_Data!G599</f>
        <v>Consumer</v>
      </c>
      <c r="H599" t="str">
        <f>Raw_Data!H599</f>
        <v>Marketplace</v>
      </c>
      <c r="I599">
        <f>Raw_Data!I599</f>
        <v>11</v>
      </c>
      <c r="J599" s="3">
        <f>Raw_Data!J599</f>
        <v>24.16</v>
      </c>
      <c r="K599" s="4">
        <f>Raw_Data!K599</f>
        <v>0.05</v>
      </c>
      <c r="L599" s="3">
        <f>Raw_Data!L599</f>
        <v>252.47</v>
      </c>
      <c r="M599" s="3">
        <f>Raw_Data!M599</f>
        <v>159.97999999999999</v>
      </c>
      <c r="N599" s="3">
        <f>Raw_Data!N599</f>
        <v>92.49</v>
      </c>
      <c r="O599" t="str">
        <f t="shared" si="27"/>
        <v>2025-08</v>
      </c>
      <c r="P599" s="5">
        <f t="shared" si="28"/>
        <v>0.36634055531350257</v>
      </c>
      <c r="Q599" s="3">
        <f t="shared" si="29"/>
        <v>252.47</v>
      </c>
    </row>
    <row r="600" spans="1:17" x14ac:dyDescent="0.35">
      <c r="A600" t="str">
        <f>Raw_Data!A600</f>
        <v>ORD-0277</v>
      </c>
      <c r="B600" s="2">
        <f>Raw_Data!B600</f>
        <v>45877</v>
      </c>
      <c r="C600" t="str">
        <f>Raw_Data!C600</f>
        <v>East</v>
      </c>
      <c r="D600" t="str">
        <f>Raw_Data!D600</f>
        <v>Bhubaneswar</v>
      </c>
      <c r="E600" t="str">
        <f>Raw_Data!E600</f>
        <v>Office Supplies</v>
      </c>
      <c r="F600" t="str">
        <f>Raw_Data!F600</f>
        <v>Pen Set</v>
      </c>
      <c r="G600" t="str">
        <f>Raw_Data!G600</f>
        <v>Small Business</v>
      </c>
      <c r="H600" t="str">
        <f>Raw_Data!H600</f>
        <v>Online</v>
      </c>
      <c r="I600">
        <f>Raw_Data!I600</f>
        <v>11</v>
      </c>
      <c r="J600" s="3">
        <f>Raw_Data!J600</f>
        <v>7.65</v>
      </c>
      <c r="K600" s="4">
        <f>Raw_Data!K600</f>
        <v>0.05</v>
      </c>
      <c r="L600" s="3">
        <f>Raw_Data!L600</f>
        <v>79.94</v>
      </c>
      <c r="M600" s="3">
        <f>Raw_Data!M600</f>
        <v>42.75</v>
      </c>
      <c r="N600" s="3">
        <f>Raw_Data!N600</f>
        <v>37.19</v>
      </c>
      <c r="O600" t="str">
        <f t="shared" si="27"/>
        <v>2025-08</v>
      </c>
      <c r="P600" s="5">
        <f t="shared" si="28"/>
        <v>0.4652239179384538</v>
      </c>
      <c r="Q600" s="3">
        <f t="shared" si="29"/>
        <v>79.94</v>
      </c>
    </row>
    <row r="601" spans="1:17" x14ac:dyDescent="0.35">
      <c r="A601" t="str">
        <f>Raw_Data!A601</f>
        <v>ORD-0035</v>
      </c>
      <c r="B601" s="2">
        <f>Raw_Data!B601</f>
        <v>45878</v>
      </c>
      <c r="C601" t="str">
        <f>Raw_Data!C601</f>
        <v>South</v>
      </c>
      <c r="D601" t="str">
        <f>Raw_Data!D601</f>
        <v>Hyderabad</v>
      </c>
      <c r="E601" t="str">
        <f>Raw_Data!E601</f>
        <v>Office Supplies</v>
      </c>
      <c r="F601" t="str">
        <f>Raw_Data!F601</f>
        <v>Notebook Pack</v>
      </c>
      <c r="G601" t="str">
        <f>Raw_Data!G601</f>
        <v>Corporate</v>
      </c>
      <c r="H601" t="str">
        <f>Raw_Data!H601</f>
        <v>Online</v>
      </c>
      <c r="I601">
        <f>Raw_Data!I601</f>
        <v>5</v>
      </c>
      <c r="J601" s="3">
        <f>Raw_Data!J601</f>
        <v>11.73</v>
      </c>
      <c r="K601" s="4">
        <f>Raw_Data!K601</f>
        <v>0</v>
      </c>
      <c r="L601" s="3">
        <f>Raw_Data!L601</f>
        <v>58.65</v>
      </c>
      <c r="M601" s="3">
        <f>Raw_Data!M601</f>
        <v>43.97</v>
      </c>
      <c r="N601" s="3">
        <f>Raw_Data!N601</f>
        <v>14.68</v>
      </c>
      <c r="O601" t="str">
        <f t="shared" si="27"/>
        <v>2025-08</v>
      </c>
      <c r="P601" s="5">
        <f t="shared" si="28"/>
        <v>0.2502983802216539</v>
      </c>
      <c r="Q601" s="3">
        <f t="shared" si="29"/>
        <v>58.65</v>
      </c>
    </row>
    <row r="602" spans="1:17" x14ac:dyDescent="0.35">
      <c r="A602" t="str">
        <f>Raw_Data!A602</f>
        <v>ORD-0717</v>
      </c>
      <c r="B602" s="2">
        <f>Raw_Data!B602</f>
        <v>45878</v>
      </c>
      <c r="C602" t="str">
        <f>Raw_Data!C602</f>
        <v>West</v>
      </c>
      <c r="D602" t="str">
        <f>Raw_Data!D602</f>
        <v>Ahmedabad</v>
      </c>
      <c r="E602" t="str">
        <f>Raw_Data!E602</f>
        <v>Furniture</v>
      </c>
      <c r="F602" t="str">
        <f>Raw_Data!F602</f>
        <v>Bookshelf</v>
      </c>
      <c r="G602" t="str">
        <f>Raw_Data!G602</f>
        <v>Consumer</v>
      </c>
      <c r="H602" t="str">
        <f>Raw_Data!H602</f>
        <v>In-Store</v>
      </c>
      <c r="I602">
        <f>Raw_Data!I602</f>
        <v>10</v>
      </c>
      <c r="J602" s="3">
        <f>Raw_Data!J602</f>
        <v>125.44</v>
      </c>
      <c r="K602" s="4">
        <f>Raw_Data!K602</f>
        <v>0.05</v>
      </c>
      <c r="L602" s="3">
        <f>Raw_Data!L602</f>
        <v>1191.68</v>
      </c>
      <c r="M602" s="3">
        <f>Raw_Data!M602</f>
        <v>796.66</v>
      </c>
      <c r="N602" s="3">
        <f>Raw_Data!N602</f>
        <v>395.02</v>
      </c>
      <c r="O602" t="str">
        <f t="shared" si="27"/>
        <v>2025-08</v>
      </c>
      <c r="P602" s="5">
        <f t="shared" si="28"/>
        <v>0.3314816058002148</v>
      </c>
      <c r="Q602" s="3">
        <f t="shared" si="29"/>
        <v>1191.68</v>
      </c>
    </row>
    <row r="603" spans="1:17" x14ac:dyDescent="0.35">
      <c r="A603" t="str">
        <f>Raw_Data!A603</f>
        <v>ORD-0511</v>
      </c>
      <c r="B603" s="2">
        <f>Raw_Data!B603</f>
        <v>45878</v>
      </c>
      <c r="C603" t="str">
        <f>Raw_Data!C603</f>
        <v>South</v>
      </c>
      <c r="D603" t="str">
        <f>Raw_Data!D603</f>
        <v>Hyderabad</v>
      </c>
      <c r="E603" t="str">
        <f>Raw_Data!E603</f>
        <v>Furniture</v>
      </c>
      <c r="F603" t="str">
        <f>Raw_Data!F603</f>
        <v>Office Chair</v>
      </c>
      <c r="G603" t="str">
        <f>Raw_Data!G603</f>
        <v>Small Business</v>
      </c>
      <c r="H603" t="str">
        <f>Raw_Data!H603</f>
        <v>In-Store</v>
      </c>
      <c r="I603">
        <f>Raw_Data!I603</f>
        <v>2</v>
      </c>
      <c r="J603" s="3">
        <f>Raw_Data!J603</f>
        <v>157.34</v>
      </c>
      <c r="K603" s="4">
        <f>Raw_Data!K603</f>
        <v>0.1</v>
      </c>
      <c r="L603" s="3">
        <f>Raw_Data!L603</f>
        <v>283.20999999999998</v>
      </c>
      <c r="M603" s="3">
        <f>Raw_Data!M603</f>
        <v>185.53</v>
      </c>
      <c r="N603" s="3">
        <f>Raw_Data!N603</f>
        <v>97.68</v>
      </c>
      <c r="O603" t="str">
        <f t="shared" si="27"/>
        <v>2025-08</v>
      </c>
      <c r="P603" s="5">
        <f t="shared" si="28"/>
        <v>0.34490307545637516</v>
      </c>
      <c r="Q603" s="3">
        <f t="shared" si="29"/>
        <v>283.20999999999998</v>
      </c>
    </row>
    <row r="604" spans="1:17" x14ac:dyDescent="0.35">
      <c r="A604" t="str">
        <f>Raw_Data!A604</f>
        <v>ORD-0834</v>
      </c>
      <c r="B604" s="2">
        <f>Raw_Data!B604</f>
        <v>45879</v>
      </c>
      <c r="C604" t="str">
        <f>Raw_Data!C604</f>
        <v>West</v>
      </c>
      <c r="D604" t="str">
        <f>Raw_Data!D604</f>
        <v>Mumbai</v>
      </c>
      <c r="E604" t="str">
        <f>Raw_Data!E604</f>
        <v>Home &amp; Kitchen</v>
      </c>
      <c r="F604" t="str">
        <f>Raw_Data!F604</f>
        <v>Storage Box</v>
      </c>
      <c r="G604" t="str">
        <f>Raw_Data!G604</f>
        <v>Small Business</v>
      </c>
      <c r="H604" t="str">
        <f>Raw_Data!H604</f>
        <v>Online</v>
      </c>
      <c r="I604">
        <f>Raw_Data!I604</f>
        <v>10</v>
      </c>
      <c r="J604" s="3">
        <f>Raw_Data!J604</f>
        <v>14.72</v>
      </c>
      <c r="K604" s="4">
        <f>Raw_Data!K604</f>
        <v>0.05</v>
      </c>
      <c r="L604" s="3">
        <f>Raw_Data!L604</f>
        <v>139.84</v>
      </c>
      <c r="M604" s="3">
        <f>Raw_Data!M604</f>
        <v>96.6</v>
      </c>
      <c r="N604" s="3">
        <f>Raw_Data!N604</f>
        <v>43.24</v>
      </c>
      <c r="O604" t="str">
        <f t="shared" si="27"/>
        <v>2025-08</v>
      </c>
      <c r="P604" s="5">
        <f t="shared" si="28"/>
        <v>0.30921052631578949</v>
      </c>
      <c r="Q604" s="3">
        <f t="shared" si="29"/>
        <v>139.84</v>
      </c>
    </row>
    <row r="605" spans="1:17" x14ac:dyDescent="0.35">
      <c r="A605" t="str">
        <f>Raw_Data!A605</f>
        <v>ORD-0040</v>
      </c>
      <c r="B605" s="2">
        <f>Raw_Data!B605</f>
        <v>45880</v>
      </c>
      <c r="C605" t="str">
        <f>Raw_Data!C605</f>
        <v>South</v>
      </c>
      <c r="D605" t="str">
        <f>Raw_Data!D605</f>
        <v>Hyderabad</v>
      </c>
      <c r="E605" t="str">
        <f>Raw_Data!E605</f>
        <v>Furniture</v>
      </c>
      <c r="F605" t="str">
        <f>Raw_Data!F605</f>
        <v>Bookshelf</v>
      </c>
      <c r="G605" t="str">
        <f>Raw_Data!G605</f>
        <v>Small Business</v>
      </c>
      <c r="H605" t="str">
        <f>Raw_Data!H605</f>
        <v>Online</v>
      </c>
      <c r="I605">
        <f>Raw_Data!I605</f>
        <v>7</v>
      </c>
      <c r="J605" s="3">
        <f>Raw_Data!J605</f>
        <v>116.84</v>
      </c>
      <c r="K605" s="4">
        <f>Raw_Data!K605</f>
        <v>0.15</v>
      </c>
      <c r="L605" s="3">
        <f>Raw_Data!L605</f>
        <v>695.2</v>
      </c>
      <c r="M605" s="3">
        <f>Raw_Data!M605</f>
        <v>420.96</v>
      </c>
      <c r="N605" s="3">
        <f>Raw_Data!N605</f>
        <v>274.24</v>
      </c>
      <c r="O605" t="str">
        <f t="shared" si="27"/>
        <v>2025-08</v>
      </c>
      <c r="P605" s="5">
        <f t="shared" si="28"/>
        <v>0.39447640966628306</v>
      </c>
      <c r="Q605" s="3">
        <f t="shared" si="29"/>
        <v>695.2</v>
      </c>
    </row>
    <row r="606" spans="1:17" x14ac:dyDescent="0.35">
      <c r="A606" t="str">
        <f>Raw_Data!A606</f>
        <v>ORD-0952</v>
      </c>
      <c r="B606" s="2">
        <f>Raw_Data!B606</f>
        <v>45880</v>
      </c>
      <c r="C606" t="str">
        <f>Raw_Data!C606</f>
        <v>South</v>
      </c>
      <c r="D606" t="str">
        <f>Raw_Data!D606</f>
        <v>Chennai</v>
      </c>
      <c r="E606" t="str">
        <f>Raw_Data!E606</f>
        <v>Furniture</v>
      </c>
      <c r="F606" t="str">
        <f>Raw_Data!F606</f>
        <v>Desk Lamp</v>
      </c>
      <c r="G606" t="str">
        <f>Raw_Data!G606</f>
        <v>Consumer</v>
      </c>
      <c r="H606" t="str">
        <f>Raw_Data!H606</f>
        <v>Marketplace</v>
      </c>
      <c r="I606">
        <f>Raw_Data!I606</f>
        <v>8</v>
      </c>
      <c r="J606" s="3">
        <f>Raw_Data!J606</f>
        <v>33.549999999999997</v>
      </c>
      <c r="K606" s="4">
        <f>Raw_Data!K606</f>
        <v>0</v>
      </c>
      <c r="L606" s="3">
        <f>Raw_Data!L606</f>
        <v>268.39999999999998</v>
      </c>
      <c r="M606" s="3">
        <f>Raw_Data!M606</f>
        <v>165.82</v>
      </c>
      <c r="N606" s="3">
        <f>Raw_Data!N606</f>
        <v>102.58</v>
      </c>
      <c r="O606" t="str">
        <f t="shared" si="27"/>
        <v>2025-08</v>
      </c>
      <c r="P606" s="5">
        <f t="shared" si="28"/>
        <v>0.38219076005961256</v>
      </c>
      <c r="Q606" s="3">
        <f t="shared" si="29"/>
        <v>268.39999999999998</v>
      </c>
    </row>
    <row r="607" spans="1:17" x14ac:dyDescent="0.35">
      <c r="A607" t="str">
        <f>Raw_Data!A607</f>
        <v>ORD-0691</v>
      </c>
      <c r="B607" s="2">
        <f>Raw_Data!B607</f>
        <v>45880</v>
      </c>
      <c r="C607" t="str">
        <f>Raw_Data!C607</f>
        <v>East</v>
      </c>
      <c r="D607" t="str">
        <f>Raw_Data!D607</f>
        <v>Bhubaneswar</v>
      </c>
      <c r="E607" t="str">
        <f>Raw_Data!E607</f>
        <v>Home &amp; Kitchen</v>
      </c>
      <c r="F607" t="str">
        <f>Raw_Data!F607</f>
        <v>Coffee Maker</v>
      </c>
      <c r="G607" t="str">
        <f>Raw_Data!G607</f>
        <v>Corporate</v>
      </c>
      <c r="H607" t="str">
        <f>Raw_Data!H607</f>
        <v>Online</v>
      </c>
      <c r="I607">
        <f>Raw_Data!I607</f>
        <v>2</v>
      </c>
      <c r="J607" s="3">
        <f>Raw_Data!J607</f>
        <v>77.17</v>
      </c>
      <c r="K607" s="4">
        <f>Raw_Data!K607</f>
        <v>0.1</v>
      </c>
      <c r="L607" s="3">
        <f>Raw_Data!L607</f>
        <v>138.91</v>
      </c>
      <c r="M607" s="3">
        <f>Raw_Data!M607</f>
        <v>86.44</v>
      </c>
      <c r="N607" s="3">
        <f>Raw_Data!N607</f>
        <v>52.47</v>
      </c>
      <c r="O607" t="str">
        <f t="shared" si="27"/>
        <v>2025-08</v>
      </c>
      <c r="P607" s="5">
        <f t="shared" si="28"/>
        <v>0.37772658555899502</v>
      </c>
      <c r="Q607" s="3">
        <f t="shared" si="29"/>
        <v>138.91</v>
      </c>
    </row>
    <row r="608" spans="1:17" x14ac:dyDescent="0.35">
      <c r="A608" t="str">
        <f>Raw_Data!A608</f>
        <v>ORD-0693</v>
      </c>
      <c r="B608" s="2">
        <f>Raw_Data!B608</f>
        <v>45881</v>
      </c>
      <c r="C608" t="str">
        <f>Raw_Data!C608</f>
        <v>East</v>
      </c>
      <c r="D608" t="str">
        <f>Raw_Data!D608</f>
        <v>Kolkata</v>
      </c>
      <c r="E608" t="str">
        <f>Raw_Data!E608</f>
        <v>Home &amp; Kitchen</v>
      </c>
      <c r="F608" t="str">
        <f>Raw_Data!F608</f>
        <v>Water Bottle</v>
      </c>
      <c r="G608" t="str">
        <f>Raw_Data!G608</f>
        <v>Corporate</v>
      </c>
      <c r="H608" t="str">
        <f>Raw_Data!H608</f>
        <v>Marketplace</v>
      </c>
      <c r="I608">
        <f>Raw_Data!I608</f>
        <v>4</v>
      </c>
      <c r="J608" s="3">
        <f>Raw_Data!J608</f>
        <v>14.49</v>
      </c>
      <c r="K608" s="4">
        <f>Raw_Data!K608</f>
        <v>0</v>
      </c>
      <c r="L608" s="3">
        <f>Raw_Data!L608</f>
        <v>57.96</v>
      </c>
      <c r="M608" s="3">
        <f>Raw_Data!M608</f>
        <v>28.33</v>
      </c>
      <c r="N608" s="3">
        <f>Raw_Data!N608</f>
        <v>29.63</v>
      </c>
      <c r="O608" t="str">
        <f t="shared" si="27"/>
        <v>2025-08</v>
      </c>
      <c r="P608" s="5">
        <f t="shared" si="28"/>
        <v>0.51121463077984819</v>
      </c>
      <c r="Q608" s="3">
        <f t="shared" si="29"/>
        <v>57.96</v>
      </c>
    </row>
    <row r="609" spans="1:17" x14ac:dyDescent="0.35">
      <c r="A609" t="str">
        <f>Raw_Data!A609</f>
        <v>ORD-0131</v>
      </c>
      <c r="B609" s="2">
        <f>Raw_Data!B609</f>
        <v>45881</v>
      </c>
      <c r="C609" t="str">
        <f>Raw_Data!C609</f>
        <v>East</v>
      </c>
      <c r="D609" t="str">
        <f>Raw_Data!D609</f>
        <v>Kolkata</v>
      </c>
      <c r="E609" t="str">
        <f>Raw_Data!E609</f>
        <v>Technology</v>
      </c>
      <c r="F609" t="str">
        <f>Raw_Data!F609</f>
        <v>Keyboard</v>
      </c>
      <c r="G609" t="str">
        <f>Raw_Data!G609</f>
        <v>Corporate</v>
      </c>
      <c r="H609" t="str">
        <f>Raw_Data!H609</f>
        <v>In-Store</v>
      </c>
      <c r="I609">
        <f>Raw_Data!I609</f>
        <v>7</v>
      </c>
      <c r="J609" s="3">
        <f>Raw_Data!J609</f>
        <v>33.799999999999997</v>
      </c>
      <c r="K609" s="4">
        <f>Raw_Data!K609</f>
        <v>0.15</v>
      </c>
      <c r="L609" s="3">
        <f>Raw_Data!L609</f>
        <v>201.11</v>
      </c>
      <c r="M609" s="3">
        <f>Raw_Data!M609</f>
        <v>119.15</v>
      </c>
      <c r="N609" s="3">
        <f>Raw_Data!N609</f>
        <v>81.96</v>
      </c>
      <c r="O609" t="str">
        <f t="shared" si="27"/>
        <v>2025-08</v>
      </c>
      <c r="P609" s="5">
        <f t="shared" si="28"/>
        <v>0.40753816319427172</v>
      </c>
      <c r="Q609" s="3">
        <f t="shared" si="29"/>
        <v>201.11</v>
      </c>
    </row>
    <row r="610" spans="1:17" x14ac:dyDescent="0.35">
      <c r="A610" t="str">
        <f>Raw_Data!A610</f>
        <v>ORD-0041</v>
      </c>
      <c r="B610" s="2">
        <f>Raw_Data!B610</f>
        <v>45881</v>
      </c>
      <c r="C610" t="str">
        <f>Raw_Data!C610</f>
        <v>North</v>
      </c>
      <c r="D610" t="str">
        <f>Raw_Data!D610</f>
        <v>Jaipur</v>
      </c>
      <c r="E610" t="str">
        <f>Raw_Data!E610</f>
        <v>Technology</v>
      </c>
      <c r="F610" t="str">
        <f>Raw_Data!F610</f>
        <v>Keyboard</v>
      </c>
      <c r="G610" t="str">
        <f>Raw_Data!G610</f>
        <v>Corporate</v>
      </c>
      <c r="H610" t="str">
        <f>Raw_Data!H610</f>
        <v>In-Store</v>
      </c>
      <c r="I610">
        <f>Raw_Data!I610</f>
        <v>6</v>
      </c>
      <c r="J610" s="3">
        <f>Raw_Data!J610</f>
        <v>32.03</v>
      </c>
      <c r="K610" s="4">
        <f>Raw_Data!K610</f>
        <v>0.05</v>
      </c>
      <c r="L610" s="3">
        <f>Raw_Data!L610</f>
        <v>182.57</v>
      </c>
      <c r="M610" s="3">
        <f>Raw_Data!M610</f>
        <v>128.16999999999999</v>
      </c>
      <c r="N610" s="3">
        <f>Raw_Data!N610</f>
        <v>54.4</v>
      </c>
      <c r="O610" t="str">
        <f t="shared" si="27"/>
        <v>2025-08</v>
      </c>
      <c r="P610" s="5">
        <f t="shared" si="28"/>
        <v>0.29796790272224355</v>
      </c>
      <c r="Q610" s="3">
        <f t="shared" si="29"/>
        <v>182.57</v>
      </c>
    </row>
    <row r="611" spans="1:17" x14ac:dyDescent="0.35">
      <c r="A611" t="str">
        <f>Raw_Data!A611</f>
        <v>ORD-0752</v>
      </c>
      <c r="B611" s="2">
        <f>Raw_Data!B611</f>
        <v>45882</v>
      </c>
      <c r="C611" t="str">
        <f>Raw_Data!C611</f>
        <v>South</v>
      </c>
      <c r="D611" t="str">
        <f>Raw_Data!D611</f>
        <v>Chennai</v>
      </c>
      <c r="E611" t="str">
        <f>Raw_Data!E611</f>
        <v>Home &amp; Kitchen</v>
      </c>
      <c r="F611" t="str">
        <f>Raw_Data!F611</f>
        <v>Water Bottle</v>
      </c>
      <c r="G611" t="str">
        <f>Raw_Data!G611</f>
        <v>Consumer</v>
      </c>
      <c r="H611" t="str">
        <f>Raw_Data!H611</f>
        <v>In-Store</v>
      </c>
      <c r="I611">
        <f>Raw_Data!I611</f>
        <v>4</v>
      </c>
      <c r="J611" s="3">
        <f>Raw_Data!J611</f>
        <v>18.27</v>
      </c>
      <c r="K611" s="4">
        <f>Raw_Data!K611</f>
        <v>0.1</v>
      </c>
      <c r="L611" s="3">
        <f>Raw_Data!L611</f>
        <v>65.77</v>
      </c>
      <c r="M611" s="3">
        <f>Raw_Data!M611</f>
        <v>42.56</v>
      </c>
      <c r="N611" s="3">
        <f>Raw_Data!N611</f>
        <v>23.21</v>
      </c>
      <c r="O611" t="str">
        <f t="shared" si="27"/>
        <v>2025-08</v>
      </c>
      <c r="P611" s="5">
        <f t="shared" si="28"/>
        <v>0.35289645735137604</v>
      </c>
      <c r="Q611" s="3">
        <f t="shared" si="29"/>
        <v>65.77</v>
      </c>
    </row>
    <row r="612" spans="1:17" x14ac:dyDescent="0.35">
      <c r="A612" t="str">
        <f>Raw_Data!A612</f>
        <v>ORD-0445</v>
      </c>
      <c r="B612" s="2">
        <f>Raw_Data!B612</f>
        <v>45882</v>
      </c>
      <c r="C612" t="str">
        <f>Raw_Data!C612</f>
        <v>North</v>
      </c>
      <c r="D612" t="str">
        <f>Raw_Data!D612</f>
        <v>Jaipur</v>
      </c>
      <c r="E612" t="str">
        <f>Raw_Data!E612</f>
        <v>Technology</v>
      </c>
      <c r="F612" t="str">
        <f>Raw_Data!F612</f>
        <v>Keyboard</v>
      </c>
      <c r="G612" t="str">
        <f>Raw_Data!G612</f>
        <v>Corporate</v>
      </c>
      <c r="H612" t="str">
        <f>Raw_Data!H612</f>
        <v>Marketplace</v>
      </c>
      <c r="I612">
        <f>Raw_Data!I612</f>
        <v>11</v>
      </c>
      <c r="J612" s="3">
        <f>Raw_Data!J612</f>
        <v>37.619999999999997</v>
      </c>
      <c r="K612" s="4">
        <f>Raw_Data!K612</f>
        <v>0.15</v>
      </c>
      <c r="L612" s="3">
        <f>Raw_Data!L612</f>
        <v>351.75</v>
      </c>
      <c r="M612" s="3">
        <f>Raw_Data!M612</f>
        <v>234.14</v>
      </c>
      <c r="N612" s="3">
        <f>Raw_Data!N612</f>
        <v>117.61</v>
      </c>
      <c r="O612" t="str">
        <f t="shared" si="27"/>
        <v>2025-08</v>
      </c>
      <c r="P612" s="5">
        <f t="shared" si="28"/>
        <v>0.33435678749111586</v>
      </c>
      <c r="Q612" s="3">
        <f t="shared" si="29"/>
        <v>351.75</v>
      </c>
    </row>
    <row r="613" spans="1:17" x14ac:dyDescent="0.35">
      <c r="A613" t="str">
        <f>Raw_Data!A613</f>
        <v>ORD-0603</v>
      </c>
      <c r="B613" s="2">
        <f>Raw_Data!B613</f>
        <v>45882</v>
      </c>
      <c r="C613" t="str">
        <f>Raw_Data!C613</f>
        <v>West</v>
      </c>
      <c r="D613" t="str">
        <f>Raw_Data!D613</f>
        <v>Ahmedabad</v>
      </c>
      <c r="E613" t="str">
        <f>Raw_Data!E613</f>
        <v>Office Supplies</v>
      </c>
      <c r="F613" t="str">
        <f>Raw_Data!F613</f>
        <v>Pen Set</v>
      </c>
      <c r="G613" t="str">
        <f>Raw_Data!G613</f>
        <v>Consumer</v>
      </c>
      <c r="H613" t="str">
        <f>Raw_Data!H613</f>
        <v>Marketplace</v>
      </c>
      <c r="I613">
        <f>Raw_Data!I613</f>
        <v>1</v>
      </c>
      <c r="J613" s="3">
        <f>Raw_Data!J613</f>
        <v>7.34</v>
      </c>
      <c r="K613" s="4">
        <f>Raw_Data!K613</f>
        <v>0.15</v>
      </c>
      <c r="L613" s="3">
        <f>Raw_Data!L613</f>
        <v>6.24</v>
      </c>
      <c r="M613" s="3">
        <f>Raw_Data!M613</f>
        <v>4.05</v>
      </c>
      <c r="N613" s="3">
        <f>Raw_Data!N613</f>
        <v>2.19</v>
      </c>
      <c r="O613" t="str">
        <f t="shared" si="27"/>
        <v>2025-08</v>
      </c>
      <c r="P613" s="5">
        <f t="shared" si="28"/>
        <v>0.35096153846153844</v>
      </c>
      <c r="Q613" s="3">
        <f t="shared" si="29"/>
        <v>6.24</v>
      </c>
    </row>
    <row r="614" spans="1:17" x14ac:dyDescent="0.35">
      <c r="A614" t="str">
        <f>Raw_Data!A614</f>
        <v>ORD-0586</v>
      </c>
      <c r="B614" s="2">
        <f>Raw_Data!B614</f>
        <v>45883</v>
      </c>
      <c r="C614" t="str">
        <f>Raw_Data!C614</f>
        <v>East</v>
      </c>
      <c r="D614" t="str">
        <f>Raw_Data!D614</f>
        <v>Kolkata</v>
      </c>
      <c r="E614" t="str">
        <f>Raw_Data!E614</f>
        <v>Office Supplies</v>
      </c>
      <c r="F614" t="str">
        <f>Raw_Data!F614</f>
        <v>Pen Set</v>
      </c>
      <c r="G614" t="str">
        <f>Raw_Data!G614</f>
        <v>Consumer</v>
      </c>
      <c r="H614" t="str">
        <f>Raw_Data!H614</f>
        <v>Online</v>
      </c>
      <c r="I614">
        <f>Raw_Data!I614</f>
        <v>10</v>
      </c>
      <c r="J614" s="3">
        <f>Raw_Data!J614</f>
        <v>8.86</v>
      </c>
      <c r="K614" s="4">
        <f>Raw_Data!K614</f>
        <v>0.05</v>
      </c>
      <c r="L614" s="3">
        <f>Raw_Data!L614</f>
        <v>84.17</v>
      </c>
      <c r="M614" s="3">
        <f>Raw_Data!M614</f>
        <v>43.97</v>
      </c>
      <c r="N614" s="3">
        <f>Raw_Data!N614</f>
        <v>40.200000000000003</v>
      </c>
      <c r="O614" t="str">
        <f t="shared" si="27"/>
        <v>2025-08</v>
      </c>
      <c r="P614" s="5">
        <f t="shared" si="28"/>
        <v>0.47760484733277891</v>
      </c>
      <c r="Q614" s="3">
        <f t="shared" si="29"/>
        <v>84.17</v>
      </c>
    </row>
    <row r="615" spans="1:17" x14ac:dyDescent="0.35">
      <c r="A615" t="str">
        <f>Raw_Data!A615</f>
        <v>ORD-0177</v>
      </c>
      <c r="B615" s="2">
        <f>Raw_Data!B615</f>
        <v>45883</v>
      </c>
      <c r="C615" t="str">
        <f>Raw_Data!C615</f>
        <v>East</v>
      </c>
      <c r="D615" t="str">
        <f>Raw_Data!D615</f>
        <v>Bhubaneswar</v>
      </c>
      <c r="E615" t="str">
        <f>Raw_Data!E615</f>
        <v>Home &amp; Kitchen</v>
      </c>
      <c r="F615" t="str">
        <f>Raw_Data!F615</f>
        <v>Lunch Box</v>
      </c>
      <c r="G615" t="str">
        <f>Raw_Data!G615</f>
        <v>Corporate</v>
      </c>
      <c r="H615" t="str">
        <f>Raw_Data!H615</f>
        <v>In-Store</v>
      </c>
      <c r="I615">
        <f>Raw_Data!I615</f>
        <v>8</v>
      </c>
      <c r="J615" s="3">
        <f>Raw_Data!J615</f>
        <v>18.43</v>
      </c>
      <c r="K615" s="4">
        <f>Raw_Data!K615</f>
        <v>0.15</v>
      </c>
      <c r="L615" s="3">
        <f>Raw_Data!L615</f>
        <v>125.32</v>
      </c>
      <c r="M615" s="3">
        <f>Raw_Data!M615</f>
        <v>77.13</v>
      </c>
      <c r="N615" s="3">
        <f>Raw_Data!N615</f>
        <v>48.19</v>
      </c>
      <c r="O615" t="str">
        <f t="shared" si="27"/>
        <v>2025-08</v>
      </c>
      <c r="P615" s="5">
        <f t="shared" si="28"/>
        <v>0.38453558889243539</v>
      </c>
      <c r="Q615" s="3">
        <f t="shared" si="29"/>
        <v>125.32</v>
      </c>
    </row>
    <row r="616" spans="1:17" x14ac:dyDescent="0.35">
      <c r="A616" t="str">
        <f>Raw_Data!A616</f>
        <v>ORD-0282</v>
      </c>
      <c r="B616" s="2">
        <f>Raw_Data!B616</f>
        <v>45883</v>
      </c>
      <c r="C616" t="str">
        <f>Raw_Data!C616</f>
        <v>West</v>
      </c>
      <c r="D616" t="str">
        <f>Raw_Data!D616</f>
        <v>Mumbai</v>
      </c>
      <c r="E616" t="str">
        <f>Raw_Data!E616</f>
        <v>Furniture</v>
      </c>
      <c r="F616" t="str">
        <f>Raw_Data!F616</f>
        <v>Desk Lamp</v>
      </c>
      <c r="G616" t="str">
        <f>Raw_Data!G616</f>
        <v>Consumer</v>
      </c>
      <c r="H616" t="str">
        <f>Raw_Data!H616</f>
        <v>Online</v>
      </c>
      <c r="I616">
        <f>Raw_Data!I616</f>
        <v>11</v>
      </c>
      <c r="J616" s="3">
        <f>Raw_Data!J616</f>
        <v>42.25</v>
      </c>
      <c r="K616" s="4">
        <f>Raw_Data!K616</f>
        <v>0.1</v>
      </c>
      <c r="L616" s="3">
        <f>Raw_Data!L616</f>
        <v>418.28</v>
      </c>
      <c r="M616" s="3">
        <f>Raw_Data!M616</f>
        <v>308.98</v>
      </c>
      <c r="N616" s="3">
        <f>Raw_Data!N616</f>
        <v>109.3</v>
      </c>
      <c r="O616" t="str">
        <f t="shared" si="27"/>
        <v>2025-08</v>
      </c>
      <c r="P616" s="5">
        <f t="shared" si="28"/>
        <v>0.26130821459309556</v>
      </c>
      <c r="Q616" s="3">
        <f t="shared" si="29"/>
        <v>418.28</v>
      </c>
    </row>
    <row r="617" spans="1:17" x14ac:dyDescent="0.35">
      <c r="A617" t="str">
        <f>Raw_Data!A617</f>
        <v>ORD-0194</v>
      </c>
      <c r="B617" s="2">
        <f>Raw_Data!B617</f>
        <v>45884</v>
      </c>
      <c r="C617" t="str">
        <f>Raw_Data!C617</f>
        <v>East</v>
      </c>
      <c r="D617" t="str">
        <f>Raw_Data!D617</f>
        <v>Guwahati</v>
      </c>
      <c r="E617" t="str">
        <f>Raw_Data!E617</f>
        <v>Furniture</v>
      </c>
      <c r="F617" t="str">
        <f>Raw_Data!F617</f>
        <v>Standing Desk</v>
      </c>
      <c r="G617" t="str">
        <f>Raw_Data!G617</f>
        <v>Consumer</v>
      </c>
      <c r="H617" t="str">
        <f>Raw_Data!H617</f>
        <v>Online</v>
      </c>
      <c r="I617">
        <f>Raw_Data!I617</f>
        <v>4</v>
      </c>
      <c r="J617" s="3">
        <f>Raw_Data!J617</f>
        <v>239.39</v>
      </c>
      <c r="K617" s="4">
        <f>Raw_Data!K617</f>
        <v>0.15</v>
      </c>
      <c r="L617" s="3">
        <f>Raw_Data!L617</f>
        <v>813.93</v>
      </c>
      <c r="M617" s="3">
        <f>Raw_Data!M617</f>
        <v>537.52</v>
      </c>
      <c r="N617" s="3">
        <f>Raw_Data!N617</f>
        <v>276.41000000000003</v>
      </c>
      <c r="O617" t="str">
        <f t="shared" si="27"/>
        <v>2025-08</v>
      </c>
      <c r="P617" s="5">
        <f t="shared" si="28"/>
        <v>0.33959922843487772</v>
      </c>
      <c r="Q617" s="3">
        <f t="shared" si="29"/>
        <v>813.93</v>
      </c>
    </row>
    <row r="618" spans="1:17" x14ac:dyDescent="0.35">
      <c r="A618" t="str">
        <f>Raw_Data!A618</f>
        <v>ORD-0899</v>
      </c>
      <c r="B618" s="2">
        <f>Raw_Data!B618</f>
        <v>45885</v>
      </c>
      <c r="C618" t="str">
        <f>Raw_Data!C618</f>
        <v>South</v>
      </c>
      <c r="D618" t="str">
        <f>Raw_Data!D618</f>
        <v>Hyderabad</v>
      </c>
      <c r="E618" t="str">
        <f>Raw_Data!E618</f>
        <v>Furniture</v>
      </c>
      <c r="F618" t="str">
        <f>Raw_Data!F618</f>
        <v>Office Chair</v>
      </c>
      <c r="G618" t="str">
        <f>Raw_Data!G618</f>
        <v>Consumer</v>
      </c>
      <c r="H618" t="str">
        <f>Raw_Data!H618</f>
        <v>Marketplace</v>
      </c>
      <c r="I618">
        <f>Raw_Data!I618</f>
        <v>2</v>
      </c>
      <c r="J618" s="3">
        <f>Raw_Data!J618</f>
        <v>129.16999999999999</v>
      </c>
      <c r="K618" s="4">
        <f>Raw_Data!K618</f>
        <v>0</v>
      </c>
      <c r="L618" s="3">
        <f>Raw_Data!L618</f>
        <v>258.33999999999997</v>
      </c>
      <c r="M618" s="3">
        <f>Raw_Data!M618</f>
        <v>161.91999999999999</v>
      </c>
      <c r="N618" s="3">
        <f>Raw_Data!N618</f>
        <v>96.42</v>
      </c>
      <c r="O618" t="str">
        <f t="shared" si="27"/>
        <v>2025-08</v>
      </c>
      <c r="P618" s="5">
        <f t="shared" si="28"/>
        <v>0.37322907795927851</v>
      </c>
      <c r="Q618" s="3">
        <f t="shared" si="29"/>
        <v>258.33999999999997</v>
      </c>
    </row>
    <row r="619" spans="1:17" x14ac:dyDescent="0.35">
      <c r="A619" t="str">
        <f>Raw_Data!A619</f>
        <v>ORD-0855</v>
      </c>
      <c r="B619" s="2">
        <f>Raw_Data!B619</f>
        <v>45885</v>
      </c>
      <c r="C619" t="str">
        <f>Raw_Data!C619</f>
        <v>West</v>
      </c>
      <c r="D619" t="str">
        <f>Raw_Data!D619</f>
        <v>Mumbai</v>
      </c>
      <c r="E619" t="str">
        <f>Raw_Data!E619</f>
        <v>Furniture</v>
      </c>
      <c r="F619" t="str">
        <f>Raw_Data!F619</f>
        <v>Desk Lamp</v>
      </c>
      <c r="G619" t="str">
        <f>Raw_Data!G619</f>
        <v>Corporate</v>
      </c>
      <c r="H619" t="str">
        <f>Raw_Data!H619</f>
        <v>In-Store</v>
      </c>
      <c r="I619">
        <f>Raw_Data!I619</f>
        <v>5</v>
      </c>
      <c r="J619" s="3">
        <f>Raw_Data!J619</f>
        <v>36.520000000000003</v>
      </c>
      <c r="K619" s="4">
        <f>Raw_Data!K619</f>
        <v>0</v>
      </c>
      <c r="L619" s="3">
        <f>Raw_Data!L619</f>
        <v>182.6</v>
      </c>
      <c r="M619" s="3">
        <f>Raw_Data!M619</f>
        <v>116.18</v>
      </c>
      <c r="N619" s="3">
        <f>Raw_Data!N619</f>
        <v>66.42</v>
      </c>
      <c r="O619" t="str">
        <f t="shared" si="27"/>
        <v>2025-08</v>
      </c>
      <c r="P619" s="5">
        <f t="shared" si="28"/>
        <v>0.36374589266155533</v>
      </c>
      <c r="Q619" s="3">
        <f t="shared" si="29"/>
        <v>182.6</v>
      </c>
    </row>
    <row r="620" spans="1:17" x14ac:dyDescent="0.35">
      <c r="A620" t="str">
        <f>Raw_Data!A620</f>
        <v>ORD-0168</v>
      </c>
      <c r="B620" s="2">
        <f>Raw_Data!B620</f>
        <v>45885</v>
      </c>
      <c r="C620" t="str">
        <f>Raw_Data!C620</f>
        <v>East</v>
      </c>
      <c r="D620" t="str">
        <f>Raw_Data!D620</f>
        <v>Guwahati</v>
      </c>
      <c r="E620" t="str">
        <f>Raw_Data!E620</f>
        <v>Technology</v>
      </c>
      <c r="F620" t="str">
        <f>Raw_Data!F620</f>
        <v>Headphones</v>
      </c>
      <c r="G620" t="str">
        <f>Raw_Data!G620</f>
        <v>Small Business</v>
      </c>
      <c r="H620" t="str">
        <f>Raw_Data!H620</f>
        <v>Online</v>
      </c>
      <c r="I620">
        <f>Raw_Data!I620</f>
        <v>11</v>
      </c>
      <c r="J620" s="3">
        <f>Raw_Data!J620</f>
        <v>53.44</v>
      </c>
      <c r="K620" s="4">
        <f>Raw_Data!K620</f>
        <v>0</v>
      </c>
      <c r="L620" s="3">
        <f>Raw_Data!L620</f>
        <v>587.84</v>
      </c>
      <c r="M620" s="3">
        <f>Raw_Data!M620</f>
        <v>379.16</v>
      </c>
      <c r="N620" s="3">
        <f>Raw_Data!N620</f>
        <v>208.68</v>
      </c>
      <c r="O620" t="str">
        <f t="shared" si="27"/>
        <v>2025-08</v>
      </c>
      <c r="P620" s="5">
        <f t="shared" si="28"/>
        <v>0.35499455634186172</v>
      </c>
      <c r="Q620" s="3">
        <f t="shared" si="29"/>
        <v>587.84</v>
      </c>
    </row>
    <row r="621" spans="1:17" x14ac:dyDescent="0.35">
      <c r="A621" t="str">
        <f>Raw_Data!A621</f>
        <v>ORD-0167</v>
      </c>
      <c r="B621" s="2">
        <f>Raw_Data!B621</f>
        <v>45886</v>
      </c>
      <c r="C621" t="str">
        <f>Raw_Data!C621</f>
        <v>South</v>
      </c>
      <c r="D621" t="str">
        <f>Raw_Data!D621</f>
        <v>Bengaluru</v>
      </c>
      <c r="E621" t="str">
        <f>Raw_Data!E621</f>
        <v>Office Supplies</v>
      </c>
      <c r="F621" t="str">
        <f>Raw_Data!F621</f>
        <v>Desk Organizer</v>
      </c>
      <c r="G621" t="str">
        <f>Raw_Data!G621</f>
        <v>Consumer</v>
      </c>
      <c r="H621" t="str">
        <f>Raw_Data!H621</f>
        <v>In-Store</v>
      </c>
      <c r="I621">
        <f>Raw_Data!I621</f>
        <v>12</v>
      </c>
      <c r="J621" s="3">
        <f>Raw_Data!J621</f>
        <v>24.59</v>
      </c>
      <c r="K621" s="4">
        <f>Raw_Data!K621</f>
        <v>0.1</v>
      </c>
      <c r="L621" s="3">
        <f>Raw_Data!L621</f>
        <v>265.57</v>
      </c>
      <c r="M621" s="3">
        <f>Raw_Data!M621</f>
        <v>159.36000000000001</v>
      </c>
      <c r="N621" s="3">
        <f>Raw_Data!N621</f>
        <v>106.21</v>
      </c>
      <c r="O621" t="str">
        <f t="shared" si="27"/>
        <v>2025-08</v>
      </c>
      <c r="P621" s="5">
        <f t="shared" si="28"/>
        <v>0.39993222125993144</v>
      </c>
      <c r="Q621" s="3">
        <f t="shared" si="29"/>
        <v>265.57</v>
      </c>
    </row>
    <row r="622" spans="1:17" x14ac:dyDescent="0.35">
      <c r="A622" t="str">
        <f>Raw_Data!A622</f>
        <v>ORD-0860</v>
      </c>
      <c r="B622" s="2">
        <f>Raw_Data!B622</f>
        <v>45887</v>
      </c>
      <c r="C622" t="str">
        <f>Raw_Data!C622</f>
        <v>South</v>
      </c>
      <c r="D622" t="str">
        <f>Raw_Data!D622</f>
        <v>Chennai</v>
      </c>
      <c r="E622" t="str">
        <f>Raw_Data!E622</f>
        <v>Office Supplies</v>
      </c>
      <c r="F622" t="str">
        <f>Raw_Data!F622</f>
        <v>Desk Organizer</v>
      </c>
      <c r="G622" t="str">
        <f>Raw_Data!G622</f>
        <v>Small Business</v>
      </c>
      <c r="H622" t="str">
        <f>Raw_Data!H622</f>
        <v>In-Store</v>
      </c>
      <c r="I622">
        <f>Raw_Data!I622</f>
        <v>8</v>
      </c>
      <c r="J622" s="3">
        <f>Raw_Data!J622</f>
        <v>18.440000000000001</v>
      </c>
      <c r="K622" s="4">
        <f>Raw_Data!K622</f>
        <v>0.05</v>
      </c>
      <c r="L622" s="3">
        <f>Raw_Data!L622</f>
        <v>140.13999999999999</v>
      </c>
      <c r="M622" s="3">
        <f>Raw_Data!M622</f>
        <v>88.43</v>
      </c>
      <c r="N622" s="3">
        <f>Raw_Data!N622</f>
        <v>51.71</v>
      </c>
      <c r="O622" t="str">
        <f t="shared" si="27"/>
        <v>2025-08</v>
      </c>
      <c r="P622" s="5">
        <f t="shared" si="28"/>
        <v>0.36898815470244045</v>
      </c>
      <c r="Q622" s="3">
        <f t="shared" si="29"/>
        <v>140.13999999999999</v>
      </c>
    </row>
    <row r="623" spans="1:17" x14ac:dyDescent="0.35">
      <c r="A623" t="str">
        <f>Raw_Data!A623</f>
        <v>ORD-0049</v>
      </c>
      <c r="B623" s="2">
        <f>Raw_Data!B623</f>
        <v>45888</v>
      </c>
      <c r="C623" t="str">
        <f>Raw_Data!C623</f>
        <v>South</v>
      </c>
      <c r="D623" t="str">
        <f>Raw_Data!D623</f>
        <v>Bengaluru</v>
      </c>
      <c r="E623" t="str">
        <f>Raw_Data!E623</f>
        <v>Furniture</v>
      </c>
      <c r="F623" t="str">
        <f>Raw_Data!F623</f>
        <v>Desk Lamp</v>
      </c>
      <c r="G623" t="str">
        <f>Raw_Data!G623</f>
        <v>Small Business</v>
      </c>
      <c r="H623" t="str">
        <f>Raw_Data!H623</f>
        <v>In-Store</v>
      </c>
      <c r="I623">
        <f>Raw_Data!I623</f>
        <v>11</v>
      </c>
      <c r="J623" s="3">
        <f>Raw_Data!J623</f>
        <v>35.99</v>
      </c>
      <c r="K623" s="4">
        <f>Raw_Data!K623</f>
        <v>0.15</v>
      </c>
      <c r="L623" s="3">
        <f>Raw_Data!L623</f>
        <v>336.51</v>
      </c>
      <c r="M623" s="3">
        <f>Raw_Data!M623</f>
        <v>247.58</v>
      </c>
      <c r="N623" s="3">
        <f>Raw_Data!N623</f>
        <v>88.93</v>
      </c>
      <c r="O623" t="str">
        <f t="shared" si="27"/>
        <v>2025-08</v>
      </c>
      <c r="P623" s="5">
        <f t="shared" si="28"/>
        <v>0.26427149267480909</v>
      </c>
      <c r="Q623" s="3">
        <f t="shared" si="29"/>
        <v>336.51</v>
      </c>
    </row>
    <row r="624" spans="1:17" x14ac:dyDescent="0.35">
      <c r="A624" t="str">
        <f>Raw_Data!A624</f>
        <v>ORD-0840</v>
      </c>
      <c r="B624" s="2">
        <f>Raw_Data!B624</f>
        <v>45888</v>
      </c>
      <c r="C624" t="str">
        <f>Raw_Data!C624</f>
        <v>West</v>
      </c>
      <c r="D624" t="str">
        <f>Raw_Data!D624</f>
        <v>Ahmedabad</v>
      </c>
      <c r="E624" t="str">
        <f>Raw_Data!E624</f>
        <v>Office Supplies</v>
      </c>
      <c r="F624" t="str">
        <f>Raw_Data!F624</f>
        <v>Desk Organizer</v>
      </c>
      <c r="G624" t="str">
        <f>Raw_Data!G624</f>
        <v>Small Business</v>
      </c>
      <c r="H624" t="str">
        <f>Raw_Data!H624</f>
        <v>In-Store</v>
      </c>
      <c r="I624">
        <f>Raw_Data!I624</f>
        <v>4</v>
      </c>
      <c r="J624" s="3">
        <f>Raw_Data!J624</f>
        <v>21.57</v>
      </c>
      <c r="K624" s="4">
        <f>Raw_Data!K624</f>
        <v>0.1</v>
      </c>
      <c r="L624" s="3">
        <f>Raw_Data!L624</f>
        <v>77.650000000000006</v>
      </c>
      <c r="M624" s="3">
        <f>Raw_Data!M624</f>
        <v>42.11</v>
      </c>
      <c r="N624" s="3">
        <f>Raw_Data!N624</f>
        <v>35.54</v>
      </c>
      <c r="O624" t="str">
        <f t="shared" si="27"/>
        <v>2025-08</v>
      </c>
      <c r="P624" s="5">
        <f t="shared" si="28"/>
        <v>0.45769478428847388</v>
      </c>
      <c r="Q624" s="3">
        <f t="shared" si="29"/>
        <v>77.650000000000006</v>
      </c>
    </row>
    <row r="625" spans="1:17" x14ac:dyDescent="0.35">
      <c r="A625" t="str">
        <f>Raw_Data!A625</f>
        <v>ORD-0165</v>
      </c>
      <c r="B625" s="2">
        <f>Raw_Data!B625</f>
        <v>45888</v>
      </c>
      <c r="C625" t="str">
        <f>Raw_Data!C625</f>
        <v>East</v>
      </c>
      <c r="D625" t="str">
        <f>Raw_Data!D625</f>
        <v>Guwahati</v>
      </c>
      <c r="E625" t="str">
        <f>Raw_Data!E625</f>
        <v>Furniture</v>
      </c>
      <c r="F625" t="str">
        <f>Raw_Data!F625</f>
        <v>Bookshelf</v>
      </c>
      <c r="G625" t="str">
        <f>Raw_Data!G625</f>
        <v>Small Business</v>
      </c>
      <c r="H625" t="str">
        <f>Raw_Data!H625</f>
        <v>In-Store</v>
      </c>
      <c r="I625">
        <f>Raw_Data!I625</f>
        <v>8</v>
      </c>
      <c r="J625" s="3">
        <f>Raw_Data!J625</f>
        <v>122.88</v>
      </c>
      <c r="K625" s="4">
        <f>Raw_Data!K625</f>
        <v>0.15</v>
      </c>
      <c r="L625" s="3">
        <f>Raw_Data!L625</f>
        <v>835.58</v>
      </c>
      <c r="M625" s="3">
        <f>Raw_Data!M625</f>
        <v>512.47</v>
      </c>
      <c r="N625" s="3">
        <f>Raw_Data!N625</f>
        <v>323.11</v>
      </c>
      <c r="O625" t="str">
        <f t="shared" si="27"/>
        <v>2025-08</v>
      </c>
      <c r="P625" s="5">
        <f t="shared" si="28"/>
        <v>0.38668948514804086</v>
      </c>
      <c r="Q625" s="3">
        <f t="shared" si="29"/>
        <v>835.58</v>
      </c>
    </row>
    <row r="626" spans="1:17" x14ac:dyDescent="0.35">
      <c r="A626" t="str">
        <f>Raw_Data!A626</f>
        <v>ORD-0478</v>
      </c>
      <c r="B626" s="2">
        <f>Raw_Data!B626</f>
        <v>45889</v>
      </c>
      <c r="C626" t="str">
        <f>Raw_Data!C626</f>
        <v>North</v>
      </c>
      <c r="D626" t="str">
        <f>Raw_Data!D626</f>
        <v>Chandigarh</v>
      </c>
      <c r="E626" t="str">
        <f>Raw_Data!E626</f>
        <v>Furniture</v>
      </c>
      <c r="F626" t="str">
        <f>Raw_Data!F626</f>
        <v>Standing Desk</v>
      </c>
      <c r="G626" t="str">
        <f>Raw_Data!G626</f>
        <v>Consumer</v>
      </c>
      <c r="H626" t="str">
        <f>Raw_Data!H626</f>
        <v>Online</v>
      </c>
      <c r="I626">
        <f>Raw_Data!I626</f>
        <v>4</v>
      </c>
      <c r="J626" s="3">
        <f>Raw_Data!J626</f>
        <v>250.18</v>
      </c>
      <c r="K626" s="4">
        <f>Raw_Data!K626</f>
        <v>0</v>
      </c>
      <c r="L626" s="3">
        <f>Raw_Data!L626</f>
        <v>1000.72</v>
      </c>
      <c r="M626" s="3">
        <f>Raw_Data!M626</f>
        <v>495.25</v>
      </c>
      <c r="N626" s="3">
        <f>Raw_Data!N626</f>
        <v>505.47</v>
      </c>
      <c r="O626" t="str">
        <f t="shared" si="27"/>
        <v>2025-08</v>
      </c>
      <c r="P626" s="5">
        <f t="shared" si="28"/>
        <v>0.50510632344711803</v>
      </c>
      <c r="Q626" s="3">
        <f t="shared" si="29"/>
        <v>1000.72</v>
      </c>
    </row>
    <row r="627" spans="1:17" x14ac:dyDescent="0.35">
      <c r="A627" t="str">
        <f>Raw_Data!A627</f>
        <v>ORD-0625</v>
      </c>
      <c r="B627" s="2">
        <f>Raw_Data!B627</f>
        <v>45889</v>
      </c>
      <c r="C627" t="str">
        <f>Raw_Data!C627</f>
        <v>West</v>
      </c>
      <c r="D627" t="str">
        <f>Raw_Data!D627</f>
        <v>Pune</v>
      </c>
      <c r="E627" t="str">
        <f>Raw_Data!E627</f>
        <v>Home &amp; Kitchen</v>
      </c>
      <c r="F627" t="str">
        <f>Raw_Data!F627</f>
        <v>Storage Box</v>
      </c>
      <c r="G627" t="str">
        <f>Raw_Data!G627</f>
        <v>Consumer</v>
      </c>
      <c r="H627" t="str">
        <f>Raw_Data!H627</f>
        <v>Online</v>
      </c>
      <c r="I627">
        <f>Raw_Data!I627</f>
        <v>2</v>
      </c>
      <c r="J627" s="3">
        <f>Raw_Data!J627</f>
        <v>14.64</v>
      </c>
      <c r="K627" s="4">
        <f>Raw_Data!K627</f>
        <v>0</v>
      </c>
      <c r="L627" s="3">
        <f>Raw_Data!L627</f>
        <v>29.28</v>
      </c>
      <c r="M627" s="3">
        <f>Raw_Data!M627</f>
        <v>20.14</v>
      </c>
      <c r="N627" s="3">
        <f>Raw_Data!N627</f>
        <v>9.14</v>
      </c>
      <c r="O627" t="str">
        <f t="shared" si="27"/>
        <v>2025-08</v>
      </c>
      <c r="P627" s="5">
        <f t="shared" si="28"/>
        <v>0.31215846994535518</v>
      </c>
      <c r="Q627" s="3">
        <f t="shared" si="29"/>
        <v>29.28</v>
      </c>
    </row>
    <row r="628" spans="1:17" x14ac:dyDescent="0.35">
      <c r="A628" t="str">
        <f>Raw_Data!A628</f>
        <v>ORD-0819</v>
      </c>
      <c r="B628" s="2">
        <f>Raw_Data!B628</f>
        <v>45889</v>
      </c>
      <c r="C628" t="str">
        <f>Raw_Data!C628</f>
        <v>East</v>
      </c>
      <c r="D628" t="str">
        <f>Raw_Data!D628</f>
        <v>Kolkata</v>
      </c>
      <c r="E628" t="str">
        <f>Raw_Data!E628</f>
        <v>Office Supplies</v>
      </c>
      <c r="F628" t="str">
        <f>Raw_Data!F628</f>
        <v>Printer Paper</v>
      </c>
      <c r="G628" t="str">
        <f>Raw_Data!G628</f>
        <v>Small Business</v>
      </c>
      <c r="H628" t="str">
        <f>Raw_Data!H628</f>
        <v>Marketplace</v>
      </c>
      <c r="I628">
        <f>Raw_Data!I628</f>
        <v>4</v>
      </c>
      <c r="J628" s="3">
        <f>Raw_Data!J628</f>
        <v>14.36</v>
      </c>
      <c r="K628" s="4">
        <f>Raw_Data!K628</f>
        <v>0.1</v>
      </c>
      <c r="L628" s="3">
        <f>Raw_Data!L628</f>
        <v>51.7</v>
      </c>
      <c r="M628" s="3">
        <f>Raw_Data!M628</f>
        <v>37.42</v>
      </c>
      <c r="N628" s="3">
        <f>Raw_Data!N628</f>
        <v>14.28</v>
      </c>
      <c r="O628" t="str">
        <f t="shared" si="27"/>
        <v>2025-08</v>
      </c>
      <c r="P628" s="5">
        <f t="shared" si="28"/>
        <v>0.27620889748549321</v>
      </c>
      <c r="Q628" s="3">
        <f t="shared" si="29"/>
        <v>51.7</v>
      </c>
    </row>
    <row r="629" spans="1:17" x14ac:dyDescent="0.35">
      <c r="A629" t="str">
        <f>Raw_Data!A629</f>
        <v>ORD-0386</v>
      </c>
      <c r="B629" s="2">
        <f>Raw_Data!B629</f>
        <v>45889</v>
      </c>
      <c r="C629" t="str">
        <f>Raw_Data!C629</f>
        <v>East</v>
      </c>
      <c r="D629" t="str">
        <f>Raw_Data!D629</f>
        <v>Bhubaneswar</v>
      </c>
      <c r="E629" t="str">
        <f>Raw_Data!E629</f>
        <v>Technology</v>
      </c>
      <c r="F629" t="str">
        <f>Raw_Data!F629</f>
        <v>Wireless Mouse</v>
      </c>
      <c r="G629" t="str">
        <f>Raw_Data!G629</f>
        <v>Corporate</v>
      </c>
      <c r="H629" t="str">
        <f>Raw_Data!H629</f>
        <v>Marketplace</v>
      </c>
      <c r="I629">
        <f>Raw_Data!I629</f>
        <v>11</v>
      </c>
      <c r="J629" s="3">
        <f>Raw_Data!J629</f>
        <v>16.7</v>
      </c>
      <c r="K629" s="4">
        <f>Raw_Data!K629</f>
        <v>0.05</v>
      </c>
      <c r="L629" s="3">
        <f>Raw_Data!L629</f>
        <v>174.51</v>
      </c>
      <c r="M629" s="3">
        <f>Raw_Data!M629</f>
        <v>107.75</v>
      </c>
      <c r="N629" s="3">
        <f>Raw_Data!N629</f>
        <v>66.760000000000005</v>
      </c>
      <c r="O629" t="str">
        <f t="shared" si="27"/>
        <v>2025-08</v>
      </c>
      <c r="P629" s="5">
        <f t="shared" si="28"/>
        <v>0.38255687353160284</v>
      </c>
      <c r="Q629" s="3">
        <f t="shared" si="29"/>
        <v>174.51</v>
      </c>
    </row>
    <row r="630" spans="1:17" x14ac:dyDescent="0.35">
      <c r="A630" t="str">
        <f>Raw_Data!A630</f>
        <v>ORD-0076</v>
      </c>
      <c r="B630" s="2">
        <f>Raw_Data!B630</f>
        <v>45890</v>
      </c>
      <c r="C630" t="str">
        <f>Raw_Data!C630</f>
        <v>South</v>
      </c>
      <c r="D630" t="str">
        <f>Raw_Data!D630</f>
        <v>Hyderabad</v>
      </c>
      <c r="E630" t="str">
        <f>Raw_Data!E630</f>
        <v>Technology</v>
      </c>
      <c r="F630" t="str">
        <f>Raw_Data!F630</f>
        <v>Keyboard</v>
      </c>
      <c r="G630" t="str">
        <f>Raw_Data!G630</f>
        <v>Small Business</v>
      </c>
      <c r="H630" t="str">
        <f>Raw_Data!H630</f>
        <v>Online</v>
      </c>
      <c r="I630">
        <f>Raw_Data!I630</f>
        <v>5</v>
      </c>
      <c r="J630" s="3">
        <f>Raw_Data!J630</f>
        <v>36.020000000000003</v>
      </c>
      <c r="K630" s="4">
        <f>Raw_Data!K630</f>
        <v>0.15</v>
      </c>
      <c r="L630" s="3">
        <f>Raw_Data!L630</f>
        <v>153.09</v>
      </c>
      <c r="M630" s="3">
        <f>Raw_Data!M630</f>
        <v>122.17</v>
      </c>
      <c r="N630" s="3">
        <f>Raw_Data!N630</f>
        <v>30.92</v>
      </c>
      <c r="O630" t="str">
        <f t="shared" si="27"/>
        <v>2025-08</v>
      </c>
      <c r="P630" s="5">
        <f t="shared" si="28"/>
        <v>0.2019726957998563</v>
      </c>
      <c r="Q630" s="3">
        <f t="shared" si="29"/>
        <v>153.09</v>
      </c>
    </row>
    <row r="631" spans="1:17" x14ac:dyDescent="0.35">
      <c r="A631" t="str">
        <f>Raw_Data!A631</f>
        <v>ORD-0802</v>
      </c>
      <c r="B631" s="2">
        <f>Raw_Data!B631</f>
        <v>45890</v>
      </c>
      <c r="C631" t="str">
        <f>Raw_Data!C631</f>
        <v>South</v>
      </c>
      <c r="D631" t="str">
        <f>Raw_Data!D631</f>
        <v>Hyderabad</v>
      </c>
      <c r="E631" t="str">
        <f>Raw_Data!E631</f>
        <v>Furniture</v>
      </c>
      <c r="F631" t="str">
        <f>Raw_Data!F631</f>
        <v>Desk Lamp</v>
      </c>
      <c r="G631" t="str">
        <f>Raw_Data!G631</f>
        <v>Corporate</v>
      </c>
      <c r="H631" t="str">
        <f>Raw_Data!H631</f>
        <v>Online</v>
      </c>
      <c r="I631">
        <f>Raw_Data!I631</f>
        <v>2</v>
      </c>
      <c r="J631" s="3">
        <f>Raw_Data!J631</f>
        <v>33.67</v>
      </c>
      <c r="K631" s="4">
        <f>Raw_Data!K631</f>
        <v>0.15</v>
      </c>
      <c r="L631" s="3">
        <f>Raw_Data!L631</f>
        <v>57.24</v>
      </c>
      <c r="M631" s="3">
        <f>Raw_Data!M631</f>
        <v>46.73</v>
      </c>
      <c r="N631" s="3">
        <f>Raw_Data!N631</f>
        <v>10.51</v>
      </c>
      <c r="O631" t="str">
        <f t="shared" si="27"/>
        <v>2025-08</v>
      </c>
      <c r="P631" s="5">
        <f t="shared" si="28"/>
        <v>0.18361285814116002</v>
      </c>
      <c r="Q631" s="3">
        <f t="shared" si="29"/>
        <v>57.24</v>
      </c>
    </row>
    <row r="632" spans="1:17" x14ac:dyDescent="0.35">
      <c r="A632" t="str">
        <f>Raw_Data!A632</f>
        <v>ORD-0091</v>
      </c>
      <c r="B632" s="2">
        <f>Raw_Data!B632</f>
        <v>45891</v>
      </c>
      <c r="C632" t="str">
        <f>Raw_Data!C632</f>
        <v>East</v>
      </c>
      <c r="D632" t="str">
        <f>Raw_Data!D632</f>
        <v>Guwahati</v>
      </c>
      <c r="E632" t="str">
        <f>Raw_Data!E632</f>
        <v>Technology</v>
      </c>
      <c r="F632" t="str">
        <f>Raw_Data!F632</f>
        <v>Keyboard</v>
      </c>
      <c r="G632" t="str">
        <f>Raw_Data!G632</f>
        <v>Small Business</v>
      </c>
      <c r="H632" t="str">
        <f>Raw_Data!H632</f>
        <v>Marketplace</v>
      </c>
      <c r="I632">
        <f>Raw_Data!I632</f>
        <v>7</v>
      </c>
      <c r="J632" s="3">
        <f>Raw_Data!J632</f>
        <v>36.950000000000003</v>
      </c>
      <c r="K632" s="4">
        <f>Raw_Data!K632</f>
        <v>0</v>
      </c>
      <c r="L632" s="3">
        <f>Raw_Data!L632</f>
        <v>258.64999999999998</v>
      </c>
      <c r="M632" s="3">
        <f>Raw_Data!M632</f>
        <v>129.96</v>
      </c>
      <c r="N632" s="3">
        <f>Raw_Data!N632</f>
        <v>128.69</v>
      </c>
      <c r="O632" t="str">
        <f t="shared" si="27"/>
        <v>2025-08</v>
      </c>
      <c r="P632" s="5">
        <f t="shared" si="28"/>
        <v>0.49754494490624401</v>
      </c>
      <c r="Q632" s="3">
        <f t="shared" si="29"/>
        <v>258.64999999999998</v>
      </c>
    </row>
    <row r="633" spans="1:17" x14ac:dyDescent="0.35">
      <c r="A633" t="str">
        <f>Raw_Data!A633</f>
        <v>ORD-0639</v>
      </c>
      <c r="B633" s="2">
        <f>Raw_Data!B633</f>
        <v>45891</v>
      </c>
      <c r="C633" t="str">
        <f>Raw_Data!C633</f>
        <v>South</v>
      </c>
      <c r="D633" t="str">
        <f>Raw_Data!D633</f>
        <v>Bengaluru</v>
      </c>
      <c r="E633" t="str">
        <f>Raw_Data!E633</f>
        <v>Office Supplies</v>
      </c>
      <c r="F633" t="str">
        <f>Raw_Data!F633</f>
        <v>Pen Set</v>
      </c>
      <c r="G633" t="str">
        <f>Raw_Data!G633</f>
        <v>Consumer</v>
      </c>
      <c r="H633" t="str">
        <f>Raw_Data!H633</f>
        <v>Online</v>
      </c>
      <c r="I633">
        <f>Raw_Data!I633</f>
        <v>12</v>
      </c>
      <c r="J633" s="3">
        <f>Raw_Data!J633</f>
        <v>8.3000000000000007</v>
      </c>
      <c r="K633" s="4">
        <f>Raw_Data!K633</f>
        <v>0</v>
      </c>
      <c r="L633" s="3">
        <f>Raw_Data!L633</f>
        <v>99.6</v>
      </c>
      <c r="M633" s="3">
        <f>Raw_Data!M633</f>
        <v>76.89</v>
      </c>
      <c r="N633" s="3">
        <f>Raw_Data!N633</f>
        <v>22.71</v>
      </c>
      <c r="O633" t="str">
        <f t="shared" si="27"/>
        <v>2025-08</v>
      </c>
      <c r="P633" s="5">
        <f t="shared" si="28"/>
        <v>0.2280120481927711</v>
      </c>
      <c r="Q633" s="3">
        <f t="shared" si="29"/>
        <v>99.6</v>
      </c>
    </row>
    <row r="634" spans="1:17" x14ac:dyDescent="0.35">
      <c r="A634" t="str">
        <f>Raw_Data!A634</f>
        <v>ORD-0260</v>
      </c>
      <c r="B634" s="2">
        <f>Raw_Data!B634</f>
        <v>45892</v>
      </c>
      <c r="C634" t="str">
        <f>Raw_Data!C634</f>
        <v>East</v>
      </c>
      <c r="D634" t="str">
        <f>Raw_Data!D634</f>
        <v>Guwahati</v>
      </c>
      <c r="E634" t="str">
        <f>Raw_Data!E634</f>
        <v>Technology</v>
      </c>
      <c r="F634" t="str">
        <f>Raw_Data!F634</f>
        <v>Headphones</v>
      </c>
      <c r="G634" t="str">
        <f>Raw_Data!G634</f>
        <v>Corporate</v>
      </c>
      <c r="H634" t="str">
        <f>Raw_Data!H634</f>
        <v>In-Store</v>
      </c>
      <c r="I634">
        <f>Raw_Data!I634</f>
        <v>11</v>
      </c>
      <c r="J634" s="3">
        <f>Raw_Data!J634</f>
        <v>63.36</v>
      </c>
      <c r="K634" s="4">
        <f>Raw_Data!K634</f>
        <v>0.15</v>
      </c>
      <c r="L634" s="3">
        <f>Raw_Data!L634</f>
        <v>592.41999999999996</v>
      </c>
      <c r="M634" s="3">
        <f>Raw_Data!M634</f>
        <v>536.5</v>
      </c>
      <c r="N634" s="3">
        <f>Raw_Data!N634</f>
        <v>55.92</v>
      </c>
      <c r="O634" t="str">
        <f t="shared" si="27"/>
        <v>2025-08</v>
      </c>
      <c r="P634" s="5">
        <f t="shared" si="28"/>
        <v>9.4392491813240623E-2</v>
      </c>
      <c r="Q634" s="3">
        <f t="shared" si="29"/>
        <v>592.41999999999996</v>
      </c>
    </row>
    <row r="635" spans="1:17" x14ac:dyDescent="0.35">
      <c r="A635" t="str">
        <f>Raw_Data!A635</f>
        <v>ORD-0360</v>
      </c>
      <c r="B635" s="2">
        <f>Raw_Data!B635</f>
        <v>45892</v>
      </c>
      <c r="C635" t="str">
        <f>Raw_Data!C635</f>
        <v>South</v>
      </c>
      <c r="D635" t="str">
        <f>Raw_Data!D635</f>
        <v>Bengaluru</v>
      </c>
      <c r="E635" t="str">
        <f>Raw_Data!E635</f>
        <v>Office Supplies</v>
      </c>
      <c r="F635" t="str">
        <f>Raw_Data!F635</f>
        <v>Desk Organizer</v>
      </c>
      <c r="G635" t="str">
        <f>Raw_Data!G635</f>
        <v>Small Business</v>
      </c>
      <c r="H635" t="str">
        <f>Raw_Data!H635</f>
        <v>Marketplace</v>
      </c>
      <c r="I635">
        <f>Raw_Data!I635</f>
        <v>12</v>
      </c>
      <c r="J635" s="3">
        <f>Raw_Data!J635</f>
        <v>19.18</v>
      </c>
      <c r="K635" s="4">
        <f>Raw_Data!K635</f>
        <v>0</v>
      </c>
      <c r="L635" s="3">
        <f>Raw_Data!L635</f>
        <v>230.16</v>
      </c>
      <c r="M635" s="3">
        <f>Raw_Data!M635</f>
        <v>144.13999999999999</v>
      </c>
      <c r="N635" s="3">
        <f>Raw_Data!N635</f>
        <v>86.02</v>
      </c>
      <c r="O635" t="str">
        <f t="shared" si="27"/>
        <v>2025-08</v>
      </c>
      <c r="P635" s="5">
        <f t="shared" si="28"/>
        <v>0.3737400069516858</v>
      </c>
      <c r="Q635" s="3">
        <f t="shared" si="29"/>
        <v>230.16</v>
      </c>
    </row>
    <row r="636" spans="1:17" x14ac:dyDescent="0.35">
      <c r="A636" t="str">
        <f>Raw_Data!A636</f>
        <v>ORD-0720</v>
      </c>
      <c r="B636" s="2">
        <f>Raw_Data!B636</f>
        <v>45892</v>
      </c>
      <c r="C636" t="str">
        <f>Raw_Data!C636</f>
        <v>South</v>
      </c>
      <c r="D636" t="str">
        <f>Raw_Data!D636</f>
        <v>Bengaluru</v>
      </c>
      <c r="E636" t="str">
        <f>Raw_Data!E636</f>
        <v>Home &amp; Kitchen</v>
      </c>
      <c r="F636" t="str">
        <f>Raw_Data!F636</f>
        <v>Water Bottle</v>
      </c>
      <c r="G636" t="str">
        <f>Raw_Data!G636</f>
        <v>Small Business</v>
      </c>
      <c r="H636" t="str">
        <f>Raw_Data!H636</f>
        <v>Online</v>
      </c>
      <c r="I636">
        <f>Raw_Data!I636</f>
        <v>12</v>
      </c>
      <c r="J636" s="3">
        <f>Raw_Data!J636</f>
        <v>18.45</v>
      </c>
      <c r="K636" s="4">
        <f>Raw_Data!K636</f>
        <v>0</v>
      </c>
      <c r="L636" s="3">
        <f>Raw_Data!L636</f>
        <v>221.4</v>
      </c>
      <c r="M636" s="3">
        <f>Raw_Data!M636</f>
        <v>129.49</v>
      </c>
      <c r="N636" s="3">
        <f>Raw_Data!N636</f>
        <v>91.91</v>
      </c>
      <c r="O636" t="str">
        <f t="shared" si="27"/>
        <v>2025-08</v>
      </c>
      <c r="P636" s="5">
        <f t="shared" si="28"/>
        <v>0.41513098464317971</v>
      </c>
      <c r="Q636" s="3">
        <f t="shared" si="29"/>
        <v>221.4</v>
      </c>
    </row>
    <row r="637" spans="1:17" x14ac:dyDescent="0.35">
      <c r="A637" t="str">
        <f>Raw_Data!A637</f>
        <v>ORD-0642</v>
      </c>
      <c r="B637" s="2">
        <f>Raw_Data!B637</f>
        <v>45892</v>
      </c>
      <c r="C637" t="str">
        <f>Raw_Data!C637</f>
        <v>East</v>
      </c>
      <c r="D637" t="str">
        <f>Raw_Data!D637</f>
        <v>Bhubaneswar</v>
      </c>
      <c r="E637" t="str">
        <f>Raw_Data!E637</f>
        <v>Furniture</v>
      </c>
      <c r="F637" t="str">
        <f>Raw_Data!F637</f>
        <v>Desk Lamp</v>
      </c>
      <c r="G637" t="str">
        <f>Raw_Data!G637</f>
        <v>Corporate</v>
      </c>
      <c r="H637" t="str">
        <f>Raw_Data!H637</f>
        <v>Marketplace</v>
      </c>
      <c r="I637">
        <f>Raw_Data!I637</f>
        <v>1</v>
      </c>
      <c r="J637" s="3">
        <f>Raw_Data!J637</f>
        <v>45.2</v>
      </c>
      <c r="K637" s="4">
        <f>Raw_Data!K637</f>
        <v>0.15</v>
      </c>
      <c r="L637" s="3">
        <f>Raw_Data!L637</f>
        <v>38.42</v>
      </c>
      <c r="M637" s="3">
        <f>Raw_Data!M637</f>
        <v>34.93</v>
      </c>
      <c r="N637" s="3">
        <f>Raw_Data!N637</f>
        <v>3.49</v>
      </c>
      <c r="O637" t="str">
        <f t="shared" si="27"/>
        <v>2025-08</v>
      </c>
      <c r="P637" s="5">
        <f t="shared" si="28"/>
        <v>9.0838105153565857E-2</v>
      </c>
      <c r="Q637" s="3">
        <f t="shared" si="29"/>
        <v>38.42</v>
      </c>
    </row>
    <row r="638" spans="1:17" x14ac:dyDescent="0.35">
      <c r="A638" t="str">
        <f>Raw_Data!A638</f>
        <v>ORD-0233</v>
      </c>
      <c r="B638" s="2">
        <f>Raw_Data!B638</f>
        <v>45893</v>
      </c>
      <c r="C638" t="str">
        <f>Raw_Data!C638</f>
        <v>North</v>
      </c>
      <c r="D638" t="str">
        <f>Raw_Data!D638</f>
        <v>Chandigarh</v>
      </c>
      <c r="E638" t="str">
        <f>Raw_Data!E638</f>
        <v>Office Supplies</v>
      </c>
      <c r="F638" t="str">
        <f>Raw_Data!F638</f>
        <v>Pen Set</v>
      </c>
      <c r="G638" t="str">
        <f>Raw_Data!G638</f>
        <v>Consumer</v>
      </c>
      <c r="H638" t="str">
        <f>Raw_Data!H638</f>
        <v>In-Store</v>
      </c>
      <c r="I638">
        <f>Raw_Data!I638</f>
        <v>5</v>
      </c>
      <c r="J638" s="3">
        <f>Raw_Data!J638</f>
        <v>8.7200000000000006</v>
      </c>
      <c r="K638" s="4">
        <f>Raw_Data!K638</f>
        <v>0</v>
      </c>
      <c r="L638" s="3">
        <f>Raw_Data!L638</f>
        <v>43.6</v>
      </c>
      <c r="M638" s="3">
        <f>Raw_Data!M638</f>
        <v>29.48</v>
      </c>
      <c r="N638" s="3">
        <f>Raw_Data!N638</f>
        <v>14.12</v>
      </c>
      <c r="O638" t="str">
        <f t="shared" si="27"/>
        <v>2025-08</v>
      </c>
      <c r="P638" s="5">
        <f t="shared" si="28"/>
        <v>0.3238532110091743</v>
      </c>
      <c r="Q638" s="3">
        <f t="shared" si="29"/>
        <v>43.6</v>
      </c>
    </row>
    <row r="639" spans="1:17" x14ac:dyDescent="0.35">
      <c r="A639" t="str">
        <f>Raw_Data!A639</f>
        <v>ORD-0351</v>
      </c>
      <c r="B639" s="2">
        <f>Raw_Data!B639</f>
        <v>45893</v>
      </c>
      <c r="C639" t="str">
        <f>Raw_Data!C639</f>
        <v>West</v>
      </c>
      <c r="D639" t="str">
        <f>Raw_Data!D639</f>
        <v>Mumbai</v>
      </c>
      <c r="E639" t="str">
        <f>Raw_Data!E639</f>
        <v>Furniture</v>
      </c>
      <c r="F639" t="str">
        <f>Raw_Data!F639</f>
        <v>Desk Lamp</v>
      </c>
      <c r="G639" t="str">
        <f>Raw_Data!G639</f>
        <v>Corporate</v>
      </c>
      <c r="H639" t="str">
        <f>Raw_Data!H639</f>
        <v>Online</v>
      </c>
      <c r="I639">
        <f>Raw_Data!I639</f>
        <v>8</v>
      </c>
      <c r="J639" s="3">
        <f>Raw_Data!J639</f>
        <v>36.32</v>
      </c>
      <c r="K639" s="4">
        <f>Raw_Data!K639</f>
        <v>0.15</v>
      </c>
      <c r="L639" s="3">
        <f>Raw_Data!L639</f>
        <v>246.98</v>
      </c>
      <c r="M639" s="3">
        <f>Raw_Data!M639</f>
        <v>211.32</v>
      </c>
      <c r="N639" s="3">
        <f>Raw_Data!N639</f>
        <v>35.659999999999997</v>
      </c>
      <c r="O639" t="str">
        <f t="shared" si="27"/>
        <v>2025-08</v>
      </c>
      <c r="P639" s="5">
        <f t="shared" si="28"/>
        <v>0.14438416066078225</v>
      </c>
      <c r="Q639" s="3">
        <f t="shared" si="29"/>
        <v>246.98</v>
      </c>
    </row>
    <row r="640" spans="1:17" x14ac:dyDescent="0.35">
      <c r="A640" t="str">
        <f>Raw_Data!A640</f>
        <v>ORD-0005</v>
      </c>
      <c r="B640" s="2">
        <f>Raw_Data!B640</f>
        <v>45893</v>
      </c>
      <c r="C640" t="str">
        <f>Raw_Data!C640</f>
        <v>East</v>
      </c>
      <c r="D640" t="str">
        <f>Raw_Data!D640</f>
        <v>Guwahati</v>
      </c>
      <c r="E640" t="str">
        <f>Raw_Data!E640</f>
        <v>Technology</v>
      </c>
      <c r="F640" t="str">
        <f>Raw_Data!F640</f>
        <v>USB Hub</v>
      </c>
      <c r="G640" t="str">
        <f>Raw_Data!G640</f>
        <v>Corporate</v>
      </c>
      <c r="H640" t="str">
        <f>Raw_Data!H640</f>
        <v>Online</v>
      </c>
      <c r="I640">
        <f>Raw_Data!I640</f>
        <v>2</v>
      </c>
      <c r="J640" s="3">
        <f>Raw_Data!J640</f>
        <v>25.04</v>
      </c>
      <c r="K640" s="4">
        <f>Raw_Data!K640</f>
        <v>0.15</v>
      </c>
      <c r="L640" s="3">
        <f>Raw_Data!L640</f>
        <v>42.57</v>
      </c>
      <c r="M640" s="3">
        <f>Raw_Data!M640</f>
        <v>37.340000000000003</v>
      </c>
      <c r="N640" s="3">
        <f>Raw_Data!N640</f>
        <v>5.23</v>
      </c>
      <c r="O640" t="str">
        <f t="shared" si="27"/>
        <v>2025-08</v>
      </c>
      <c r="P640" s="5">
        <f t="shared" si="28"/>
        <v>0.12285647169368101</v>
      </c>
      <c r="Q640" s="3">
        <f t="shared" si="29"/>
        <v>42.57</v>
      </c>
    </row>
    <row r="641" spans="1:17" x14ac:dyDescent="0.35">
      <c r="A641" t="str">
        <f>Raw_Data!A641</f>
        <v>ORD-0038</v>
      </c>
      <c r="B641" s="2">
        <f>Raw_Data!B641</f>
        <v>45893</v>
      </c>
      <c r="C641" t="str">
        <f>Raw_Data!C641</f>
        <v>East</v>
      </c>
      <c r="D641" t="str">
        <f>Raw_Data!D641</f>
        <v>Bhubaneswar</v>
      </c>
      <c r="E641" t="str">
        <f>Raw_Data!E641</f>
        <v>Furniture</v>
      </c>
      <c r="F641" t="str">
        <f>Raw_Data!F641</f>
        <v>Bookshelf</v>
      </c>
      <c r="G641" t="str">
        <f>Raw_Data!G641</f>
        <v>Consumer</v>
      </c>
      <c r="H641" t="str">
        <f>Raw_Data!H641</f>
        <v>In-Store</v>
      </c>
      <c r="I641">
        <f>Raw_Data!I641</f>
        <v>4</v>
      </c>
      <c r="J641" s="3">
        <f>Raw_Data!J641</f>
        <v>102.08</v>
      </c>
      <c r="K641" s="4">
        <f>Raw_Data!K641</f>
        <v>0</v>
      </c>
      <c r="L641" s="3">
        <f>Raw_Data!L641</f>
        <v>408.32</v>
      </c>
      <c r="M641" s="3">
        <f>Raw_Data!M641</f>
        <v>244.8</v>
      </c>
      <c r="N641" s="3">
        <f>Raw_Data!N641</f>
        <v>163.52000000000001</v>
      </c>
      <c r="O641" t="str">
        <f t="shared" si="27"/>
        <v>2025-08</v>
      </c>
      <c r="P641" s="5">
        <f t="shared" si="28"/>
        <v>0.40047021943573669</v>
      </c>
      <c r="Q641" s="3">
        <f t="shared" si="29"/>
        <v>408.32</v>
      </c>
    </row>
    <row r="642" spans="1:17" x14ac:dyDescent="0.35">
      <c r="A642" t="str">
        <f>Raw_Data!A642</f>
        <v>ORD-0306</v>
      </c>
      <c r="B642" s="2">
        <f>Raw_Data!B642</f>
        <v>45895</v>
      </c>
      <c r="C642" t="str">
        <f>Raw_Data!C642</f>
        <v>North</v>
      </c>
      <c r="D642" t="str">
        <f>Raw_Data!D642</f>
        <v>Delhi</v>
      </c>
      <c r="E642" t="str">
        <f>Raw_Data!E642</f>
        <v>Furniture</v>
      </c>
      <c r="F642" t="str">
        <f>Raw_Data!F642</f>
        <v>Office Chair</v>
      </c>
      <c r="G642" t="str">
        <f>Raw_Data!G642</f>
        <v>Consumer</v>
      </c>
      <c r="H642" t="str">
        <f>Raw_Data!H642</f>
        <v>In-Store</v>
      </c>
      <c r="I642">
        <f>Raw_Data!I642</f>
        <v>2</v>
      </c>
      <c r="J642" s="3">
        <f>Raw_Data!J642</f>
        <v>131.25</v>
      </c>
      <c r="K642" s="4">
        <f>Raw_Data!K642</f>
        <v>0.05</v>
      </c>
      <c r="L642" s="3">
        <f>Raw_Data!L642</f>
        <v>249.38</v>
      </c>
      <c r="M642" s="3">
        <f>Raw_Data!M642</f>
        <v>191.08</v>
      </c>
      <c r="N642" s="3">
        <f>Raw_Data!N642</f>
        <v>58.3</v>
      </c>
      <c r="O642" t="str">
        <f t="shared" ref="O642:O705" si="30">TEXT(B642,"yyyy-mm")</f>
        <v>2025-08</v>
      </c>
      <c r="P642" s="5">
        <f t="shared" ref="P642:P705" si="31">IFERROR(N642/L642,0)</f>
        <v>0.23377977383912102</v>
      </c>
      <c r="Q642" s="3">
        <f t="shared" ref="Q642:Q705" si="32">IFERROR(L642,0)</f>
        <v>249.38</v>
      </c>
    </row>
    <row r="643" spans="1:17" x14ac:dyDescent="0.35">
      <c r="A643" t="str">
        <f>Raw_Data!A643</f>
        <v>ORD-0254</v>
      </c>
      <c r="B643" s="2">
        <f>Raw_Data!B643</f>
        <v>45895</v>
      </c>
      <c r="C643" t="str">
        <f>Raw_Data!C643</f>
        <v>North</v>
      </c>
      <c r="D643" t="str">
        <f>Raw_Data!D643</f>
        <v>Delhi</v>
      </c>
      <c r="E643" t="str">
        <f>Raw_Data!E643</f>
        <v>Office Supplies</v>
      </c>
      <c r="F643" t="str">
        <f>Raw_Data!F643</f>
        <v>Desk Organizer</v>
      </c>
      <c r="G643" t="str">
        <f>Raw_Data!G643</f>
        <v>Consumer</v>
      </c>
      <c r="H643" t="str">
        <f>Raw_Data!H643</f>
        <v>Marketplace</v>
      </c>
      <c r="I643">
        <f>Raw_Data!I643</f>
        <v>1</v>
      </c>
      <c r="J643" s="3">
        <f>Raw_Data!J643</f>
        <v>21.4</v>
      </c>
      <c r="K643" s="4">
        <f>Raw_Data!K643</f>
        <v>0.05</v>
      </c>
      <c r="L643" s="3">
        <f>Raw_Data!L643</f>
        <v>20.329999999999998</v>
      </c>
      <c r="M643" s="3">
        <f>Raw_Data!M643</f>
        <v>12.94</v>
      </c>
      <c r="N643" s="3">
        <f>Raw_Data!N643</f>
        <v>7.39</v>
      </c>
      <c r="O643" t="str">
        <f t="shared" si="30"/>
        <v>2025-08</v>
      </c>
      <c r="P643" s="5">
        <f t="shared" si="31"/>
        <v>0.3635022134776193</v>
      </c>
      <c r="Q643" s="3">
        <f t="shared" si="32"/>
        <v>20.329999999999998</v>
      </c>
    </row>
    <row r="644" spans="1:17" x14ac:dyDescent="0.35">
      <c r="A644" t="str">
        <f>Raw_Data!A644</f>
        <v>ORD-0924</v>
      </c>
      <c r="B644" s="2">
        <f>Raw_Data!B644</f>
        <v>45895</v>
      </c>
      <c r="C644" t="str">
        <f>Raw_Data!C644</f>
        <v>East</v>
      </c>
      <c r="D644" t="str">
        <f>Raw_Data!D644</f>
        <v>Bhubaneswar</v>
      </c>
      <c r="E644" t="str">
        <f>Raw_Data!E644</f>
        <v>Home &amp; Kitchen</v>
      </c>
      <c r="F644" t="str">
        <f>Raw_Data!F644</f>
        <v>Water Bottle</v>
      </c>
      <c r="G644" t="str">
        <f>Raw_Data!G644</f>
        <v>Consumer</v>
      </c>
      <c r="H644" t="str">
        <f>Raw_Data!H644</f>
        <v>Online</v>
      </c>
      <c r="I644">
        <f>Raw_Data!I644</f>
        <v>6</v>
      </c>
      <c r="J644" s="3">
        <f>Raw_Data!J644</f>
        <v>13.63</v>
      </c>
      <c r="K644" s="4">
        <f>Raw_Data!K644</f>
        <v>0.1</v>
      </c>
      <c r="L644" s="3">
        <f>Raw_Data!L644</f>
        <v>73.599999999999994</v>
      </c>
      <c r="M644" s="3">
        <f>Raw_Data!M644</f>
        <v>47.32</v>
      </c>
      <c r="N644" s="3">
        <f>Raw_Data!N644</f>
        <v>26.28</v>
      </c>
      <c r="O644" t="str">
        <f t="shared" si="30"/>
        <v>2025-08</v>
      </c>
      <c r="P644" s="5">
        <f t="shared" si="31"/>
        <v>0.35706521739130437</v>
      </c>
      <c r="Q644" s="3">
        <f t="shared" si="32"/>
        <v>73.599999999999994</v>
      </c>
    </row>
    <row r="645" spans="1:17" x14ac:dyDescent="0.35">
      <c r="A645" t="str">
        <f>Raw_Data!A645</f>
        <v>ORD-0134</v>
      </c>
      <c r="B645" s="2">
        <f>Raw_Data!B645</f>
        <v>45895</v>
      </c>
      <c r="C645" t="str">
        <f>Raw_Data!C645</f>
        <v>West</v>
      </c>
      <c r="D645" t="str">
        <f>Raw_Data!D645</f>
        <v>Pune</v>
      </c>
      <c r="E645" t="str">
        <f>Raw_Data!E645</f>
        <v>Home &amp; Kitchen</v>
      </c>
      <c r="F645" t="str">
        <f>Raw_Data!F645</f>
        <v>Coffee Maker</v>
      </c>
      <c r="G645" t="str">
        <f>Raw_Data!G645</f>
        <v>Corporate</v>
      </c>
      <c r="H645" t="str">
        <f>Raw_Data!H645</f>
        <v>In-Store</v>
      </c>
      <c r="I645">
        <f>Raw_Data!I645</f>
        <v>11</v>
      </c>
      <c r="J645" s="3">
        <f>Raw_Data!J645</f>
        <v>69.17</v>
      </c>
      <c r="K645" s="4">
        <f>Raw_Data!K645</f>
        <v>0.1</v>
      </c>
      <c r="L645" s="3">
        <f>Raw_Data!L645</f>
        <v>684.78</v>
      </c>
      <c r="M645" s="3">
        <f>Raw_Data!M645</f>
        <v>380.8</v>
      </c>
      <c r="N645" s="3">
        <f>Raw_Data!N645</f>
        <v>303.98</v>
      </c>
      <c r="O645" t="str">
        <f t="shared" si="30"/>
        <v>2025-08</v>
      </c>
      <c r="P645" s="5">
        <f t="shared" si="31"/>
        <v>0.44390899266917849</v>
      </c>
      <c r="Q645" s="3">
        <f t="shared" si="32"/>
        <v>684.78</v>
      </c>
    </row>
    <row r="646" spans="1:17" x14ac:dyDescent="0.35">
      <c r="A646" t="str">
        <f>Raw_Data!A646</f>
        <v>ORD-0842</v>
      </c>
      <c r="B646" s="2">
        <f>Raw_Data!B646</f>
        <v>45895</v>
      </c>
      <c r="C646" t="str">
        <f>Raw_Data!C646</f>
        <v>West</v>
      </c>
      <c r="D646" t="str">
        <f>Raw_Data!D646</f>
        <v>Pune</v>
      </c>
      <c r="E646" t="str">
        <f>Raw_Data!E646</f>
        <v>Home &amp; Kitchen</v>
      </c>
      <c r="F646" t="str">
        <f>Raw_Data!F646</f>
        <v>Lunch Box</v>
      </c>
      <c r="G646" t="str">
        <f>Raw_Data!G646</f>
        <v>Consumer</v>
      </c>
      <c r="H646" t="str">
        <f>Raw_Data!H646</f>
        <v>In-Store</v>
      </c>
      <c r="I646">
        <f>Raw_Data!I646</f>
        <v>2</v>
      </c>
      <c r="J646" s="3">
        <f>Raw_Data!J646</f>
        <v>17.579999999999998</v>
      </c>
      <c r="K646" s="4">
        <f>Raw_Data!K646</f>
        <v>0</v>
      </c>
      <c r="L646" s="3">
        <f>Raw_Data!L646</f>
        <v>35.159999999999997</v>
      </c>
      <c r="M646" s="3">
        <f>Raw_Data!M646</f>
        <v>24.4</v>
      </c>
      <c r="N646" s="3">
        <f>Raw_Data!N646</f>
        <v>10.76</v>
      </c>
      <c r="O646" t="str">
        <f t="shared" si="30"/>
        <v>2025-08</v>
      </c>
      <c r="P646" s="5">
        <f t="shared" si="31"/>
        <v>0.30602957906712175</v>
      </c>
      <c r="Q646" s="3">
        <f t="shared" si="32"/>
        <v>35.159999999999997</v>
      </c>
    </row>
    <row r="647" spans="1:17" x14ac:dyDescent="0.35">
      <c r="A647" t="str">
        <f>Raw_Data!A647</f>
        <v>ORD-0220</v>
      </c>
      <c r="B647" s="2">
        <f>Raw_Data!B647</f>
        <v>45895</v>
      </c>
      <c r="C647" t="str">
        <f>Raw_Data!C647</f>
        <v>East</v>
      </c>
      <c r="D647" t="str">
        <f>Raw_Data!D647</f>
        <v>Guwahati</v>
      </c>
      <c r="E647" t="str">
        <f>Raw_Data!E647</f>
        <v>Technology</v>
      </c>
      <c r="F647" t="str">
        <f>Raw_Data!F647</f>
        <v>USB Hub</v>
      </c>
      <c r="G647" t="str">
        <f>Raw_Data!G647</f>
        <v>Consumer</v>
      </c>
      <c r="H647" t="str">
        <f>Raw_Data!H647</f>
        <v>In-Store</v>
      </c>
      <c r="I647">
        <f>Raw_Data!I647</f>
        <v>7</v>
      </c>
      <c r="J647" s="3">
        <f>Raw_Data!J647</f>
        <v>25.08</v>
      </c>
      <c r="K647" s="4">
        <f>Raw_Data!K647</f>
        <v>0</v>
      </c>
      <c r="L647" s="3">
        <f>Raw_Data!L647</f>
        <v>175.56</v>
      </c>
      <c r="M647" s="3">
        <f>Raw_Data!M647</f>
        <v>104.73</v>
      </c>
      <c r="N647" s="3">
        <f>Raw_Data!N647</f>
        <v>70.83</v>
      </c>
      <c r="O647" t="str">
        <f t="shared" si="30"/>
        <v>2025-08</v>
      </c>
      <c r="P647" s="5">
        <f t="shared" si="31"/>
        <v>0.40345181134654817</v>
      </c>
      <c r="Q647" s="3">
        <f t="shared" si="32"/>
        <v>175.56</v>
      </c>
    </row>
    <row r="648" spans="1:17" x14ac:dyDescent="0.35">
      <c r="A648" t="str">
        <f>Raw_Data!A648</f>
        <v>ORD-0587</v>
      </c>
      <c r="B648" s="2">
        <f>Raw_Data!B648</f>
        <v>45895</v>
      </c>
      <c r="C648" t="str">
        <f>Raw_Data!C648</f>
        <v>West</v>
      </c>
      <c r="D648" t="str">
        <f>Raw_Data!D648</f>
        <v>Mumbai</v>
      </c>
      <c r="E648" t="str">
        <f>Raw_Data!E648</f>
        <v>Home &amp; Kitchen</v>
      </c>
      <c r="F648" t="str">
        <f>Raw_Data!F648</f>
        <v>Lunch Box</v>
      </c>
      <c r="G648" t="str">
        <f>Raw_Data!G648</f>
        <v>Small Business</v>
      </c>
      <c r="H648" t="str">
        <f>Raw_Data!H648</f>
        <v>In-Store</v>
      </c>
      <c r="I648">
        <f>Raw_Data!I648</f>
        <v>5</v>
      </c>
      <c r="J648" s="3">
        <f>Raw_Data!J648</f>
        <v>20.329999999999998</v>
      </c>
      <c r="K648" s="4">
        <f>Raw_Data!K648</f>
        <v>0.15</v>
      </c>
      <c r="L648" s="3">
        <f>Raw_Data!L648</f>
        <v>86.4</v>
      </c>
      <c r="M648" s="3">
        <f>Raw_Data!M648</f>
        <v>55.92</v>
      </c>
      <c r="N648" s="3">
        <f>Raw_Data!N648</f>
        <v>30.48</v>
      </c>
      <c r="O648" t="str">
        <f t="shared" si="30"/>
        <v>2025-08</v>
      </c>
      <c r="P648" s="5">
        <f t="shared" si="31"/>
        <v>0.35277777777777775</v>
      </c>
      <c r="Q648" s="3">
        <f t="shared" si="32"/>
        <v>86.4</v>
      </c>
    </row>
    <row r="649" spans="1:17" x14ac:dyDescent="0.35">
      <c r="A649" t="str">
        <f>Raw_Data!A649</f>
        <v>ORD-0048</v>
      </c>
      <c r="B649" s="2">
        <f>Raw_Data!B649</f>
        <v>45895</v>
      </c>
      <c r="C649" t="str">
        <f>Raw_Data!C649</f>
        <v>West</v>
      </c>
      <c r="D649" t="str">
        <f>Raw_Data!D649</f>
        <v>Pune</v>
      </c>
      <c r="E649" t="str">
        <f>Raw_Data!E649</f>
        <v>Furniture</v>
      </c>
      <c r="F649" t="str">
        <f>Raw_Data!F649</f>
        <v>Standing Desk</v>
      </c>
      <c r="G649" t="str">
        <f>Raw_Data!G649</f>
        <v>Consumer</v>
      </c>
      <c r="H649" t="str">
        <f>Raw_Data!H649</f>
        <v>Marketplace</v>
      </c>
      <c r="I649">
        <f>Raw_Data!I649</f>
        <v>10</v>
      </c>
      <c r="J649" s="3">
        <f>Raw_Data!J649</f>
        <v>295.17</v>
      </c>
      <c r="K649" s="4">
        <f>Raw_Data!K649</f>
        <v>0.15</v>
      </c>
      <c r="L649" s="3">
        <f>Raw_Data!L649</f>
        <v>2508.9499999999998</v>
      </c>
      <c r="M649" s="3">
        <f>Raw_Data!M649</f>
        <v>1794.7</v>
      </c>
      <c r="N649" s="3">
        <f>Raw_Data!N649</f>
        <v>714.25</v>
      </c>
      <c r="O649" t="str">
        <f t="shared" si="30"/>
        <v>2025-08</v>
      </c>
      <c r="P649" s="5">
        <f t="shared" si="31"/>
        <v>0.28468084258355092</v>
      </c>
      <c r="Q649" s="3">
        <f t="shared" si="32"/>
        <v>2508.9499999999998</v>
      </c>
    </row>
    <row r="650" spans="1:17" x14ac:dyDescent="0.35">
      <c r="A650" t="str">
        <f>Raw_Data!A650</f>
        <v>ORD-0299</v>
      </c>
      <c r="B650" s="2">
        <f>Raw_Data!B650</f>
        <v>45895</v>
      </c>
      <c r="C650" t="str">
        <f>Raw_Data!C650</f>
        <v>South</v>
      </c>
      <c r="D650" t="str">
        <f>Raw_Data!D650</f>
        <v>Chennai</v>
      </c>
      <c r="E650" t="str">
        <f>Raw_Data!E650</f>
        <v>Furniture</v>
      </c>
      <c r="F650" t="str">
        <f>Raw_Data!F650</f>
        <v>Standing Desk</v>
      </c>
      <c r="G650" t="str">
        <f>Raw_Data!G650</f>
        <v>Consumer</v>
      </c>
      <c r="H650" t="str">
        <f>Raw_Data!H650</f>
        <v>Online</v>
      </c>
      <c r="I650">
        <f>Raw_Data!I650</f>
        <v>4</v>
      </c>
      <c r="J650" s="3">
        <f>Raw_Data!J650</f>
        <v>287.64999999999998</v>
      </c>
      <c r="K650" s="4">
        <f>Raw_Data!K650</f>
        <v>0.15</v>
      </c>
      <c r="L650" s="3">
        <f>Raw_Data!L650</f>
        <v>978.01</v>
      </c>
      <c r="M650" s="3">
        <f>Raw_Data!M650</f>
        <v>814.79</v>
      </c>
      <c r="N650" s="3">
        <f>Raw_Data!N650</f>
        <v>163.22</v>
      </c>
      <c r="O650" t="str">
        <f t="shared" si="30"/>
        <v>2025-08</v>
      </c>
      <c r="P650" s="5">
        <f t="shared" si="31"/>
        <v>0.16688990910113394</v>
      </c>
      <c r="Q650" s="3">
        <f t="shared" si="32"/>
        <v>978.01</v>
      </c>
    </row>
    <row r="651" spans="1:17" x14ac:dyDescent="0.35">
      <c r="A651" t="str">
        <f>Raw_Data!A651</f>
        <v>ORD-0546</v>
      </c>
      <c r="B651" s="2">
        <f>Raw_Data!B651</f>
        <v>45896</v>
      </c>
      <c r="C651" t="str">
        <f>Raw_Data!C651</f>
        <v>East</v>
      </c>
      <c r="D651" t="str">
        <f>Raw_Data!D651</f>
        <v>Kolkata</v>
      </c>
      <c r="E651" t="str">
        <f>Raw_Data!E651</f>
        <v>Technology</v>
      </c>
      <c r="F651" t="str">
        <f>Raw_Data!F651</f>
        <v>Keyboard</v>
      </c>
      <c r="G651" t="str">
        <f>Raw_Data!G651</f>
        <v>Corporate</v>
      </c>
      <c r="H651" t="str">
        <f>Raw_Data!H651</f>
        <v>Marketplace</v>
      </c>
      <c r="I651">
        <f>Raw_Data!I651</f>
        <v>10</v>
      </c>
      <c r="J651" s="3">
        <f>Raw_Data!J651</f>
        <v>38.39</v>
      </c>
      <c r="K651" s="4">
        <f>Raw_Data!K651</f>
        <v>0.1</v>
      </c>
      <c r="L651" s="3">
        <f>Raw_Data!L651</f>
        <v>345.51</v>
      </c>
      <c r="M651" s="3">
        <f>Raw_Data!M651</f>
        <v>189.51</v>
      </c>
      <c r="N651" s="3">
        <f>Raw_Data!N651</f>
        <v>156</v>
      </c>
      <c r="O651" t="str">
        <f t="shared" si="30"/>
        <v>2025-08</v>
      </c>
      <c r="P651" s="5">
        <f t="shared" si="31"/>
        <v>0.4515064686984458</v>
      </c>
      <c r="Q651" s="3">
        <f t="shared" si="32"/>
        <v>345.51</v>
      </c>
    </row>
    <row r="652" spans="1:17" x14ac:dyDescent="0.35">
      <c r="A652" t="str">
        <f>Raw_Data!A652</f>
        <v>ORD-0621</v>
      </c>
      <c r="B652" s="2">
        <f>Raw_Data!B652</f>
        <v>45896</v>
      </c>
      <c r="C652" t="str">
        <f>Raw_Data!C652</f>
        <v>South</v>
      </c>
      <c r="D652" t="str">
        <f>Raw_Data!D652</f>
        <v>Bengaluru</v>
      </c>
      <c r="E652" t="str">
        <f>Raw_Data!E652</f>
        <v>Home &amp; Kitchen</v>
      </c>
      <c r="F652" t="str">
        <f>Raw_Data!F652</f>
        <v>Lunch Box</v>
      </c>
      <c r="G652" t="str">
        <f>Raw_Data!G652</f>
        <v>Corporate</v>
      </c>
      <c r="H652" t="str">
        <f>Raw_Data!H652</f>
        <v>Marketplace</v>
      </c>
      <c r="I652">
        <f>Raw_Data!I652</f>
        <v>3</v>
      </c>
      <c r="J652" s="3">
        <f>Raw_Data!J652</f>
        <v>22.32</v>
      </c>
      <c r="K652" s="4">
        <f>Raw_Data!K652</f>
        <v>0</v>
      </c>
      <c r="L652" s="3">
        <f>Raw_Data!L652</f>
        <v>66.959999999999994</v>
      </c>
      <c r="M652" s="3">
        <f>Raw_Data!M652</f>
        <v>49.95</v>
      </c>
      <c r="N652" s="3">
        <f>Raw_Data!N652</f>
        <v>17.010000000000002</v>
      </c>
      <c r="O652" t="str">
        <f t="shared" si="30"/>
        <v>2025-08</v>
      </c>
      <c r="P652" s="5">
        <f t="shared" si="31"/>
        <v>0.25403225806451618</v>
      </c>
      <c r="Q652" s="3">
        <f t="shared" si="32"/>
        <v>66.959999999999994</v>
      </c>
    </row>
    <row r="653" spans="1:17" x14ac:dyDescent="0.35">
      <c r="A653" t="str">
        <f>Raw_Data!A653</f>
        <v>ORD-0063</v>
      </c>
      <c r="B653" s="2">
        <f>Raw_Data!B653</f>
        <v>45896</v>
      </c>
      <c r="C653" t="str">
        <f>Raw_Data!C653</f>
        <v>West</v>
      </c>
      <c r="D653" t="str">
        <f>Raw_Data!D653</f>
        <v>Ahmedabad</v>
      </c>
      <c r="E653" t="str">
        <f>Raw_Data!E653</f>
        <v>Home &amp; Kitchen</v>
      </c>
      <c r="F653" t="str">
        <f>Raw_Data!F653</f>
        <v>Coffee Maker</v>
      </c>
      <c r="G653" t="str">
        <f>Raw_Data!G653</f>
        <v>Consumer</v>
      </c>
      <c r="H653" t="str">
        <f>Raw_Data!H653</f>
        <v>In-Store</v>
      </c>
      <c r="I653">
        <f>Raw_Data!I653</f>
        <v>6</v>
      </c>
      <c r="J653" s="3">
        <f>Raw_Data!J653</f>
        <v>82.66</v>
      </c>
      <c r="K653" s="4">
        <f>Raw_Data!K653</f>
        <v>0</v>
      </c>
      <c r="L653" s="3">
        <f>Raw_Data!L653</f>
        <v>495.96</v>
      </c>
      <c r="M653" s="3">
        <f>Raw_Data!M653</f>
        <v>279.56</v>
      </c>
      <c r="N653" s="3">
        <f>Raw_Data!N653</f>
        <v>216.4</v>
      </c>
      <c r="O653" t="str">
        <f t="shared" si="30"/>
        <v>2025-08</v>
      </c>
      <c r="P653" s="5">
        <f t="shared" si="31"/>
        <v>0.43632551012178405</v>
      </c>
      <c r="Q653" s="3">
        <f t="shared" si="32"/>
        <v>495.96</v>
      </c>
    </row>
    <row r="654" spans="1:17" x14ac:dyDescent="0.35">
      <c r="A654" t="str">
        <f>Raw_Data!A654</f>
        <v>ORD-0021</v>
      </c>
      <c r="B654" s="2">
        <f>Raw_Data!B654</f>
        <v>45897</v>
      </c>
      <c r="C654" t="str">
        <f>Raw_Data!C654</f>
        <v>North</v>
      </c>
      <c r="D654" t="str">
        <f>Raw_Data!D654</f>
        <v>Delhi</v>
      </c>
      <c r="E654" t="str">
        <f>Raw_Data!E654</f>
        <v>Technology</v>
      </c>
      <c r="F654" t="str">
        <f>Raw_Data!F654</f>
        <v>Wireless Mouse</v>
      </c>
      <c r="G654" t="str">
        <f>Raw_Data!G654</f>
        <v>Consumer</v>
      </c>
      <c r="H654" t="str">
        <f>Raw_Data!H654</f>
        <v>Online</v>
      </c>
      <c r="I654">
        <f>Raw_Data!I654</f>
        <v>1</v>
      </c>
      <c r="J654" s="3">
        <f>Raw_Data!J654</f>
        <v>17.84</v>
      </c>
      <c r="K654" s="4">
        <f>Raw_Data!K654</f>
        <v>0.05</v>
      </c>
      <c r="L654" s="3">
        <f>Raw_Data!L654</f>
        <v>16.95</v>
      </c>
      <c r="M654" s="3">
        <f>Raw_Data!M654</f>
        <v>12.85</v>
      </c>
      <c r="N654" s="3">
        <f>Raw_Data!N654</f>
        <v>4.0999999999999996</v>
      </c>
      <c r="O654" t="str">
        <f t="shared" si="30"/>
        <v>2025-08</v>
      </c>
      <c r="P654" s="5">
        <f t="shared" si="31"/>
        <v>0.24188790560471976</v>
      </c>
      <c r="Q654" s="3">
        <f t="shared" si="32"/>
        <v>16.95</v>
      </c>
    </row>
    <row r="655" spans="1:17" x14ac:dyDescent="0.35">
      <c r="A655" t="str">
        <f>Raw_Data!A655</f>
        <v>ORD-0103</v>
      </c>
      <c r="B655" s="2">
        <f>Raw_Data!B655</f>
        <v>45897</v>
      </c>
      <c r="C655" t="str">
        <f>Raw_Data!C655</f>
        <v>East</v>
      </c>
      <c r="D655" t="str">
        <f>Raw_Data!D655</f>
        <v>Kolkata</v>
      </c>
      <c r="E655" t="str">
        <f>Raw_Data!E655</f>
        <v>Technology</v>
      </c>
      <c r="F655" t="str">
        <f>Raw_Data!F655</f>
        <v>Keyboard</v>
      </c>
      <c r="G655" t="str">
        <f>Raw_Data!G655</f>
        <v>Consumer</v>
      </c>
      <c r="H655" t="str">
        <f>Raw_Data!H655</f>
        <v>In-Store</v>
      </c>
      <c r="I655">
        <f>Raw_Data!I655</f>
        <v>4</v>
      </c>
      <c r="J655" s="3">
        <f>Raw_Data!J655</f>
        <v>36.83</v>
      </c>
      <c r="K655" s="4">
        <f>Raw_Data!K655</f>
        <v>0.1</v>
      </c>
      <c r="L655" s="3">
        <f>Raw_Data!L655</f>
        <v>132.59</v>
      </c>
      <c r="M655" s="3">
        <f>Raw_Data!M655</f>
        <v>113.46</v>
      </c>
      <c r="N655" s="3">
        <f>Raw_Data!N655</f>
        <v>19.13</v>
      </c>
      <c r="O655" t="str">
        <f t="shared" si="30"/>
        <v>2025-08</v>
      </c>
      <c r="P655" s="5">
        <f t="shared" si="31"/>
        <v>0.14427935741760312</v>
      </c>
      <c r="Q655" s="3">
        <f t="shared" si="32"/>
        <v>132.59</v>
      </c>
    </row>
    <row r="656" spans="1:17" x14ac:dyDescent="0.35">
      <c r="A656" t="str">
        <f>Raw_Data!A656</f>
        <v>ORD-0081</v>
      </c>
      <c r="B656" s="2">
        <f>Raw_Data!B656</f>
        <v>45898</v>
      </c>
      <c r="C656" t="str">
        <f>Raw_Data!C656</f>
        <v>East</v>
      </c>
      <c r="D656" t="str">
        <f>Raw_Data!D656</f>
        <v>Bhubaneswar</v>
      </c>
      <c r="E656" t="str">
        <f>Raw_Data!E656</f>
        <v>Furniture</v>
      </c>
      <c r="F656" t="str">
        <f>Raw_Data!F656</f>
        <v>Standing Desk</v>
      </c>
      <c r="G656" t="str">
        <f>Raw_Data!G656</f>
        <v>Small Business</v>
      </c>
      <c r="H656" t="str">
        <f>Raw_Data!H656</f>
        <v>Marketplace</v>
      </c>
      <c r="I656">
        <f>Raw_Data!I656</f>
        <v>6</v>
      </c>
      <c r="J656" s="3">
        <f>Raw_Data!J656</f>
        <v>250.22</v>
      </c>
      <c r="K656" s="4">
        <f>Raw_Data!K656</f>
        <v>0</v>
      </c>
      <c r="L656" s="3">
        <f>Raw_Data!L656</f>
        <v>1501.32</v>
      </c>
      <c r="M656" s="3">
        <f>Raw_Data!M656</f>
        <v>1106.95</v>
      </c>
      <c r="N656" s="3">
        <f>Raw_Data!N656</f>
        <v>394.37</v>
      </c>
      <c r="O656" t="str">
        <f t="shared" si="30"/>
        <v>2025-08</v>
      </c>
      <c r="P656" s="5">
        <f t="shared" si="31"/>
        <v>0.26268217302107483</v>
      </c>
      <c r="Q656" s="3">
        <f t="shared" si="32"/>
        <v>1501.32</v>
      </c>
    </row>
    <row r="657" spans="1:17" x14ac:dyDescent="0.35">
      <c r="A657" t="str">
        <f>Raw_Data!A657</f>
        <v>ORD-0581</v>
      </c>
      <c r="B657" s="2">
        <f>Raw_Data!B657</f>
        <v>45898</v>
      </c>
      <c r="C657" t="str">
        <f>Raw_Data!C657</f>
        <v>North</v>
      </c>
      <c r="D657" t="str">
        <f>Raw_Data!D657</f>
        <v>Jaipur</v>
      </c>
      <c r="E657" t="str">
        <f>Raw_Data!E657</f>
        <v>Furniture</v>
      </c>
      <c r="F657" t="str">
        <f>Raw_Data!F657</f>
        <v>Standing Desk</v>
      </c>
      <c r="G657" t="str">
        <f>Raw_Data!G657</f>
        <v>Corporate</v>
      </c>
      <c r="H657" t="str">
        <f>Raw_Data!H657</f>
        <v>Marketplace</v>
      </c>
      <c r="I657">
        <f>Raw_Data!I657</f>
        <v>6</v>
      </c>
      <c r="J657" s="3">
        <f>Raw_Data!J657</f>
        <v>308.41000000000003</v>
      </c>
      <c r="K657" s="4">
        <f>Raw_Data!K657</f>
        <v>0.05</v>
      </c>
      <c r="L657" s="3">
        <f>Raw_Data!L657</f>
        <v>1757.94</v>
      </c>
      <c r="M657" s="3">
        <f>Raw_Data!M657</f>
        <v>1048.77</v>
      </c>
      <c r="N657" s="3">
        <f>Raw_Data!N657</f>
        <v>709.17</v>
      </c>
      <c r="O657" t="str">
        <f t="shared" si="30"/>
        <v>2025-08</v>
      </c>
      <c r="P657" s="5">
        <f t="shared" si="31"/>
        <v>0.40340967268507455</v>
      </c>
      <c r="Q657" s="3">
        <f t="shared" si="32"/>
        <v>1757.94</v>
      </c>
    </row>
    <row r="658" spans="1:17" x14ac:dyDescent="0.35">
      <c r="A658" t="str">
        <f>Raw_Data!A658</f>
        <v>ORD-0633</v>
      </c>
      <c r="B658" s="2">
        <f>Raw_Data!B658</f>
        <v>45898</v>
      </c>
      <c r="C658" t="str">
        <f>Raw_Data!C658</f>
        <v>West</v>
      </c>
      <c r="D658" t="str">
        <f>Raw_Data!D658</f>
        <v>Pune</v>
      </c>
      <c r="E658" t="str">
        <f>Raw_Data!E658</f>
        <v>Furniture</v>
      </c>
      <c r="F658" t="str">
        <f>Raw_Data!F658</f>
        <v>Standing Desk</v>
      </c>
      <c r="G658" t="str">
        <f>Raw_Data!G658</f>
        <v>Consumer</v>
      </c>
      <c r="H658" t="str">
        <f>Raw_Data!H658</f>
        <v>Online</v>
      </c>
      <c r="I658">
        <f>Raw_Data!I658</f>
        <v>10</v>
      </c>
      <c r="J658" s="3">
        <f>Raw_Data!J658</f>
        <v>254.5</v>
      </c>
      <c r="K658" s="4">
        <f>Raw_Data!K658</f>
        <v>0</v>
      </c>
      <c r="L658" s="3">
        <f>Raw_Data!L658</f>
        <v>2545</v>
      </c>
      <c r="M658" s="3">
        <f>Raw_Data!M658</f>
        <v>1365.41</v>
      </c>
      <c r="N658" s="3">
        <f>Raw_Data!N658</f>
        <v>1179.5899999999999</v>
      </c>
      <c r="O658" t="str">
        <f t="shared" si="30"/>
        <v>2025-08</v>
      </c>
      <c r="P658" s="5">
        <f t="shared" si="31"/>
        <v>0.46349312377210211</v>
      </c>
      <c r="Q658" s="3">
        <f t="shared" si="32"/>
        <v>2545</v>
      </c>
    </row>
    <row r="659" spans="1:17" x14ac:dyDescent="0.35">
      <c r="A659" t="str">
        <f>Raw_Data!A659</f>
        <v>ORD-0863</v>
      </c>
      <c r="B659" s="2">
        <f>Raw_Data!B659</f>
        <v>45898</v>
      </c>
      <c r="C659" t="str">
        <f>Raw_Data!C659</f>
        <v>East</v>
      </c>
      <c r="D659" t="str">
        <f>Raw_Data!D659</f>
        <v>Bhubaneswar</v>
      </c>
      <c r="E659" t="str">
        <f>Raw_Data!E659</f>
        <v>Office Supplies</v>
      </c>
      <c r="F659" t="str">
        <f>Raw_Data!F659</f>
        <v>Pen Set</v>
      </c>
      <c r="G659" t="str">
        <f>Raw_Data!G659</f>
        <v>Small Business</v>
      </c>
      <c r="H659" t="str">
        <f>Raw_Data!H659</f>
        <v>In-Store</v>
      </c>
      <c r="I659">
        <f>Raw_Data!I659</f>
        <v>4</v>
      </c>
      <c r="J659" s="3">
        <f>Raw_Data!J659</f>
        <v>6.81</v>
      </c>
      <c r="K659" s="4">
        <f>Raw_Data!K659</f>
        <v>0.15</v>
      </c>
      <c r="L659" s="3">
        <f>Raw_Data!L659</f>
        <v>23.15</v>
      </c>
      <c r="M659" s="3">
        <f>Raw_Data!M659</f>
        <v>19.04</v>
      </c>
      <c r="N659" s="3">
        <f>Raw_Data!N659</f>
        <v>4.1100000000000003</v>
      </c>
      <c r="O659" t="str">
        <f t="shared" si="30"/>
        <v>2025-08</v>
      </c>
      <c r="P659" s="5">
        <f t="shared" si="31"/>
        <v>0.17753779697624192</v>
      </c>
      <c r="Q659" s="3">
        <f t="shared" si="32"/>
        <v>23.15</v>
      </c>
    </row>
    <row r="660" spans="1:17" x14ac:dyDescent="0.35">
      <c r="A660" t="str">
        <f>Raw_Data!A660</f>
        <v>ORD-0527</v>
      </c>
      <c r="B660" s="2">
        <f>Raw_Data!B660</f>
        <v>45898</v>
      </c>
      <c r="C660" t="str">
        <f>Raw_Data!C660</f>
        <v>South</v>
      </c>
      <c r="D660" t="str">
        <f>Raw_Data!D660</f>
        <v>Bengaluru</v>
      </c>
      <c r="E660" t="str">
        <f>Raw_Data!E660</f>
        <v>Furniture</v>
      </c>
      <c r="F660" t="str">
        <f>Raw_Data!F660</f>
        <v>Desk Lamp</v>
      </c>
      <c r="G660" t="str">
        <f>Raw_Data!G660</f>
        <v>Consumer</v>
      </c>
      <c r="H660" t="str">
        <f>Raw_Data!H660</f>
        <v>In-Store</v>
      </c>
      <c r="I660">
        <f>Raw_Data!I660</f>
        <v>7</v>
      </c>
      <c r="J660" s="3">
        <f>Raw_Data!J660</f>
        <v>38.840000000000003</v>
      </c>
      <c r="K660" s="4">
        <f>Raw_Data!K660</f>
        <v>0</v>
      </c>
      <c r="L660" s="3">
        <f>Raw_Data!L660</f>
        <v>271.88</v>
      </c>
      <c r="M660" s="3">
        <f>Raw_Data!M660</f>
        <v>143.86000000000001</v>
      </c>
      <c r="N660" s="3">
        <f>Raw_Data!N660</f>
        <v>128.02000000000001</v>
      </c>
      <c r="O660" t="str">
        <f t="shared" si="30"/>
        <v>2025-08</v>
      </c>
      <c r="P660" s="5">
        <f t="shared" si="31"/>
        <v>0.47086950125055177</v>
      </c>
      <c r="Q660" s="3">
        <f t="shared" si="32"/>
        <v>271.88</v>
      </c>
    </row>
    <row r="661" spans="1:17" x14ac:dyDescent="0.35">
      <c r="A661" t="str">
        <f>Raw_Data!A661</f>
        <v>ORD-0817</v>
      </c>
      <c r="B661" s="2">
        <f>Raw_Data!B661</f>
        <v>45898</v>
      </c>
      <c r="C661" t="str">
        <f>Raw_Data!C661</f>
        <v>West</v>
      </c>
      <c r="D661" t="str">
        <f>Raw_Data!D661</f>
        <v>Ahmedabad</v>
      </c>
      <c r="E661" t="str">
        <f>Raw_Data!E661</f>
        <v>Technology</v>
      </c>
      <c r="F661" t="str">
        <f>Raw_Data!F661</f>
        <v>Keyboard</v>
      </c>
      <c r="G661" t="str">
        <f>Raw_Data!G661</f>
        <v>Consumer</v>
      </c>
      <c r="H661" t="str">
        <f>Raw_Data!H661</f>
        <v>In-Store</v>
      </c>
      <c r="I661">
        <f>Raw_Data!I661</f>
        <v>9</v>
      </c>
      <c r="J661" s="3">
        <f>Raw_Data!J661</f>
        <v>31.55</v>
      </c>
      <c r="K661" s="4">
        <f>Raw_Data!K661</f>
        <v>0.15</v>
      </c>
      <c r="L661" s="3">
        <f>Raw_Data!L661</f>
        <v>241.36</v>
      </c>
      <c r="M661" s="3">
        <f>Raw_Data!M661</f>
        <v>168.18</v>
      </c>
      <c r="N661" s="3">
        <f>Raw_Data!N661</f>
        <v>73.180000000000007</v>
      </c>
      <c r="O661" t="str">
        <f t="shared" si="30"/>
        <v>2025-08</v>
      </c>
      <c r="P661" s="5">
        <f t="shared" si="31"/>
        <v>0.30319854159761356</v>
      </c>
      <c r="Q661" s="3">
        <f t="shared" si="32"/>
        <v>241.36</v>
      </c>
    </row>
    <row r="662" spans="1:17" x14ac:dyDescent="0.35">
      <c r="A662" t="str">
        <f>Raw_Data!A662</f>
        <v>ORD-0211</v>
      </c>
      <c r="B662" s="2">
        <f>Raw_Data!B662</f>
        <v>45899</v>
      </c>
      <c r="C662" t="str">
        <f>Raw_Data!C662</f>
        <v>West</v>
      </c>
      <c r="D662" t="str">
        <f>Raw_Data!D662</f>
        <v>Pune</v>
      </c>
      <c r="E662" t="str">
        <f>Raw_Data!E662</f>
        <v>Technology</v>
      </c>
      <c r="F662" t="str">
        <f>Raw_Data!F662</f>
        <v>Headphones</v>
      </c>
      <c r="G662" t="str">
        <f>Raw_Data!G662</f>
        <v>Small Business</v>
      </c>
      <c r="H662" t="str">
        <f>Raw_Data!H662</f>
        <v>In-Store</v>
      </c>
      <c r="I662">
        <f>Raw_Data!I662</f>
        <v>7</v>
      </c>
      <c r="J662" s="3">
        <f>Raw_Data!J662</f>
        <v>50.21</v>
      </c>
      <c r="K662" s="4">
        <f>Raw_Data!K662</f>
        <v>0</v>
      </c>
      <c r="L662" s="3">
        <f>Raw_Data!L662</f>
        <v>351.47</v>
      </c>
      <c r="M662" s="3">
        <f>Raw_Data!M662</f>
        <v>249.46</v>
      </c>
      <c r="N662" s="3">
        <f>Raw_Data!N662</f>
        <v>102.01</v>
      </c>
      <c r="O662" t="str">
        <f t="shared" si="30"/>
        <v>2025-08</v>
      </c>
      <c r="P662" s="5">
        <f t="shared" si="31"/>
        <v>0.29023814265797931</v>
      </c>
      <c r="Q662" s="3">
        <f t="shared" si="32"/>
        <v>351.47</v>
      </c>
    </row>
    <row r="663" spans="1:17" x14ac:dyDescent="0.35">
      <c r="A663" t="str">
        <f>Raw_Data!A663</f>
        <v>ORD-0606</v>
      </c>
      <c r="B663" s="2">
        <f>Raw_Data!B663</f>
        <v>45899</v>
      </c>
      <c r="C663" t="str">
        <f>Raw_Data!C663</f>
        <v>North</v>
      </c>
      <c r="D663" t="str">
        <f>Raw_Data!D663</f>
        <v>Chandigarh</v>
      </c>
      <c r="E663" t="str">
        <f>Raw_Data!E663</f>
        <v>Technology</v>
      </c>
      <c r="F663" t="str">
        <f>Raw_Data!F663</f>
        <v>Keyboard</v>
      </c>
      <c r="G663" t="str">
        <f>Raw_Data!G663</f>
        <v>Small Business</v>
      </c>
      <c r="H663" t="str">
        <f>Raw_Data!H663</f>
        <v>Online</v>
      </c>
      <c r="I663">
        <f>Raw_Data!I663</f>
        <v>12</v>
      </c>
      <c r="J663" s="3">
        <f>Raw_Data!J663</f>
        <v>34.47</v>
      </c>
      <c r="K663" s="4">
        <f>Raw_Data!K663</f>
        <v>0</v>
      </c>
      <c r="L663" s="3">
        <f>Raw_Data!L663</f>
        <v>413.64</v>
      </c>
      <c r="M663" s="3">
        <f>Raw_Data!M663</f>
        <v>219.92</v>
      </c>
      <c r="N663" s="3">
        <f>Raw_Data!N663</f>
        <v>193.72</v>
      </c>
      <c r="O663" t="str">
        <f t="shared" si="30"/>
        <v>2025-08</v>
      </c>
      <c r="P663" s="5">
        <f t="shared" si="31"/>
        <v>0.46832994874770334</v>
      </c>
      <c r="Q663" s="3">
        <f t="shared" si="32"/>
        <v>413.64</v>
      </c>
    </row>
    <row r="664" spans="1:17" x14ac:dyDescent="0.35">
      <c r="A664" t="str">
        <f>Raw_Data!A664</f>
        <v>ORD-0619</v>
      </c>
      <c r="B664" s="2">
        <f>Raw_Data!B664</f>
        <v>45899</v>
      </c>
      <c r="C664" t="str">
        <f>Raw_Data!C664</f>
        <v>West</v>
      </c>
      <c r="D664" t="str">
        <f>Raw_Data!D664</f>
        <v>Pune</v>
      </c>
      <c r="E664" t="str">
        <f>Raw_Data!E664</f>
        <v>Home &amp; Kitchen</v>
      </c>
      <c r="F664" t="str">
        <f>Raw_Data!F664</f>
        <v>Water Bottle</v>
      </c>
      <c r="G664" t="str">
        <f>Raw_Data!G664</f>
        <v>Small Business</v>
      </c>
      <c r="H664" t="str">
        <f>Raw_Data!H664</f>
        <v>Online</v>
      </c>
      <c r="I664">
        <f>Raw_Data!I664</f>
        <v>7</v>
      </c>
      <c r="J664" s="3">
        <f>Raw_Data!J664</f>
        <v>14.41</v>
      </c>
      <c r="K664" s="4">
        <f>Raw_Data!K664</f>
        <v>0.15</v>
      </c>
      <c r="L664" s="3">
        <f>Raw_Data!L664</f>
        <v>85.74</v>
      </c>
      <c r="M664" s="3">
        <f>Raw_Data!M664</f>
        <v>62.19</v>
      </c>
      <c r="N664" s="3">
        <f>Raw_Data!N664</f>
        <v>23.55</v>
      </c>
      <c r="O664" t="str">
        <f t="shared" si="30"/>
        <v>2025-08</v>
      </c>
      <c r="P664" s="5">
        <f t="shared" si="31"/>
        <v>0.27466759972008398</v>
      </c>
      <c r="Q664" s="3">
        <f t="shared" si="32"/>
        <v>85.74</v>
      </c>
    </row>
    <row r="665" spans="1:17" x14ac:dyDescent="0.35">
      <c r="A665" t="str">
        <f>Raw_Data!A665</f>
        <v>ORD-0105</v>
      </c>
      <c r="B665" s="2">
        <f>Raw_Data!B665</f>
        <v>45899</v>
      </c>
      <c r="C665" t="str">
        <f>Raw_Data!C665</f>
        <v>West</v>
      </c>
      <c r="D665" t="str">
        <f>Raw_Data!D665</f>
        <v>Ahmedabad</v>
      </c>
      <c r="E665" t="str">
        <f>Raw_Data!E665</f>
        <v>Technology</v>
      </c>
      <c r="F665" t="str">
        <f>Raw_Data!F665</f>
        <v>Headphones</v>
      </c>
      <c r="G665" t="str">
        <f>Raw_Data!G665</f>
        <v>Corporate</v>
      </c>
      <c r="H665" t="str">
        <f>Raw_Data!H665</f>
        <v>In-Store</v>
      </c>
      <c r="I665">
        <f>Raw_Data!I665</f>
        <v>10</v>
      </c>
      <c r="J665" s="3">
        <f>Raw_Data!J665</f>
        <v>51.01</v>
      </c>
      <c r="K665" s="4">
        <f>Raw_Data!K665</f>
        <v>0</v>
      </c>
      <c r="L665" s="3">
        <f>Raw_Data!L665</f>
        <v>510.1</v>
      </c>
      <c r="M665" s="3">
        <f>Raw_Data!M665</f>
        <v>342.08</v>
      </c>
      <c r="N665" s="3">
        <f>Raw_Data!N665</f>
        <v>168.02</v>
      </c>
      <c r="O665" t="str">
        <f t="shared" si="30"/>
        <v>2025-08</v>
      </c>
      <c r="P665" s="5">
        <f t="shared" si="31"/>
        <v>0.32938639482454424</v>
      </c>
      <c r="Q665" s="3">
        <f t="shared" si="32"/>
        <v>510.1</v>
      </c>
    </row>
    <row r="666" spans="1:17" x14ac:dyDescent="0.35">
      <c r="A666" t="str">
        <f>Raw_Data!A666</f>
        <v>ORD-0469</v>
      </c>
      <c r="B666" s="2">
        <f>Raw_Data!B666</f>
        <v>45900</v>
      </c>
      <c r="C666" t="str">
        <f>Raw_Data!C666</f>
        <v>South</v>
      </c>
      <c r="D666" t="str">
        <f>Raw_Data!D666</f>
        <v>Chennai</v>
      </c>
      <c r="E666" t="str">
        <f>Raw_Data!E666</f>
        <v>Technology</v>
      </c>
      <c r="F666" t="str">
        <f>Raw_Data!F666</f>
        <v>Wireless Mouse</v>
      </c>
      <c r="G666" t="str">
        <f>Raw_Data!G666</f>
        <v>Consumer</v>
      </c>
      <c r="H666" t="str">
        <f>Raw_Data!H666</f>
        <v>Marketplace</v>
      </c>
      <c r="I666">
        <f>Raw_Data!I666</f>
        <v>7</v>
      </c>
      <c r="J666" s="3">
        <f>Raw_Data!J666</f>
        <v>18.600000000000001</v>
      </c>
      <c r="K666" s="4">
        <f>Raw_Data!K666</f>
        <v>0</v>
      </c>
      <c r="L666" s="3">
        <f>Raw_Data!L666</f>
        <v>130.19999999999999</v>
      </c>
      <c r="M666" s="3">
        <f>Raw_Data!M666</f>
        <v>66.56</v>
      </c>
      <c r="N666" s="3">
        <f>Raw_Data!N666</f>
        <v>63.64</v>
      </c>
      <c r="O666" t="str">
        <f t="shared" si="30"/>
        <v>2025-08</v>
      </c>
      <c r="P666" s="5">
        <f t="shared" si="31"/>
        <v>0.48878648233486949</v>
      </c>
      <c r="Q666" s="3">
        <f t="shared" si="32"/>
        <v>130.19999999999999</v>
      </c>
    </row>
    <row r="667" spans="1:17" x14ac:dyDescent="0.35">
      <c r="A667" t="str">
        <f>Raw_Data!A667</f>
        <v>ORD-0483</v>
      </c>
      <c r="B667" s="2">
        <f>Raw_Data!B667</f>
        <v>45900</v>
      </c>
      <c r="C667" t="str">
        <f>Raw_Data!C667</f>
        <v>North</v>
      </c>
      <c r="D667" t="str">
        <f>Raw_Data!D667</f>
        <v>Jaipur</v>
      </c>
      <c r="E667" t="str">
        <f>Raw_Data!E667</f>
        <v>Home &amp; Kitchen</v>
      </c>
      <c r="F667" t="str">
        <f>Raw_Data!F667</f>
        <v>Coffee Maker</v>
      </c>
      <c r="G667" t="str">
        <f>Raw_Data!G667</f>
        <v>Small Business</v>
      </c>
      <c r="H667" t="str">
        <f>Raw_Data!H667</f>
        <v>In-Store</v>
      </c>
      <c r="I667">
        <f>Raw_Data!I667</f>
        <v>6</v>
      </c>
      <c r="J667" s="3">
        <f>Raw_Data!J667</f>
        <v>65.2</v>
      </c>
      <c r="K667" s="4">
        <f>Raw_Data!K667</f>
        <v>0</v>
      </c>
      <c r="L667" s="3">
        <f>Raw_Data!L667</f>
        <v>391.2</v>
      </c>
      <c r="M667" s="3">
        <f>Raw_Data!M667</f>
        <v>275.18</v>
      </c>
      <c r="N667" s="3">
        <f>Raw_Data!N667</f>
        <v>116.02</v>
      </c>
      <c r="O667" t="str">
        <f t="shared" si="30"/>
        <v>2025-08</v>
      </c>
      <c r="P667" s="5">
        <f t="shared" si="31"/>
        <v>0.29657464212678936</v>
      </c>
      <c r="Q667" s="3">
        <f t="shared" si="32"/>
        <v>391.2</v>
      </c>
    </row>
    <row r="668" spans="1:17" x14ac:dyDescent="0.35">
      <c r="A668" t="str">
        <f>Raw_Data!A668</f>
        <v>ORD-0766</v>
      </c>
      <c r="B668" s="2">
        <f>Raw_Data!B668</f>
        <v>45900</v>
      </c>
      <c r="C668" t="str">
        <f>Raw_Data!C668</f>
        <v>West</v>
      </c>
      <c r="D668" t="str">
        <f>Raw_Data!D668</f>
        <v>Pune</v>
      </c>
      <c r="E668" t="str">
        <f>Raw_Data!E668</f>
        <v>Technology</v>
      </c>
      <c r="F668" t="str">
        <f>Raw_Data!F668</f>
        <v>Keyboard</v>
      </c>
      <c r="G668" t="str">
        <f>Raw_Data!G668</f>
        <v>Consumer</v>
      </c>
      <c r="H668" t="str">
        <f>Raw_Data!H668</f>
        <v>Online</v>
      </c>
      <c r="I668">
        <f>Raw_Data!I668</f>
        <v>9</v>
      </c>
      <c r="J668" s="3">
        <f>Raw_Data!J668</f>
        <v>31.34</v>
      </c>
      <c r="K668" s="4">
        <f>Raw_Data!K668</f>
        <v>0</v>
      </c>
      <c r="L668" s="3">
        <f>Raw_Data!L668</f>
        <v>282.06</v>
      </c>
      <c r="M668" s="3">
        <f>Raw_Data!M668</f>
        <v>186.3</v>
      </c>
      <c r="N668" s="3">
        <f>Raw_Data!N668</f>
        <v>95.76</v>
      </c>
      <c r="O668" t="str">
        <f t="shared" si="30"/>
        <v>2025-08</v>
      </c>
      <c r="P668" s="5">
        <f t="shared" si="31"/>
        <v>0.33950223356732612</v>
      </c>
      <c r="Q668" s="3">
        <f t="shared" si="32"/>
        <v>282.06</v>
      </c>
    </row>
    <row r="669" spans="1:17" x14ac:dyDescent="0.35">
      <c r="A669" t="str">
        <f>Raw_Data!A669</f>
        <v>ORD-0643</v>
      </c>
      <c r="B669" s="2">
        <f>Raw_Data!B669</f>
        <v>45900</v>
      </c>
      <c r="C669" t="str">
        <f>Raw_Data!C669</f>
        <v>North</v>
      </c>
      <c r="D669" t="str">
        <f>Raw_Data!D669</f>
        <v>Delhi</v>
      </c>
      <c r="E669" t="str">
        <f>Raw_Data!E669</f>
        <v>Furniture</v>
      </c>
      <c r="F669" t="str">
        <f>Raw_Data!F669</f>
        <v>Desk Lamp</v>
      </c>
      <c r="G669" t="str">
        <f>Raw_Data!G669</f>
        <v>Corporate</v>
      </c>
      <c r="H669" t="str">
        <f>Raw_Data!H669</f>
        <v>In-Store</v>
      </c>
      <c r="I669">
        <f>Raw_Data!I669</f>
        <v>10</v>
      </c>
      <c r="J669" s="3">
        <f>Raw_Data!J669</f>
        <v>41.99</v>
      </c>
      <c r="K669" s="4">
        <f>Raw_Data!K669</f>
        <v>0.1</v>
      </c>
      <c r="L669" s="3">
        <f>Raw_Data!L669</f>
        <v>377.91</v>
      </c>
      <c r="M669" s="3">
        <f>Raw_Data!M669</f>
        <v>244.22</v>
      </c>
      <c r="N669" s="3">
        <f>Raw_Data!N669</f>
        <v>133.69</v>
      </c>
      <c r="O669" t="str">
        <f t="shared" si="30"/>
        <v>2025-08</v>
      </c>
      <c r="P669" s="5">
        <f t="shared" si="31"/>
        <v>0.35376147760048687</v>
      </c>
      <c r="Q669" s="3">
        <f t="shared" si="32"/>
        <v>377.91</v>
      </c>
    </row>
    <row r="670" spans="1:17" x14ac:dyDescent="0.35">
      <c r="A670" t="str">
        <f>Raw_Data!A670</f>
        <v>ORD-0933</v>
      </c>
      <c r="B670" s="2">
        <f>Raw_Data!B670</f>
        <v>45900</v>
      </c>
      <c r="C670" t="str">
        <f>Raw_Data!C670</f>
        <v>South</v>
      </c>
      <c r="D670" t="str">
        <f>Raw_Data!D670</f>
        <v>Bengaluru</v>
      </c>
      <c r="E670" t="str">
        <f>Raw_Data!E670</f>
        <v>Technology</v>
      </c>
      <c r="F670" t="str">
        <f>Raw_Data!F670</f>
        <v>Keyboard</v>
      </c>
      <c r="G670" t="str">
        <f>Raw_Data!G670</f>
        <v>Consumer</v>
      </c>
      <c r="H670" t="str">
        <f>Raw_Data!H670</f>
        <v>Online</v>
      </c>
      <c r="I670">
        <f>Raw_Data!I670</f>
        <v>4</v>
      </c>
      <c r="J670" s="3">
        <f>Raw_Data!J670</f>
        <v>38.32</v>
      </c>
      <c r="K670" s="4">
        <f>Raw_Data!K670</f>
        <v>0.15</v>
      </c>
      <c r="L670" s="3">
        <f>Raw_Data!L670</f>
        <v>130.29</v>
      </c>
      <c r="M670" s="3">
        <f>Raw_Data!M670</f>
        <v>102.49</v>
      </c>
      <c r="N670" s="3">
        <f>Raw_Data!N670</f>
        <v>27.8</v>
      </c>
      <c r="O670" t="str">
        <f t="shared" si="30"/>
        <v>2025-08</v>
      </c>
      <c r="P670" s="5">
        <f t="shared" si="31"/>
        <v>0.21337017422672502</v>
      </c>
      <c r="Q670" s="3">
        <f t="shared" si="32"/>
        <v>130.29</v>
      </c>
    </row>
    <row r="671" spans="1:17" x14ac:dyDescent="0.35">
      <c r="A671" t="str">
        <f>Raw_Data!A671</f>
        <v>ORD-0992</v>
      </c>
      <c r="B671" s="2">
        <f>Raw_Data!B671</f>
        <v>45901</v>
      </c>
      <c r="C671" t="str">
        <f>Raw_Data!C671</f>
        <v>South</v>
      </c>
      <c r="D671" t="str">
        <f>Raw_Data!D671</f>
        <v>Chennai</v>
      </c>
      <c r="E671" t="str">
        <f>Raw_Data!E671</f>
        <v>Technology</v>
      </c>
      <c r="F671" t="str">
        <f>Raw_Data!F671</f>
        <v>Headphones</v>
      </c>
      <c r="G671" t="str">
        <f>Raw_Data!G671</f>
        <v>Corporate</v>
      </c>
      <c r="H671" t="str">
        <f>Raw_Data!H671</f>
        <v>Online</v>
      </c>
      <c r="I671">
        <f>Raw_Data!I671</f>
        <v>8</v>
      </c>
      <c r="J671" s="3">
        <f>Raw_Data!J671</f>
        <v>47.49</v>
      </c>
      <c r="K671" s="4">
        <f>Raw_Data!K671</f>
        <v>0</v>
      </c>
      <c r="L671" s="3">
        <f>Raw_Data!L671</f>
        <v>379.92</v>
      </c>
      <c r="M671" s="3">
        <f>Raw_Data!M671</f>
        <v>290.47000000000003</v>
      </c>
      <c r="N671" s="3">
        <f>Raw_Data!N671</f>
        <v>89.45</v>
      </c>
      <c r="O671" t="str">
        <f t="shared" si="30"/>
        <v>2025-09</v>
      </c>
      <c r="P671" s="5">
        <f t="shared" si="31"/>
        <v>0.23544430406401348</v>
      </c>
      <c r="Q671" s="3">
        <f t="shared" si="32"/>
        <v>379.92</v>
      </c>
    </row>
    <row r="672" spans="1:17" x14ac:dyDescent="0.35">
      <c r="A672" t="str">
        <f>Raw_Data!A672</f>
        <v>ORD-0453</v>
      </c>
      <c r="B672" s="2">
        <f>Raw_Data!B672</f>
        <v>45901</v>
      </c>
      <c r="C672" t="str">
        <f>Raw_Data!C672</f>
        <v>South</v>
      </c>
      <c r="D672" t="str">
        <f>Raw_Data!D672</f>
        <v>Bengaluru</v>
      </c>
      <c r="E672" t="str">
        <f>Raw_Data!E672</f>
        <v>Furniture</v>
      </c>
      <c r="F672" t="str">
        <f>Raw_Data!F672</f>
        <v>Bookshelf</v>
      </c>
      <c r="G672" t="str">
        <f>Raw_Data!G672</f>
        <v>Small Business</v>
      </c>
      <c r="H672" t="str">
        <f>Raw_Data!H672</f>
        <v>Marketplace</v>
      </c>
      <c r="I672">
        <f>Raw_Data!I672</f>
        <v>4</v>
      </c>
      <c r="J672" s="3">
        <f>Raw_Data!J672</f>
        <v>127.93</v>
      </c>
      <c r="K672" s="4">
        <f>Raw_Data!K672</f>
        <v>0.05</v>
      </c>
      <c r="L672" s="3">
        <f>Raw_Data!L672</f>
        <v>486.13</v>
      </c>
      <c r="M672" s="3">
        <f>Raw_Data!M672</f>
        <v>273.69</v>
      </c>
      <c r="N672" s="3">
        <f>Raw_Data!N672</f>
        <v>212.44</v>
      </c>
      <c r="O672" t="str">
        <f t="shared" si="30"/>
        <v>2025-09</v>
      </c>
      <c r="P672" s="5">
        <f t="shared" si="31"/>
        <v>0.43700244790488141</v>
      </c>
      <c r="Q672" s="3">
        <f t="shared" si="32"/>
        <v>486.13</v>
      </c>
    </row>
    <row r="673" spans="1:17" x14ac:dyDescent="0.35">
      <c r="A673" t="str">
        <f>Raw_Data!A673</f>
        <v>ORD-0435</v>
      </c>
      <c r="B673" s="2">
        <f>Raw_Data!B673</f>
        <v>45901</v>
      </c>
      <c r="C673" t="str">
        <f>Raw_Data!C673</f>
        <v>North</v>
      </c>
      <c r="D673" t="str">
        <f>Raw_Data!D673</f>
        <v>Chandigarh</v>
      </c>
      <c r="E673" t="str">
        <f>Raw_Data!E673</f>
        <v>Technology</v>
      </c>
      <c r="F673" t="str">
        <f>Raw_Data!F673</f>
        <v>Wireless Mouse</v>
      </c>
      <c r="G673" t="str">
        <f>Raw_Data!G673</f>
        <v>Corporate</v>
      </c>
      <c r="H673" t="str">
        <f>Raw_Data!H673</f>
        <v>Marketplace</v>
      </c>
      <c r="I673">
        <f>Raw_Data!I673</f>
        <v>2</v>
      </c>
      <c r="J673" s="3">
        <f>Raw_Data!J673</f>
        <v>18.34</v>
      </c>
      <c r="K673" s="4">
        <f>Raw_Data!K673</f>
        <v>0</v>
      </c>
      <c r="L673" s="3">
        <f>Raw_Data!L673</f>
        <v>36.68</v>
      </c>
      <c r="M673" s="3">
        <f>Raw_Data!M673</f>
        <v>27.53</v>
      </c>
      <c r="N673" s="3">
        <f>Raw_Data!N673</f>
        <v>9.15</v>
      </c>
      <c r="O673" t="str">
        <f t="shared" si="30"/>
        <v>2025-09</v>
      </c>
      <c r="P673" s="5">
        <f t="shared" si="31"/>
        <v>0.2494547437295529</v>
      </c>
      <c r="Q673" s="3">
        <f t="shared" si="32"/>
        <v>36.68</v>
      </c>
    </row>
    <row r="674" spans="1:17" x14ac:dyDescent="0.35">
      <c r="A674" t="str">
        <f>Raw_Data!A674</f>
        <v>ORD-0404</v>
      </c>
      <c r="B674" s="2">
        <f>Raw_Data!B674</f>
        <v>45901</v>
      </c>
      <c r="C674" t="str">
        <f>Raw_Data!C674</f>
        <v>South</v>
      </c>
      <c r="D674" t="str">
        <f>Raw_Data!D674</f>
        <v>Chennai</v>
      </c>
      <c r="E674" t="str">
        <f>Raw_Data!E674</f>
        <v>Technology</v>
      </c>
      <c r="F674" t="str">
        <f>Raw_Data!F674</f>
        <v>Wireless Mouse</v>
      </c>
      <c r="G674" t="str">
        <f>Raw_Data!G674</f>
        <v>Consumer</v>
      </c>
      <c r="H674" t="str">
        <f>Raw_Data!H674</f>
        <v>Marketplace</v>
      </c>
      <c r="I674">
        <f>Raw_Data!I674</f>
        <v>11</v>
      </c>
      <c r="J674" s="3">
        <f>Raw_Data!J674</f>
        <v>17.48</v>
      </c>
      <c r="K674" s="4">
        <f>Raw_Data!K674</f>
        <v>0</v>
      </c>
      <c r="L674" s="3">
        <f>Raw_Data!L674</f>
        <v>192.28</v>
      </c>
      <c r="M674" s="3">
        <f>Raw_Data!M674</f>
        <v>144.47</v>
      </c>
      <c r="N674" s="3">
        <f>Raw_Data!N674</f>
        <v>47.81</v>
      </c>
      <c r="O674" t="str">
        <f t="shared" si="30"/>
        <v>2025-09</v>
      </c>
      <c r="P674" s="5">
        <f t="shared" si="31"/>
        <v>0.24864780528396091</v>
      </c>
      <c r="Q674" s="3">
        <f t="shared" si="32"/>
        <v>192.28</v>
      </c>
    </row>
    <row r="675" spans="1:17" x14ac:dyDescent="0.35">
      <c r="A675" t="str">
        <f>Raw_Data!A675</f>
        <v>ORD-0046</v>
      </c>
      <c r="B675" s="2">
        <f>Raw_Data!B675</f>
        <v>45901</v>
      </c>
      <c r="C675" t="str">
        <f>Raw_Data!C675</f>
        <v>West</v>
      </c>
      <c r="D675" t="str">
        <f>Raw_Data!D675</f>
        <v>Mumbai</v>
      </c>
      <c r="E675" t="str">
        <f>Raw_Data!E675</f>
        <v>Technology</v>
      </c>
      <c r="F675" t="str">
        <f>Raw_Data!F675</f>
        <v>USB Hub</v>
      </c>
      <c r="G675" t="str">
        <f>Raw_Data!G675</f>
        <v>Small Business</v>
      </c>
      <c r="H675" t="str">
        <f>Raw_Data!H675</f>
        <v>In-Store</v>
      </c>
      <c r="I675">
        <f>Raw_Data!I675</f>
        <v>7</v>
      </c>
      <c r="J675" s="3">
        <f>Raw_Data!J675</f>
        <v>27.84</v>
      </c>
      <c r="K675" s="4">
        <f>Raw_Data!K675</f>
        <v>0.15</v>
      </c>
      <c r="L675" s="3">
        <f>Raw_Data!L675</f>
        <v>165.65</v>
      </c>
      <c r="M675" s="3">
        <f>Raw_Data!M675</f>
        <v>104.91</v>
      </c>
      <c r="N675" s="3">
        <f>Raw_Data!N675</f>
        <v>60.74</v>
      </c>
      <c r="O675" t="str">
        <f t="shared" si="30"/>
        <v>2025-09</v>
      </c>
      <c r="P675" s="5">
        <f t="shared" si="31"/>
        <v>0.36667672804105039</v>
      </c>
      <c r="Q675" s="3">
        <f t="shared" si="32"/>
        <v>165.65</v>
      </c>
    </row>
    <row r="676" spans="1:17" x14ac:dyDescent="0.35">
      <c r="A676" t="str">
        <f>Raw_Data!A676</f>
        <v>ORD-0197</v>
      </c>
      <c r="B676" s="2">
        <f>Raw_Data!B676</f>
        <v>45902</v>
      </c>
      <c r="C676" t="str">
        <f>Raw_Data!C676</f>
        <v>North</v>
      </c>
      <c r="D676" t="str">
        <f>Raw_Data!D676</f>
        <v>Delhi</v>
      </c>
      <c r="E676" t="str">
        <f>Raw_Data!E676</f>
        <v>Office Supplies</v>
      </c>
      <c r="F676" t="str">
        <f>Raw_Data!F676</f>
        <v>Desk Organizer</v>
      </c>
      <c r="G676" t="str">
        <f>Raw_Data!G676</f>
        <v>Corporate</v>
      </c>
      <c r="H676" t="str">
        <f>Raw_Data!H676</f>
        <v>Marketplace</v>
      </c>
      <c r="I676">
        <f>Raw_Data!I676</f>
        <v>6</v>
      </c>
      <c r="J676" s="3">
        <f>Raw_Data!J676</f>
        <v>19.95</v>
      </c>
      <c r="K676" s="4">
        <f>Raw_Data!K676</f>
        <v>0</v>
      </c>
      <c r="L676" s="3">
        <f>Raw_Data!L676</f>
        <v>119.7</v>
      </c>
      <c r="M676" s="3">
        <f>Raw_Data!M676</f>
        <v>90.06</v>
      </c>
      <c r="N676" s="3">
        <f>Raw_Data!N676</f>
        <v>29.64</v>
      </c>
      <c r="O676" t="str">
        <f t="shared" si="30"/>
        <v>2025-09</v>
      </c>
      <c r="P676" s="5">
        <f t="shared" si="31"/>
        <v>0.24761904761904763</v>
      </c>
      <c r="Q676" s="3">
        <f t="shared" si="32"/>
        <v>119.7</v>
      </c>
    </row>
    <row r="677" spans="1:17" x14ac:dyDescent="0.35">
      <c r="A677" t="str">
        <f>Raw_Data!A677</f>
        <v>ORD-0549</v>
      </c>
      <c r="B677" s="2">
        <f>Raw_Data!B677</f>
        <v>45903</v>
      </c>
      <c r="C677" t="str">
        <f>Raw_Data!C677</f>
        <v>East</v>
      </c>
      <c r="D677" t="str">
        <f>Raw_Data!D677</f>
        <v>Guwahati</v>
      </c>
      <c r="E677" t="str">
        <f>Raw_Data!E677</f>
        <v>Home &amp; Kitchen</v>
      </c>
      <c r="F677" t="str">
        <f>Raw_Data!F677</f>
        <v>Water Bottle</v>
      </c>
      <c r="G677" t="str">
        <f>Raw_Data!G677</f>
        <v>Small Business</v>
      </c>
      <c r="H677" t="str">
        <f>Raw_Data!H677</f>
        <v>In-Store</v>
      </c>
      <c r="I677">
        <f>Raw_Data!I677</f>
        <v>11</v>
      </c>
      <c r="J677" s="3">
        <f>Raw_Data!J677</f>
        <v>14.36</v>
      </c>
      <c r="K677" s="4">
        <f>Raw_Data!K677</f>
        <v>0</v>
      </c>
      <c r="L677" s="3">
        <f>Raw_Data!L677</f>
        <v>157.96</v>
      </c>
      <c r="M677" s="3">
        <f>Raw_Data!M677</f>
        <v>105.54</v>
      </c>
      <c r="N677" s="3">
        <f>Raw_Data!N677</f>
        <v>52.42</v>
      </c>
      <c r="O677" t="str">
        <f t="shared" si="30"/>
        <v>2025-09</v>
      </c>
      <c r="P677" s="5">
        <f t="shared" si="31"/>
        <v>0.33185616611800456</v>
      </c>
      <c r="Q677" s="3">
        <f t="shared" si="32"/>
        <v>157.96</v>
      </c>
    </row>
    <row r="678" spans="1:17" x14ac:dyDescent="0.35">
      <c r="A678" t="str">
        <f>Raw_Data!A678</f>
        <v>ORD-0965</v>
      </c>
      <c r="B678" s="2">
        <f>Raw_Data!B678</f>
        <v>45904</v>
      </c>
      <c r="C678" t="str">
        <f>Raw_Data!C678</f>
        <v>West</v>
      </c>
      <c r="D678" t="str">
        <f>Raw_Data!D678</f>
        <v>Pune</v>
      </c>
      <c r="E678" t="str">
        <f>Raw_Data!E678</f>
        <v>Home &amp; Kitchen</v>
      </c>
      <c r="F678" t="str">
        <f>Raw_Data!F678</f>
        <v>Coffee Maker</v>
      </c>
      <c r="G678" t="str">
        <f>Raw_Data!G678</f>
        <v>Corporate</v>
      </c>
      <c r="H678" t="str">
        <f>Raw_Data!H678</f>
        <v>Marketplace</v>
      </c>
      <c r="I678">
        <f>Raw_Data!I678</f>
        <v>3</v>
      </c>
      <c r="J678" s="3">
        <f>Raw_Data!J678</f>
        <v>81.41</v>
      </c>
      <c r="K678" s="4">
        <f>Raw_Data!K678</f>
        <v>0</v>
      </c>
      <c r="L678" s="3">
        <f>Raw_Data!L678</f>
        <v>244.23</v>
      </c>
      <c r="M678" s="3">
        <f>Raw_Data!M678</f>
        <v>145.31</v>
      </c>
      <c r="N678" s="3">
        <f>Raw_Data!N678</f>
        <v>98.92</v>
      </c>
      <c r="O678" t="str">
        <f t="shared" si="30"/>
        <v>2025-09</v>
      </c>
      <c r="P678" s="5">
        <f t="shared" si="31"/>
        <v>0.40502804733243258</v>
      </c>
      <c r="Q678" s="3">
        <f t="shared" si="32"/>
        <v>244.23</v>
      </c>
    </row>
    <row r="679" spans="1:17" x14ac:dyDescent="0.35">
      <c r="A679" t="str">
        <f>Raw_Data!A679</f>
        <v>ORD-0069</v>
      </c>
      <c r="B679" s="2">
        <f>Raw_Data!B679</f>
        <v>45905</v>
      </c>
      <c r="C679" t="str">
        <f>Raw_Data!C679</f>
        <v>South</v>
      </c>
      <c r="D679" t="str">
        <f>Raw_Data!D679</f>
        <v>Hyderabad</v>
      </c>
      <c r="E679" t="str">
        <f>Raw_Data!E679</f>
        <v>Furniture</v>
      </c>
      <c r="F679" t="str">
        <f>Raw_Data!F679</f>
        <v>Bookshelf</v>
      </c>
      <c r="G679" t="str">
        <f>Raw_Data!G679</f>
        <v>Small Business</v>
      </c>
      <c r="H679" t="str">
        <f>Raw_Data!H679</f>
        <v>Online</v>
      </c>
      <c r="I679">
        <f>Raw_Data!I679</f>
        <v>2</v>
      </c>
      <c r="J679" s="3">
        <f>Raw_Data!J679</f>
        <v>125.56</v>
      </c>
      <c r="K679" s="4">
        <f>Raw_Data!K679</f>
        <v>0.05</v>
      </c>
      <c r="L679" s="3">
        <f>Raw_Data!L679</f>
        <v>238.56</v>
      </c>
      <c r="M679" s="3">
        <f>Raw_Data!M679</f>
        <v>137.68</v>
      </c>
      <c r="N679" s="3">
        <f>Raw_Data!N679</f>
        <v>100.88</v>
      </c>
      <c r="O679" t="str">
        <f t="shared" si="30"/>
        <v>2025-09</v>
      </c>
      <c r="P679" s="5">
        <f t="shared" si="31"/>
        <v>0.42287055667337353</v>
      </c>
      <c r="Q679" s="3">
        <f t="shared" si="32"/>
        <v>238.56</v>
      </c>
    </row>
    <row r="680" spans="1:17" x14ac:dyDescent="0.35">
      <c r="A680" t="str">
        <f>Raw_Data!A680</f>
        <v>ORD-0329</v>
      </c>
      <c r="B680" s="2">
        <f>Raw_Data!B680</f>
        <v>45905</v>
      </c>
      <c r="C680" t="str">
        <f>Raw_Data!C680</f>
        <v>North</v>
      </c>
      <c r="D680" t="str">
        <f>Raw_Data!D680</f>
        <v>Delhi</v>
      </c>
      <c r="E680" t="str">
        <f>Raw_Data!E680</f>
        <v>Technology</v>
      </c>
      <c r="F680" t="str">
        <f>Raw_Data!F680</f>
        <v>USB Hub</v>
      </c>
      <c r="G680" t="str">
        <f>Raw_Data!G680</f>
        <v>Small Business</v>
      </c>
      <c r="H680" t="str">
        <f>Raw_Data!H680</f>
        <v>Online</v>
      </c>
      <c r="I680">
        <f>Raw_Data!I680</f>
        <v>11</v>
      </c>
      <c r="J680" s="3">
        <f>Raw_Data!J680</f>
        <v>21.79</v>
      </c>
      <c r="K680" s="4">
        <f>Raw_Data!K680</f>
        <v>0.1</v>
      </c>
      <c r="L680" s="3">
        <f>Raw_Data!L680</f>
        <v>215.72</v>
      </c>
      <c r="M680" s="3">
        <f>Raw_Data!M680</f>
        <v>126.35</v>
      </c>
      <c r="N680" s="3">
        <f>Raw_Data!N680</f>
        <v>89.37</v>
      </c>
      <c r="O680" t="str">
        <f t="shared" si="30"/>
        <v>2025-09</v>
      </c>
      <c r="P680" s="5">
        <f t="shared" si="31"/>
        <v>0.4142870387539403</v>
      </c>
      <c r="Q680" s="3">
        <f t="shared" si="32"/>
        <v>215.72</v>
      </c>
    </row>
    <row r="681" spans="1:17" x14ac:dyDescent="0.35">
      <c r="A681" t="str">
        <f>Raw_Data!A681</f>
        <v>ORD-0554</v>
      </c>
      <c r="B681" s="2">
        <f>Raw_Data!B681</f>
        <v>45905</v>
      </c>
      <c r="C681" t="str">
        <f>Raw_Data!C681</f>
        <v>East</v>
      </c>
      <c r="D681" t="str">
        <f>Raw_Data!D681</f>
        <v>Guwahati</v>
      </c>
      <c r="E681" t="str">
        <f>Raw_Data!E681</f>
        <v>Office Supplies</v>
      </c>
      <c r="F681" t="str">
        <f>Raw_Data!F681</f>
        <v>Pen Set</v>
      </c>
      <c r="G681" t="str">
        <f>Raw_Data!G681</f>
        <v>Consumer</v>
      </c>
      <c r="H681" t="str">
        <f>Raw_Data!H681</f>
        <v>Online</v>
      </c>
      <c r="I681">
        <f>Raw_Data!I681</f>
        <v>6</v>
      </c>
      <c r="J681" s="3">
        <f>Raw_Data!J681</f>
        <v>9.39</v>
      </c>
      <c r="K681" s="4">
        <f>Raw_Data!K681</f>
        <v>0.15</v>
      </c>
      <c r="L681" s="3">
        <f>Raw_Data!L681</f>
        <v>47.89</v>
      </c>
      <c r="M681" s="3">
        <f>Raw_Data!M681</f>
        <v>32.29</v>
      </c>
      <c r="N681" s="3">
        <f>Raw_Data!N681</f>
        <v>15.6</v>
      </c>
      <c r="O681" t="str">
        <f t="shared" si="30"/>
        <v>2025-09</v>
      </c>
      <c r="P681" s="5">
        <f t="shared" si="31"/>
        <v>0.3257465024013364</v>
      </c>
      <c r="Q681" s="3">
        <f t="shared" si="32"/>
        <v>47.89</v>
      </c>
    </row>
    <row r="682" spans="1:17" x14ac:dyDescent="0.35">
      <c r="A682" t="str">
        <f>Raw_Data!A682</f>
        <v>ORD-0406</v>
      </c>
      <c r="B682" s="2">
        <f>Raw_Data!B682</f>
        <v>45907</v>
      </c>
      <c r="C682" t="str">
        <f>Raw_Data!C682</f>
        <v>North</v>
      </c>
      <c r="D682" t="str">
        <f>Raw_Data!D682</f>
        <v>Jaipur</v>
      </c>
      <c r="E682" t="str">
        <f>Raw_Data!E682</f>
        <v>Technology</v>
      </c>
      <c r="F682" t="str">
        <f>Raw_Data!F682</f>
        <v>Headphones</v>
      </c>
      <c r="G682" t="str">
        <f>Raw_Data!G682</f>
        <v>Consumer</v>
      </c>
      <c r="H682" t="str">
        <f>Raw_Data!H682</f>
        <v>Marketplace</v>
      </c>
      <c r="I682">
        <f>Raw_Data!I682</f>
        <v>11</v>
      </c>
      <c r="J682" s="3">
        <f>Raw_Data!J682</f>
        <v>50.46</v>
      </c>
      <c r="K682" s="4">
        <f>Raw_Data!K682</f>
        <v>0.15</v>
      </c>
      <c r="L682" s="3">
        <f>Raw_Data!L682</f>
        <v>471.8</v>
      </c>
      <c r="M682" s="3">
        <f>Raw_Data!M682</f>
        <v>280.14</v>
      </c>
      <c r="N682" s="3">
        <f>Raw_Data!N682</f>
        <v>191.66</v>
      </c>
      <c r="O682" t="str">
        <f t="shared" si="30"/>
        <v>2025-09</v>
      </c>
      <c r="P682" s="5">
        <f t="shared" si="31"/>
        <v>0.40623145400593469</v>
      </c>
      <c r="Q682" s="3">
        <f t="shared" si="32"/>
        <v>471.8</v>
      </c>
    </row>
    <row r="683" spans="1:17" x14ac:dyDescent="0.35">
      <c r="A683" t="str">
        <f>Raw_Data!A683</f>
        <v>ORD-0736</v>
      </c>
      <c r="B683" s="2">
        <f>Raw_Data!B683</f>
        <v>45907</v>
      </c>
      <c r="C683" t="str">
        <f>Raw_Data!C683</f>
        <v>North</v>
      </c>
      <c r="D683" t="str">
        <f>Raw_Data!D683</f>
        <v>Delhi</v>
      </c>
      <c r="E683" t="str">
        <f>Raw_Data!E683</f>
        <v>Furniture</v>
      </c>
      <c r="F683" t="str">
        <f>Raw_Data!F683</f>
        <v>Bookshelf</v>
      </c>
      <c r="G683" t="str">
        <f>Raw_Data!G683</f>
        <v>Consumer</v>
      </c>
      <c r="H683" t="str">
        <f>Raw_Data!H683</f>
        <v>Online</v>
      </c>
      <c r="I683">
        <f>Raw_Data!I683</f>
        <v>12</v>
      </c>
      <c r="J683" s="3">
        <f>Raw_Data!J683</f>
        <v>119.44</v>
      </c>
      <c r="K683" s="4">
        <f>Raw_Data!K683</f>
        <v>0.1</v>
      </c>
      <c r="L683" s="3">
        <f>Raw_Data!L683</f>
        <v>1289.95</v>
      </c>
      <c r="M683" s="3">
        <f>Raw_Data!M683</f>
        <v>1033.96</v>
      </c>
      <c r="N683" s="3">
        <f>Raw_Data!N683</f>
        <v>255.99</v>
      </c>
      <c r="O683" t="str">
        <f t="shared" si="30"/>
        <v>2025-09</v>
      </c>
      <c r="P683" s="5">
        <f t="shared" si="31"/>
        <v>0.198449552308229</v>
      </c>
      <c r="Q683" s="3">
        <f t="shared" si="32"/>
        <v>1289.95</v>
      </c>
    </row>
    <row r="684" spans="1:17" x14ac:dyDescent="0.35">
      <c r="A684" t="str">
        <f>Raw_Data!A684</f>
        <v>ORD-0274</v>
      </c>
      <c r="B684" s="2">
        <f>Raw_Data!B684</f>
        <v>45907</v>
      </c>
      <c r="C684" t="str">
        <f>Raw_Data!C684</f>
        <v>East</v>
      </c>
      <c r="D684" t="str">
        <f>Raw_Data!D684</f>
        <v>Bhubaneswar</v>
      </c>
      <c r="E684" t="str">
        <f>Raw_Data!E684</f>
        <v>Furniture</v>
      </c>
      <c r="F684" t="str">
        <f>Raw_Data!F684</f>
        <v>Office Chair</v>
      </c>
      <c r="G684" t="str">
        <f>Raw_Data!G684</f>
        <v>Consumer</v>
      </c>
      <c r="H684" t="str">
        <f>Raw_Data!H684</f>
        <v>Marketplace</v>
      </c>
      <c r="I684">
        <f>Raw_Data!I684</f>
        <v>12</v>
      </c>
      <c r="J684" s="3">
        <f>Raw_Data!J684</f>
        <v>127.98</v>
      </c>
      <c r="K684" s="4">
        <f>Raw_Data!K684</f>
        <v>0.1</v>
      </c>
      <c r="L684" s="3">
        <f>Raw_Data!L684</f>
        <v>1382.18</v>
      </c>
      <c r="M684" s="3">
        <f>Raw_Data!M684</f>
        <v>1029.6500000000001</v>
      </c>
      <c r="N684" s="3">
        <f>Raw_Data!N684</f>
        <v>352.53</v>
      </c>
      <c r="O684" t="str">
        <f t="shared" si="30"/>
        <v>2025-09</v>
      </c>
      <c r="P684" s="5">
        <f t="shared" si="31"/>
        <v>0.25505361096239271</v>
      </c>
      <c r="Q684" s="3">
        <f t="shared" si="32"/>
        <v>1382.18</v>
      </c>
    </row>
    <row r="685" spans="1:17" x14ac:dyDescent="0.35">
      <c r="A685" t="str">
        <f>Raw_Data!A685</f>
        <v>ORD-0420</v>
      </c>
      <c r="B685" s="2">
        <f>Raw_Data!B685</f>
        <v>45907</v>
      </c>
      <c r="C685" t="str">
        <f>Raw_Data!C685</f>
        <v>South</v>
      </c>
      <c r="D685" t="str">
        <f>Raw_Data!D685</f>
        <v>Chennai</v>
      </c>
      <c r="E685" t="str">
        <f>Raw_Data!E685</f>
        <v>Technology</v>
      </c>
      <c r="F685" t="str">
        <f>Raw_Data!F685</f>
        <v>Keyboard</v>
      </c>
      <c r="G685" t="str">
        <f>Raw_Data!G685</f>
        <v>Corporate</v>
      </c>
      <c r="H685" t="str">
        <f>Raw_Data!H685</f>
        <v>Online</v>
      </c>
      <c r="I685">
        <f>Raw_Data!I685</f>
        <v>11</v>
      </c>
      <c r="J685" s="3">
        <f>Raw_Data!J685</f>
        <v>33.99</v>
      </c>
      <c r="K685" s="4">
        <f>Raw_Data!K685</f>
        <v>0.05</v>
      </c>
      <c r="L685" s="3">
        <f>Raw_Data!L685</f>
        <v>355.2</v>
      </c>
      <c r="M685" s="3">
        <f>Raw_Data!M685</f>
        <v>275.79000000000002</v>
      </c>
      <c r="N685" s="3">
        <f>Raw_Data!N685</f>
        <v>79.41</v>
      </c>
      <c r="O685" t="str">
        <f t="shared" si="30"/>
        <v>2025-09</v>
      </c>
      <c r="P685" s="5">
        <f t="shared" si="31"/>
        <v>0.22356418918918919</v>
      </c>
      <c r="Q685" s="3">
        <f t="shared" si="32"/>
        <v>355.2</v>
      </c>
    </row>
    <row r="686" spans="1:17" x14ac:dyDescent="0.35">
      <c r="A686" t="str">
        <f>Raw_Data!A686</f>
        <v>ORD-0529</v>
      </c>
      <c r="B686" s="2">
        <f>Raw_Data!B686</f>
        <v>45908</v>
      </c>
      <c r="C686" t="str">
        <f>Raw_Data!C686</f>
        <v>West</v>
      </c>
      <c r="D686" t="str">
        <f>Raw_Data!D686</f>
        <v>Pune</v>
      </c>
      <c r="E686" t="str">
        <f>Raw_Data!E686</f>
        <v>Furniture</v>
      </c>
      <c r="F686" t="str">
        <f>Raw_Data!F686</f>
        <v>Standing Desk</v>
      </c>
      <c r="G686" t="str">
        <f>Raw_Data!G686</f>
        <v>Corporate</v>
      </c>
      <c r="H686" t="str">
        <f>Raw_Data!H686</f>
        <v>In-Store</v>
      </c>
      <c r="I686">
        <f>Raw_Data!I686</f>
        <v>4</v>
      </c>
      <c r="J686" s="3">
        <f>Raw_Data!J686</f>
        <v>259.91000000000003</v>
      </c>
      <c r="K686" s="4">
        <f>Raw_Data!K686</f>
        <v>0</v>
      </c>
      <c r="L686" s="3">
        <f>Raw_Data!L686</f>
        <v>1039.6400000000001</v>
      </c>
      <c r="M686" s="3">
        <f>Raw_Data!M686</f>
        <v>688.64</v>
      </c>
      <c r="N686" s="3">
        <f>Raw_Data!N686</f>
        <v>351</v>
      </c>
      <c r="O686" t="str">
        <f t="shared" si="30"/>
        <v>2025-09</v>
      </c>
      <c r="P686" s="5">
        <f t="shared" si="31"/>
        <v>0.33761686737716901</v>
      </c>
      <c r="Q686" s="3">
        <f t="shared" si="32"/>
        <v>1039.6400000000001</v>
      </c>
    </row>
    <row r="687" spans="1:17" x14ac:dyDescent="0.35">
      <c r="A687" t="str">
        <f>Raw_Data!A687</f>
        <v>ORD-0108</v>
      </c>
      <c r="B687" s="2">
        <f>Raw_Data!B687</f>
        <v>45908</v>
      </c>
      <c r="C687" t="str">
        <f>Raw_Data!C687</f>
        <v>South</v>
      </c>
      <c r="D687" t="str">
        <f>Raw_Data!D687</f>
        <v>Hyderabad</v>
      </c>
      <c r="E687" t="str">
        <f>Raw_Data!E687</f>
        <v>Home &amp; Kitchen</v>
      </c>
      <c r="F687" t="str">
        <f>Raw_Data!F687</f>
        <v>Coffee Maker</v>
      </c>
      <c r="G687" t="str">
        <f>Raw_Data!G687</f>
        <v>Small Business</v>
      </c>
      <c r="H687" t="str">
        <f>Raw_Data!H687</f>
        <v>Online</v>
      </c>
      <c r="I687">
        <f>Raw_Data!I687</f>
        <v>1</v>
      </c>
      <c r="J687" s="3">
        <f>Raw_Data!J687</f>
        <v>78.599999999999994</v>
      </c>
      <c r="K687" s="4">
        <f>Raw_Data!K687</f>
        <v>0</v>
      </c>
      <c r="L687" s="3">
        <f>Raw_Data!L687</f>
        <v>78.599999999999994</v>
      </c>
      <c r="M687" s="3">
        <f>Raw_Data!M687</f>
        <v>48.18</v>
      </c>
      <c r="N687" s="3">
        <f>Raw_Data!N687</f>
        <v>30.42</v>
      </c>
      <c r="O687" t="str">
        <f t="shared" si="30"/>
        <v>2025-09</v>
      </c>
      <c r="P687" s="5">
        <f t="shared" si="31"/>
        <v>0.38702290076335882</v>
      </c>
      <c r="Q687" s="3">
        <f t="shared" si="32"/>
        <v>78.599999999999994</v>
      </c>
    </row>
    <row r="688" spans="1:17" x14ac:dyDescent="0.35">
      <c r="A688" t="str">
        <f>Raw_Data!A688</f>
        <v>ORD-0718</v>
      </c>
      <c r="B688" s="2">
        <f>Raw_Data!B688</f>
        <v>45909</v>
      </c>
      <c r="C688" t="str">
        <f>Raw_Data!C688</f>
        <v>North</v>
      </c>
      <c r="D688" t="str">
        <f>Raw_Data!D688</f>
        <v>Delhi</v>
      </c>
      <c r="E688" t="str">
        <f>Raw_Data!E688</f>
        <v>Office Supplies</v>
      </c>
      <c r="F688" t="str">
        <f>Raw_Data!F688</f>
        <v>Printer Paper</v>
      </c>
      <c r="G688" t="str">
        <f>Raw_Data!G688</f>
        <v>Small Business</v>
      </c>
      <c r="H688" t="str">
        <f>Raw_Data!H688</f>
        <v>In-Store</v>
      </c>
      <c r="I688">
        <f>Raw_Data!I688</f>
        <v>1</v>
      </c>
      <c r="J688" s="3">
        <f>Raw_Data!J688</f>
        <v>13.74</v>
      </c>
      <c r="K688" s="4">
        <f>Raw_Data!K688</f>
        <v>0</v>
      </c>
      <c r="L688" s="3">
        <f>Raw_Data!L688</f>
        <v>13.74</v>
      </c>
      <c r="M688" s="3">
        <f>Raw_Data!M688</f>
        <v>7.54</v>
      </c>
      <c r="N688" s="3">
        <f>Raw_Data!N688</f>
        <v>6.2</v>
      </c>
      <c r="O688" t="str">
        <f t="shared" si="30"/>
        <v>2025-09</v>
      </c>
      <c r="P688" s="5">
        <f t="shared" si="31"/>
        <v>0.45123726346433768</v>
      </c>
      <c r="Q688" s="3">
        <f t="shared" si="32"/>
        <v>13.74</v>
      </c>
    </row>
    <row r="689" spans="1:17" x14ac:dyDescent="0.35">
      <c r="A689" t="str">
        <f>Raw_Data!A689</f>
        <v>ORD-0960</v>
      </c>
      <c r="B689" s="2">
        <f>Raw_Data!B689</f>
        <v>45909</v>
      </c>
      <c r="C689" t="str">
        <f>Raw_Data!C689</f>
        <v>East</v>
      </c>
      <c r="D689" t="str">
        <f>Raw_Data!D689</f>
        <v>Kolkata</v>
      </c>
      <c r="E689" t="str">
        <f>Raw_Data!E689</f>
        <v>Office Supplies</v>
      </c>
      <c r="F689" t="str">
        <f>Raw_Data!F689</f>
        <v>Notebook Pack</v>
      </c>
      <c r="G689" t="str">
        <f>Raw_Data!G689</f>
        <v>Consumer</v>
      </c>
      <c r="H689" t="str">
        <f>Raw_Data!H689</f>
        <v>In-Store</v>
      </c>
      <c r="I689">
        <f>Raw_Data!I689</f>
        <v>4</v>
      </c>
      <c r="J689" s="3">
        <f>Raw_Data!J689</f>
        <v>10.63</v>
      </c>
      <c r="K689" s="4">
        <f>Raw_Data!K689</f>
        <v>0.05</v>
      </c>
      <c r="L689" s="3">
        <f>Raw_Data!L689</f>
        <v>40.39</v>
      </c>
      <c r="M689" s="3">
        <f>Raw_Data!M689</f>
        <v>24.97</v>
      </c>
      <c r="N689" s="3">
        <f>Raw_Data!N689</f>
        <v>15.42</v>
      </c>
      <c r="O689" t="str">
        <f t="shared" si="30"/>
        <v>2025-09</v>
      </c>
      <c r="P689" s="5">
        <f t="shared" si="31"/>
        <v>0.38177766773953947</v>
      </c>
      <c r="Q689" s="3">
        <f t="shared" si="32"/>
        <v>40.39</v>
      </c>
    </row>
    <row r="690" spans="1:17" x14ac:dyDescent="0.35">
      <c r="A690" t="str">
        <f>Raw_Data!A690</f>
        <v>ORD-0456</v>
      </c>
      <c r="B690" s="2">
        <f>Raw_Data!B690</f>
        <v>45909</v>
      </c>
      <c r="C690" t="str">
        <f>Raw_Data!C690</f>
        <v>West</v>
      </c>
      <c r="D690" t="str">
        <f>Raw_Data!D690</f>
        <v>Mumbai</v>
      </c>
      <c r="E690" t="str">
        <f>Raw_Data!E690</f>
        <v>Office Supplies</v>
      </c>
      <c r="F690" t="str">
        <f>Raw_Data!F690</f>
        <v>Desk Organizer</v>
      </c>
      <c r="G690" t="str">
        <f>Raw_Data!G690</f>
        <v>Small Business</v>
      </c>
      <c r="H690" t="str">
        <f>Raw_Data!H690</f>
        <v>Marketplace</v>
      </c>
      <c r="I690">
        <f>Raw_Data!I690</f>
        <v>7</v>
      </c>
      <c r="J690" s="3">
        <f>Raw_Data!J690</f>
        <v>19.48</v>
      </c>
      <c r="K690" s="4">
        <f>Raw_Data!K690</f>
        <v>0.15</v>
      </c>
      <c r="L690" s="3">
        <f>Raw_Data!L690</f>
        <v>115.91</v>
      </c>
      <c r="M690" s="3">
        <f>Raw_Data!M690</f>
        <v>70.7</v>
      </c>
      <c r="N690" s="3">
        <f>Raw_Data!N690</f>
        <v>45.21</v>
      </c>
      <c r="O690" t="str">
        <f t="shared" si="30"/>
        <v>2025-09</v>
      </c>
      <c r="P690" s="5">
        <f t="shared" si="31"/>
        <v>0.39004399965490466</v>
      </c>
      <c r="Q690" s="3">
        <f t="shared" si="32"/>
        <v>115.91</v>
      </c>
    </row>
    <row r="691" spans="1:17" x14ac:dyDescent="0.35">
      <c r="A691" t="str">
        <f>Raw_Data!A691</f>
        <v>ORD-0679</v>
      </c>
      <c r="B691" s="2">
        <f>Raw_Data!B691</f>
        <v>45909</v>
      </c>
      <c r="C691" t="str">
        <f>Raw_Data!C691</f>
        <v>East</v>
      </c>
      <c r="D691" t="str">
        <f>Raw_Data!D691</f>
        <v>Bhubaneswar</v>
      </c>
      <c r="E691" t="str">
        <f>Raw_Data!E691</f>
        <v>Home &amp; Kitchen</v>
      </c>
      <c r="F691" t="str">
        <f>Raw_Data!F691</f>
        <v>Lunch Box</v>
      </c>
      <c r="G691" t="str">
        <f>Raw_Data!G691</f>
        <v>Small Business</v>
      </c>
      <c r="H691" t="str">
        <f>Raw_Data!H691</f>
        <v>Marketplace</v>
      </c>
      <c r="I691">
        <f>Raw_Data!I691</f>
        <v>9</v>
      </c>
      <c r="J691" s="3">
        <f>Raw_Data!J691</f>
        <v>22.98</v>
      </c>
      <c r="K691" s="4">
        <f>Raw_Data!K691</f>
        <v>0.15</v>
      </c>
      <c r="L691" s="3">
        <f>Raw_Data!L691</f>
        <v>175.8</v>
      </c>
      <c r="M691" s="3">
        <f>Raw_Data!M691</f>
        <v>102.73</v>
      </c>
      <c r="N691" s="3">
        <f>Raw_Data!N691</f>
        <v>73.069999999999993</v>
      </c>
      <c r="O691" t="str">
        <f t="shared" si="30"/>
        <v>2025-09</v>
      </c>
      <c r="P691" s="5">
        <f t="shared" si="31"/>
        <v>0.41564277588168369</v>
      </c>
      <c r="Q691" s="3">
        <f t="shared" si="32"/>
        <v>175.8</v>
      </c>
    </row>
    <row r="692" spans="1:17" x14ac:dyDescent="0.35">
      <c r="A692" t="str">
        <f>Raw_Data!A692</f>
        <v>ORD-0790</v>
      </c>
      <c r="B692" s="2">
        <f>Raw_Data!B692</f>
        <v>45910</v>
      </c>
      <c r="C692" t="str">
        <f>Raw_Data!C692</f>
        <v>South</v>
      </c>
      <c r="D692" t="str">
        <f>Raw_Data!D692</f>
        <v>Bengaluru</v>
      </c>
      <c r="E692" t="str">
        <f>Raw_Data!E692</f>
        <v>Furniture</v>
      </c>
      <c r="F692" t="str">
        <f>Raw_Data!F692</f>
        <v>Office Chair</v>
      </c>
      <c r="G692" t="str">
        <f>Raw_Data!G692</f>
        <v>Corporate</v>
      </c>
      <c r="H692" t="str">
        <f>Raw_Data!H692</f>
        <v>In-Store</v>
      </c>
      <c r="I692">
        <f>Raw_Data!I692</f>
        <v>5</v>
      </c>
      <c r="J692" s="3">
        <f>Raw_Data!J692</f>
        <v>148.26</v>
      </c>
      <c r="K692" s="4">
        <f>Raw_Data!K692</f>
        <v>0.15</v>
      </c>
      <c r="L692" s="3">
        <f>Raw_Data!L692</f>
        <v>630.1</v>
      </c>
      <c r="M692" s="3">
        <f>Raw_Data!M692</f>
        <v>402.32</v>
      </c>
      <c r="N692" s="3">
        <f>Raw_Data!N692</f>
        <v>227.78</v>
      </c>
      <c r="O692" t="str">
        <f t="shared" si="30"/>
        <v>2025-09</v>
      </c>
      <c r="P692" s="5">
        <f t="shared" si="31"/>
        <v>0.36149817489287411</v>
      </c>
      <c r="Q692" s="3">
        <f t="shared" si="32"/>
        <v>630.1</v>
      </c>
    </row>
    <row r="693" spans="1:17" x14ac:dyDescent="0.35">
      <c r="A693" t="str">
        <f>Raw_Data!A693</f>
        <v>ORD-0676</v>
      </c>
      <c r="B693" s="2">
        <f>Raw_Data!B693</f>
        <v>45910</v>
      </c>
      <c r="C693" t="str">
        <f>Raw_Data!C693</f>
        <v>East</v>
      </c>
      <c r="D693" t="str">
        <f>Raw_Data!D693</f>
        <v>Kolkata</v>
      </c>
      <c r="E693" t="str">
        <f>Raw_Data!E693</f>
        <v>Home &amp; Kitchen</v>
      </c>
      <c r="F693" t="str">
        <f>Raw_Data!F693</f>
        <v>Storage Box</v>
      </c>
      <c r="G693" t="str">
        <f>Raw_Data!G693</f>
        <v>Corporate</v>
      </c>
      <c r="H693" t="str">
        <f>Raw_Data!H693</f>
        <v>Marketplace</v>
      </c>
      <c r="I693">
        <f>Raw_Data!I693</f>
        <v>5</v>
      </c>
      <c r="J693" s="3">
        <f>Raw_Data!J693</f>
        <v>15.14</v>
      </c>
      <c r="K693" s="4">
        <f>Raw_Data!K693</f>
        <v>0.1</v>
      </c>
      <c r="L693" s="3">
        <f>Raw_Data!L693</f>
        <v>68.13</v>
      </c>
      <c r="M693" s="3">
        <f>Raw_Data!M693</f>
        <v>47.8</v>
      </c>
      <c r="N693" s="3">
        <f>Raw_Data!N693</f>
        <v>20.329999999999998</v>
      </c>
      <c r="O693" t="str">
        <f t="shared" si="30"/>
        <v>2025-09</v>
      </c>
      <c r="P693" s="5">
        <f t="shared" si="31"/>
        <v>0.2984001174225745</v>
      </c>
      <c r="Q693" s="3">
        <f t="shared" si="32"/>
        <v>68.13</v>
      </c>
    </row>
    <row r="694" spans="1:17" x14ac:dyDescent="0.35">
      <c r="A694" t="str">
        <f>Raw_Data!A694</f>
        <v>ORD-0267</v>
      </c>
      <c r="B694" s="2">
        <f>Raw_Data!B694</f>
        <v>45911</v>
      </c>
      <c r="C694" t="str">
        <f>Raw_Data!C694</f>
        <v>North</v>
      </c>
      <c r="D694" t="str">
        <f>Raw_Data!D694</f>
        <v>Jaipur</v>
      </c>
      <c r="E694" t="str">
        <f>Raw_Data!E694</f>
        <v>Technology</v>
      </c>
      <c r="F694" t="str">
        <f>Raw_Data!F694</f>
        <v>Wireless Mouse</v>
      </c>
      <c r="G694" t="str">
        <f>Raw_Data!G694</f>
        <v>Corporate</v>
      </c>
      <c r="H694" t="str">
        <f>Raw_Data!H694</f>
        <v>In-Store</v>
      </c>
      <c r="I694">
        <f>Raw_Data!I694</f>
        <v>5</v>
      </c>
      <c r="J694" s="3">
        <f>Raw_Data!J694</f>
        <v>20.18</v>
      </c>
      <c r="K694" s="4">
        <f>Raw_Data!K694</f>
        <v>0.05</v>
      </c>
      <c r="L694" s="3">
        <f>Raw_Data!L694</f>
        <v>95.86</v>
      </c>
      <c r="M694" s="3">
        <f>Raw_Data!M694</f>
        <v>64.84</v>
      </c>
      <c r="N694" s="3">
        <f>Raw_Data!N694</f>
        <v>31.02</v>
      </c>
      <c r="O694" t="str">
        <f t="shared" si="30"/>
        <v>2025-09</v>
      </c>
      <c r="P694" s="5">
        <f t="shared" si="31"/>
        <v>0.32359691216357189</v>
      </c>
      <c r="Q694" s="3">
        <f t="shared" si="32"/>
        <v>95.86</v>
      </c>
    </row>
    <row r="695" spans="1:17" x14ac:dyDescent="0.35">
      <c r="A695" t="str">
        <f>Raw_Data!A695</f>
        <v>ORD-0710</v>
      </c>
      <c r="B695" s="2">
        <f>Raw_Data!B695</f>
        <v>45911</v>
      </c>
      <c r="C695" t="str">
        <f>Raw_Data!C695</f>
        <v>East</v>
      </c>
      <c r="D695" t="str">
        <f>Raw_Data!D695</f>
        <v>Kolkata</v>
      </c>
      <c r="E695" t="str">
        <f>Raw_Data!E695</f>
        <v>Home &amp; Kitchen</v>
      </c>
      <c r="F695" t="str">
        <f>Raw_Data!F695</f>
        <v>Storage Box</v>
      </c>
      <c r="G695" t="str">
        <f>Raw_Data!G695</f>
        <v>Corporate</v>
      </c>
      <c r="H695" t="str">
        <f>Raw_Data!H695</f>
        <v>Marketplace</v>
      </c>
      <c r="I695">
        <f>Raw_Data!I695</f>
        <v>7</v>
      </c>
      <c r="J695" s="3">
        <f>Raw_Data!J695</f>
        <v>16.100000000000001</v>
      </c>
      <c r="K695" s="4">
        <f>Raw_Data!K695</f>
        <v>0.15</v>
      </c>
      <c r="L695" s="3">
        <f>Raw_Data!L695</f>
        <v>95.8</v>
      </c>
      <c r="M695" s="3">
        <f>Raw_Data!M695</f>
        <v>61.38</v>
      </c>
      <c r="N695" s="3">
        <f>Raw_Data!N695</f>
        <v>34.42</v>
      </c>
      <c r="O695" t="str">
        <f t="shared" si="30"/>
        <v>2025-09</v>
      </c>
      <c r="P695" s="5">
        <f t="shared" si="31"/>
        <v>0.35929018789144052</v>
      </c>
      <c r="Q695" s="3">
        <f t="shared" si="32"/>
        <v>95.8</v>
      </c>
    </row>
    <row r="696" spans="1:17" x14ac:dyDescent="0.35">
      <c r="A696" t="str">
        <f>Raw_Data!A696</f>
        <v>ORD-0545</v>
      </c>
      <c r="B696" s="2">
        <f>Raw_Data!B696</f>
        <v>45912</v>
      </c>
      <c r="C696" t="str">
        <f>Raw_Data!C696</f>
        <v>South</v>
      </c>
      <c r="D696" t="str">
        <f>Raw_Data!D696</f>
        <v>Bengaluru</v>
      </c>
      <c r="E696" t="str">
        <f>Raw_Data!E696</f>
        <v>Home &amp; Kitchen</v>
      </c>
      <c r="F696" t="str">
        <f>Raw_Data!F696</f>
        <v>Lunch Box</v>
      </c>
      <c r="G696" t="str">
        <f>Raw_Data!G696</f>
        <v>Consumer</v>
      </c>
      <c r="H696" t="str">
        <f>Raw_Data!H696</f>
        <v>Online</v>
      </c>
      <c r="I696">
        <f>Raw_Data!I696</f>
        <v>3</v>
      </c>
      <c r="J696" s="3">
        <f>Raw_Data!J696</f>
        <v>23.19</v>
      </c>
      <c r="K696" s="4">
        <f>Raw_Data!K696</f>
        <v>0</v>
      </c>
      <c r="L696" s="3">
        <f>Raw_Data!L696</f>
        <v>69.569999999999993</v>
      </c>
      <c r="M696" s="3">
        <f>Raw_Data!M696</f>
        <v>48.18</v>
      </c>
      <c r="N696" s="3">
        <f>Raw_Data!N696</f>
        <v>21.39</v>
      </c>
      <c r="O696" t="str">
        <f t="shared" si="30"/>
        <v>2025-09</v>
      </c>
      <c r="P696" s="5">
        <f t="shared" si="31"/>
        <v>0.30746011211729196</v>
      </c>
      <c r="Q696" s="3">
        <f t="shared" si="32"/>
        <v>69.569999999999993</v>
      </c>
    </row>
    <row r="697" spans="1:17" x14ac:dyDescent="0.35">
      <c r="A697" t="str">
        <f>Raw_Data!A697</f>
        <v>ORD-0160</v>
      </c>
      <c r="B697" s="2">
        <f>Raw_Data!B697</f>
        <v>45912</v>
      </c>
      <c r="C697" t="str">
        <f>Raw_Data!C697</f>
        <v>North</v>
      </c>
      <c r="D697" t="str">
        <f>Raw_Data!D697</f>
        <v>Delhi</v>
      </c>
      <c r="E697" t="str">
        <f>Raw_Data!E697</f>
        <v>Home &amp; Kitchen</v>
      </c>
      <c r="F697" t="str">
        <f>Raw_Data!F697</f>
        <v>Coffee Maker</v>
      </c>
      <c r="G697" t="str">
        <f>Raw_Data!G697</f>
        <v>Small Business</v>
      </c>
      <c r="H697" t="str">
        <f>Raw_Data!H697</f>
        <v>Marketplace</v>
      </c>
      <c r="I697">
        <f>Raw_Data!I697</f>
        <v>9</v>
      </c>
      <c r="J697" s="3">
        <f>Raw_Data!J697</f>
        <v>67.92</v>
      </c>
      <c r="K697" s="4">
        <f>Raw_Data!K697</f>
        <v>0</v>
      </c>
      <c r="L697" s="3">
        <f>Raw_Data!L697</f>
        <v>611.28</v>
      </c>
      <c r="M697" s="3">
        <f>Raw_Data!M697</f>
        <v>426.75</v>
      </c>
      <c r="N697" s="3">
        <f>Raw_Data!N697</f>
        <v>184.53</v>
      </c>
      <c r="O697" t="str">
        <f t="shared" si="30"/>
        <v>2025-09</v>
      </c>
      <c r="P697" s="5">
        <f t="shared" si="31"/>
        <v>0.30187475461327051</v>
      </c>
      <c r="Q697" s="3">
        <f t="shared" si="32"/>
        <v>611.28</v>
      </c>
    </row>
    <row r="698" spans="1:17" x14ac:dyDescent="0.35">
      <c r="A698" t="str">
        <f>Raw_Data!A698</f>
        <v>ORD-0722</v>
      </c>
      <c r="B698" s="2">
        <f>Raw_Data!B698</f>
        <v>45913</v>
      </c>
      <c r="C698" t="str">
        <f>Raw_Data!C698</f>
        <v>North</v>
      </c>
      <c r="D698" t="str">
        <f>Raw_Data!D698</f>
        <v>Delhi</v>
      </c>
      <c r="E698" t="str">
        <f>Raw_Data!E698</f>
        <v>Technology</v>
      </c>
      <c r="F698" t="str">
        <f>Raw_Data!F698</f>
        <v>Headphones</v>
      </c>
      <c r="G698" t="str">
        <f>Raw_Data!G698</f>
        <v>Small Business</v>
      </c>
      <c r="H698" t="str">
        <f>Raw_Data!H698</f>
        <v>Online</v>
      </c>
      <c r="I698">
        <f>Raw_Data!I698</f>
        <v>1</v>
      </c>
      <c r="J698" s="3">
        <f>Raw_Data!J698</f>
        <v>52.22</v>
      </c>
      <c r="K698" s="4">
        <f>Raw_Data!K698</f>
        <v>0</v>
      </c>
      <c r="L698" s="3">
        <f>Raw_Data!L698</f>
        <v>52.22</v>
      </c>
      <c r="M698" s="3">
        <f>Raw_Data!M698</f>
        <v>31.24</v>
      </c>
      <c r="N698" s="3">
        <f>Raw_Data!N698</f>
        <v>20.98</v>
      </c>
      <c r="O698" t="str">
        <f t="shared" si="30"/>
        <v>2025-09</v>
      </c>
      <c r="P698" s="5">
        <f t="shared" si="31"/>
        <v>0.40176177709689775</v>
      </c>
      <c r="Q698" s="3">
        <f t="shared" si="32"/>
        <v>52.22</v>
      </c>
    </row>
    <row r="699" spans="1:17" x14ac:dyDescent="0.35">
      <c r="A699" t="str">
        <f>Raw_Data!A699</f>
        <v>ORD-0889</v>
      </c>
      <c r="B699" s="2">
        <f>Raw_Data!B699</f>
        <v>45913</v>
      </c>
      <c r="C699" t="str">
        <f>Raw_Data!C699</f>
        <v>East</v>
      </c>
      <c r="D699" t="str">
        <f>Raw_Data!D699</f>
        <v>Kolkata</v>
      </c>
      <c r="E699" t="str">
        <f>Raw_Data!E699</f>
        <v>Home &amp; Kitchen</v>
      </c>
      <c r="F699" t="str">
        <f>Raw_Data!F699</f>
        <v>Storage Box</v>
      </c>
      <c r="G699" t="str">
        <f>Raw_Data!G699</f>
        <v>Corporate</v>
      </c>
      <c r="H699" t="str">
        <f>Raw_Data!H699</f>
        <v>Marketplace</v>
      </c>
      <c r="I699">
        <f>Raw_Data!I699</f>
        <v>10</v>
      </c>
      <c r="J699" s="3">
        <f>Raw_Data!J699</f>
        <v>13.29</v>
      </c>
      <c r="K699" s="4">
        <f>Raw_Data!K699</f>
        <v>0</v>
      </c>
      <c r="L699" s="3">
        <f>Raw_Data!L699</f>
        <v>132.9</v>
      </c>
      <c r="M699" s="3">
        <f>Raw_Data!M699</f>
        <v>87.67</v>
      </c>
      <c r="N699" s="3">
        <f>Raw_Data!N699</f>
        <v>45.23</v>
      </c>
      <c r="O699" t="str">
        <f t="shared" si="30"/>
        <v>2025-09</v>
      </c>
      <c r="P699" s="5">
        <f t="shared" si="31"/>
        <v>0.3403310759969902</v>
      </c>
      <c r="Q699" s="3">
        <f t="shared" si="32"/>
        <v>132.9</v>
      </c>
    </row>
    <row r="700" spans="1:17" x14ac:dyDescent="0.35">
      <c r="A700" t="str">
        <f>Raw_Data!A700</f>
        <v>ORD-0781</v>
      </c>
      <c r="B700" s="2">
        <f>Raw_Data!B700</f>
        <v>45914</v>
      </c>
      <c r="C700" t="str">
        <f>Raw_Data!C700</f>
        <v>West</v>
      </c>
      <c r="D700" t="str">
        <f>Raw_Data!D700</f>
        <v>Mumbai</v>
      </c>
      <c r="E700" t="str">
        <f>Raw_Data!E700</f>
        <v>Office Supplies</v>
      </c>
      <c r="F700" t="str">
        <f>Raw_Data!F700</f>
        <v>Pen Set</v>
      </c>
      <c r="G700" t="str">
        <f>Raw_Data!G700</f>
        <v>Corporate</v>
      </c>
      <c r="H700" t="str">
        <f>Raw_Data!H700</f>
        <v>In-Store</v>
      </c>
      <c r="I700">
        <f>Raw_Data!I700</f>
        <v>6</v>
      </c>
      <c r="J700" s="3">
        <f>Raw_Data!J700</f>
        <v>8.31</v>
      </c>
      <c r="K700" s="4">
        <f>Raw_Data!K700</f>
        <v>0</v>
      </c>
      <c r="L700" s="3">
        <f>Raw_Data!L700</f>
        <v>49.86</v>
      </c>
      <c r="M700" s="3">
        <f>Raw_Data!M700</f>
        <v>35.630000000000003</v>
      </c>
      <c r="N700" s="3">
        <f>Raw_Data!N700</f>
        <v>14.23</v>
      </c>
      <c r="O700" t="str">
        <f t="shared" si="30"/>
        <v>2025-09</v>
      </c>
      <c r="P700" s="5">
        <f t="shared" si="31"/>
        <v>0.28539911752908143</v>
      </c>
      <c r="Q700" s="3">
        <f t="shared" si="32"/>
        <v>49.86</v>
      </c>
    </row>
    <row r="701" spans="1:17" x14ac:dyDescent="0.35">
      <c r="A701" t="str">
        <f>Raw_Data!A701</f>
        <v>ORD-0238</v>
      </c>
      <c r="B701" s="2">
        <f>Raw_Data!B701</f>
        <v>45914</v>
      </c>
      <c r="C701" t="str">
        <f>Raw_Data!C701</f>
        <v>West</v>
      </c>
      <c r="D701" t="str">
        <f>Raw_Data!D701</f>
        <v>Ahmedabad</v>
      </c>
      <c r="E701" t="str">
        <f>Raw_Data!E701</f>
        <v>Furniture</v>
      </c>
      <c r="F701" t="str">
        <f>Raw_Data!F701</f>
        <v>Office Chair</v>
      </c>
      <c r="G701" t="str">
        <f>Raw_Data!G701</f>
        <v>Small Business</v>
      </c>
      <c r="H701" t="str">
        <f>Raw_Data!H701</f>
        <v>Online</v>
      </c>
      <c r="I701">
        <f>Raw_Data!I701</f>
        <v>2</v>
      </c>
      <c r="J701" s="3">
        <f>Raw_Data!J701</f>
        <v>145.43</v>
      </c>
      <c r="K701" s="4">
        <f>Raw_Data!K701</f>
        <v>0</v>
      </c>
      <c r="L701" s="3">
        <f>Raw_Data!L701</f>
        <v>290.86</v>
      </c>
      <c r="M701" s="3">
        <f>Raw_Data!M701</f>
        <v>169.33</v>
      </c>
      <c r="N701" s="3">
        <f>Raw_Data!N701</f>
        <v>121.53</v>
      </c>
      <c r="O701" t="str">
        <f t="shared" si="30"/>
        <v>2025-09</v>
      </c>
      <c r="P701" s="5">
        <f t="shared" si="31"/>
        <v>0.41782988379289004</v>
      </c>
      <c r="Q701" s="3">
        <f t="shared" si="32"/>
        <v>290.86</v>
      </c>
    </row>
    <row r="702" spans="1:17" x14ac:dyDescent="0.35">
      <c r="A702" t="str">
        <f>Raw_Data!A702</f>
        <v>ORD-0137</v>
      </c>
      <c r="B702" s="2">
        <f>Raw_Data!B702</f>
        <v>45914</v>
      </c>
      <c r="C702" t="str">
        <f>Raw_Data!C702</f>
        <v>North</v>
      </c>
      <c r="D702" t="str">
        <f>Raw_Data!D702</f>
        <v>Delhi</v>
      </c>
      <c r="E702" t="str">
        <f>Raw_Data!E702</f>
        <v>Office Supplies</v>
      </c>
      <c r="F702" t="str">
        <f>Raw_Data!F702</f>
        <v>Notebook Pack</v>
      </c>
      <c r="G702" t="str">
        <f>Raw_Data!G702</f>
        <v>Corporate</v>
      </c>
      <c r="H702" t="str">
        <f>Raw_Data!H702</f>
        <v>Marketplace</v>
      </c>
      <c r="I702">
        <f>Raw_Data!I702</f>
        <v>8</v>
      </c>
      <c r="J702" s="3">
        <f>Raw_Data!J702</f>
        <v>10.63</v>
      </c>
      <c r="K702" s="4">
        <f>Raw_Data!K702</f>
        <v>0.05</v>
      </c>
      <c r="L702" s="3">
        <f>Raw_Data!L702</f>
        <v>80.790000000000006</v>
      </c>
      <c r="M702" s="3">
        <f>Raw_Data!M702</f>
        <v>65.88</v>
      </c>
      <c r="N702" s="3">
        <f>Raw_Data!N702</f>
        <v>14.91</v>
      </c>
      <c r="O702" t="str">
        <f t="shared" si="30"/>
        <v>2025-09</v>
      </c>
      <c r="P702" s="5">
        <f t="shared" si="31"/>
        <v>0.18455254363163756</v>
      </c>
      <c r="Q702" s="3">
        <f t="shared" si="32"/>
        <v>80.790000000000006</v>
      </c>
    </row>
    <row r="703" spans="1:17" x14ac:dyDescent="0.35">
      <c r="A703" t="str">
        <f>Raw_Data!A703</f>
        <v>ORD-0457</v>
      </c>
      <c r="B703" s="2">
        <f>Raw_Data!B703</f>
        <v>45915</v>
      </c>
      <c r="C703" t="str">
        <f>Raw_Data!C703</f>
        <v>West</v>
      </c>
      <c r="D703" t="str">
        <f>Raw_Data!D703</f>
        <v>Mumbai</v>
      </c>
      <c r="E703" t="str">
        <f>Raw_Data!E703</f>
        <v>Furniture</v>
      </c>
      <c r="F703" t="str">
        <f>Raw_Data!F703</f>
        <v>Standing Desk</v>
      </c>
      <c r="G703" t="str">
        <f>Raw_Data!G703</f>
        <v>Small Business</v>
      </c>
      <c r="H703" t="str">
        <f>Raw_Data!H703</f>
        <v>Marketplace</v>
      </c>
      <c r="I703">
        <f>Raw_Data!I703</f>
        <v>11</v>
      </c>
      <c r="J703" s="3">
        <f>Raw_Data!J703</f>
        <v>291.61</v>
      </c>
      <c r="K703" s="4">
        <f>Raw_Data!K703</f>
        <v>0.1</v>
      </c>
      <c r="L703" s="3">
        <f>Raw_Data!L703</f>
        <v>2886.94</v>
      </c>
      <c r="M703" s="3">
        <f>Raw_Data!M703</f>
        <v>2479.41</v>
      </c>
      <c r="N703" s="3">
        <f>Raw_Data!N703</f>
        <v>407.53</v>
      </c>
      <c r="O703" t="str">
        <f t="shared" si="30"/>
        <v>2025-09</v>
      </c>
      <c r="P703" s="5">
        <f t="shared" si="31"/>
        <v>0.14116330786230402</v>
      </c>
      <c r="Q703" s="3">
        <f t="shared" si="32"/>
        <v>2886.94</v>
      </c>
    </row>
    <row r="704" spans="1:17" x14ac:dyDescent="0.35">
      <c r="A704" t="str">
        <f>Raw_Data!A704</f>
        <v>ORD-0297</v>
      </c>
      <c r="B704" s="2">
        <f>Raw_Data!B704</f>
        <v>45915</v>
      </c>
      <c r="C704" t="str">
        <f>Raw_Data!C704</f>
        <v>North</v>
      </c>
      <c r="D704" t="str">
        <f>Raw_Data!D704</f>
        <v>Chandigarh</v>
      </c>
      <c r="E704" t="str">
        <f>Raw_Data!E704</f>
        <v>Technology</v>
      </c>
      <c r="F704" t="str">
        <f>Raw_Data!F704</f>
        <v>Keyboard</v>
      </c>
      <c r="G704" t="str">
        <f>Raw_Data!G704</f>
        <v>Small Business</v>
      </c>
      <c r="H704" t="str">
        <f>Raw_Data!H704</f>
        <v>In-Store</v>
      </c>
      <c r="I704">
        <f>Raw_Data!I704</f>
        <v>4</v>
      </c>
      <c r="J704" s="3">
        <f>Raw_Data!J704</f>
        <v>36.21</v>
      </c>
      <c r="K704" s="4">
        <f>Raw_Data!K704</f>
        <v>0</v>
      </c>
      <c r="L704" s="3">
        <f>Raw_Data!L704</f>
        <v>144.84</v>
      </c>
      <c r="M704" s="3">
        <f>Raw_Data!M704</f>
        <v>110.98</v>
      </c>
      <c r="N704" s="3">
        <f>Raw_Data!N704</f>
        <v>33.86</v>
      </c>
      <c r="O704" t="str">
        <f t="shared" si="30"/>
        <v>2025-09</v>
      </c>
      <c r="P704" s="5">
        <f t="shared" si="31"/>
        <v>0.23377520022093343</v>
      </c>
      <c r="Q704" s="3">
        <f t="shared" si="32"/>
        <v>144.84</v>
      </c>
    </row>
    <row r="705" spans="1:17" x14ac:dyDescent="0.35">
      <c r="A705" t="str">
        <f>Raw_Data!A705</f>
        <v>ORD-0943</v>
      </c>
      <c r="B705" s="2">
        <f>Raw_Data!B705</f>
        <v>45915</v>
      </c>
      <c r="C705" t="str">
        <f>Raw_Data!C705</f>
        <v>North</v>
      </c>
      <c r="D705" t="str">
        <f>Raw_Data!D705</f>
        <v>Jaipur</v>
      </c>
      <c r="E705" t="str">
        <f>Raw_Data!E705</f>
        <v>Technology</v>
      </c>
      <c r="F705" t="str">
        <f>Raw_Data!F705</f>
        <v>Keyboard</v>
      </c>
      <c r="G705" t="str">
        <f>Raw_Data!G705</f>
        <v>Corporate</v>
      </c>
      <c r="H705" t="str">
        <f>Raw_Data!H705</f>
        <v>Online</v>
      </c>
      <c r="I705">
        <f>Raw_Data!I705</f>
        <v>10</v>
      </c>
      <c r="J705" s="3">
        <f>Raw_Data!J705</f>
        <v>30.27</v>
      </c>
      <c r="K705" s="4">
        <f>Raw_Data!K705</f>
        <v>0</v>
      </c>
      <c r="L705" s="3">
        <f>Raw_Data!L705</f>
        <v>302.7</v>
      </c>
      <c r="M705" s="3">
        <f>Raw_Data!M705</f>
        <v>171.6</v>
      </c>
      <c r="N705" s="3">
        <f>Raw_Data!N705</f>
        <v>131.1</v>
      </c>
      <c r="O705" t="str">
        <f t="shared" si="30"/>
        <v>2025-09</v>
      </c>
      <c r="P705" s="5">
        <f t="shared" si="31"/>
        <v>0.43310208126858274</v>
      </c>
      <c r="Q705" s="3">
        <f t="shared" si="32"/>
        <v>302.7</v>
      </c>
    </row>
    <row r="706" spans="1:17" x14ac:dyDescent="0.35">
      <c r="A706" t="str">
        <f>Raw_Data!A706</f>
        <v>ORD-0861</v>
      </c>
      <c r="B706" s="2">
        <f>Raw_Data!B706</f>
        <v>45916</v>
      </c>
      <c r="C706" t="str">
        <f>Raw_Data!C706</f>
        <v>North</v>
      </c>
      <c r="D706" t="str">
        <f>Raw_Data!D706</f>
        <v>Jaipur</v>
      </c>
      <c r="E706" t="str">
        <f>Raw_Data!E706</f>
        <v>Home &amp; Kitchen</v>
      </c>
      <c r="F706" t="str">
        <f>Raw_Data!F706</f>
        <v>Storage Box</v>
      </c>
      <c r="G706" t="str">
        <f>Raw_Data!G706</f>
        <v>Small Business</v>
      </c>
      <c r="H706" t="str">
        <f>Raw_Data!H706</f>
        <v>Marketplace</v>
      </c>
      <c r="I706">
        <f>Raw_Data!I706</f>
        <v>8</v>
      </c>
      <c r="J706" s="3">
        <f>Raw_Data!J706</f>
        <v>12</v>
      </c>
      <c r="K706" s="4">
        <f>Raw_Data!K706</f>
        <v>0.1</v>
      </c>
      <c r="L706" s="3">
        <f>Raw_Data!L706</f>
        <v>86.4</v>
      </c>
      <c r="M706" s="3">
        <f>Raw_Data!M706</f>
        <v>58.39</v>
      </c>
      <c r="N706" s="3">
        <f>Raw_Data!N706</f>
        <v>28.01</v>
      </c>
      <c r="O706" t="str">
        <f t="shared" ref="O706:O769" si="33">TEXT(B706,"yyyy-mm")</f>
        <v>2025-09</v>
      </c>
      <c r="P706" s="5">
        <f t="shared" ref="P706:P769" si="34">IFERROR(N706/L706,0)</f>
        <v>0.32418981481481479</v>
      </c>
      <c r="Q706" s="3">
        <f t="shared" ref="Q706:Q769" si="35">IFERROR(L706,0)</f>
        <v>86.4</v>
      </c>
    </row>
    <row r="707" spans="1:17" x14ac:dyDescent="0.35">
      <c r="A707" t="str">
        <f>Raw_Data!A707</f>
        <v>ORD-0508</v>
      </c>
      <c r="B707" s="2">
        <f>Raw_Data!B707</f>
        <v>45916</v>
      </c>
      <c r="C707" t="str">
        <f>Raw_Data!C707</f>
        <v>East</v>
      </c>
      <c r="D707" t="str">
        <f>Raw_Data!D707</f>
        <v>Guwahati</v>
      </c>
      <c r="E707" t="str">
        <f>Raw_Data!E707</f>
        <v>Technology</v>
      </c>
      <c r="F707" t="str">
        <f>Raw_Data!F707</f>
        <v>Keyboard</v>
      </c>
      <c r="G707" t="str">
        <f>Raw_Data!G707</f>
        <v>Consumer</v>
      </c>
      <c r="H707" t="str">
        <f>Raw_Data!H707</f>
        <v>In-Store</v>
      </c>
      <c r="I707">
        <f>Raw_Data!I707</f>
        <v>7</v>
      </c>
      <c r="J707" s="3">
        <f>Raw_Data!J707</f>
        <v>30.45</v>
      </c>
      <c r="K707" s="4">
        <f>Raw_Data!K707</f>
        <v>0.1</v>
      </c>
      <c r="L707" s="3">
        <f>Raw_Data!L707</f>
        <v>191.84</v>
      </c>
      <c r="M707" s="3">
        <f>Raw_Data!M707</f>
        <v>111.78</v>
      </c>
      <c r="N707" s="3">
        <f>Raw_Data!N707</f>
        <v>80.06</v>
      </c>
      <c r="O707" t="str">
        <f t="shared" si="33"/>
        <v>2025-09</v>
      </c>
      <c r="P707" s="5">
        <f t="shared" si="34"/>
        <v>0.41732693911592994</v>
      </c>
      <c r="Q707" s="3">
        <f t="shared" si="35"/>
        <v>191.84</v>
      </c>
    </row>
    <row r="708" spans="1:17" x14ac:dyDescent="0.35">
      <c r="A708" t="str">
        <f>Raw_Data!A708</f>
        <v>ORD-0785</v>
      </c>
      <c r="B708" s="2">
        <f>Raw_Data!B708</f>
        <v>45916</v>
      </c>
      <c r="C708" t="str">
        <f>Raw_Data!C708</f>
        <v>East</v>
      </c>
      <c r="D708" t="str">
        <f>Raw_Data!D708</f>
        <v>Bhubaneswar</v>
      </c>
      <c r="E708" t="str">
        <f>Raw_Data!E708</f>
        <v>Furniture</v>
      </c>
      <c r="F708" t="str">
        <f>Raw_Data!F708</f>
        <v>Bookshelf</v>
      </c>
      <c r="G708" t="str">
        <f>Raw_Data!G708</f>
        <v>Small Business</v>
      </c>
      <c r="H708" t="str">
        <f>Raw_Data!H708</f>
        <v>Online</v>
      </c>
      <c r="I708">
        <f>Raw_Data!I708</f>
        <v>11</v>
      </c>
      <c r="J708" s="3">
        <f>Raw_Data!J708</f>
        <v>103.56</v>
      </c>
      <c r="K708" s="4">
        <f>Raw_Data!K708</f>
        <v>0.1</v>
      </c>
      <c r="L708" s="3">
        <f>Raw_Data!L708</f>
        <v>1025.24</v>
      </c>
      <c r="M708" s="3">
        <f>Raw_Data!M708</f>
        <v>640.1</v>
      </c>
      <c r="N708" s="3">
        <f>Raw_Data!N708</f>
        <v>385.14</v>
      </c>
      <c r="O708" t="str">
        <f t="shared" si="33"/>
        <v>2025-09</v>
      </c>
      <c r="P708" s="5">
        <f t="shared" si="34"/>
        <v>0.37565838242752914</v>
      </c>
      <c r="Q708" s="3">
        <f t="shared" si="35"/>
        <v>1025.24</v>
      </c>
    </row>
    <row r="709" spans="1:17" x14ac:dyDescent="0.35">
      <c r="A709" t="str">
        <f>Raw_Data!A709</f>
        <v>ORD-0142</v>
      </c>
      <c r="B709" s="2">
        <f>Raw_Data!B709</f>
        <v>45918</v>
      </c>
      <c r="C709" t="str">
        <f>Raw_Data!C709</f>
        <v>West</v>
      </c>
      <c r="D709" t="str">
        <f>Raw_Data!D709</f>
        <v>Mumbai</v>
      </c>
      <c r="E709" t="str">
        <f>Raw_Data!E709</f>
        <v>Furniture</v>
      </c>
      <c r="F709" t="str">
        <f>Raw_Data!F709</f>
        <v>Office Chair</v>
      </c>
      <c r="G709" t="str">
        <f>Raw_Data!G709</f>
        <v>Consumer</v>
      </c>
      <c r="H709" t="str">
        <f>Raw_Data!H709</f>
        <v>Online</v>
      </c>
      <c r="I709">
        <f>Raw_Data!I709</f>
        <v>6</v>
      </c>
      <c r="J709" s="3">
        <f>Raw_Data!J709</f>
        <v>138.91999999999999</v>
      </c>
      <c r="K709" s="4">
        <f>Raw_Data!K709</f>
        <v>0</v>
      </c>
      <c r="L709" s="3">
        <f>Raw_Data!L709</f>
        <v>833.52</v>
      </c>
      <c r="M709" s="3">
        <f>Raw_Data!M709</f>
        <v>485.54</v>
      </c>
      <c r="N709" s="3">
        <f>Raw_Data!N709</f>
        <v>347.98</v>
      </c>
      <c r="O709" t="str">
        <f t="shared" si="33"/>
        <v>2025-09</v>
      </c>
      <c r="P709" s="5">
        <f t="shared" si="34"/>
        <v>0.41748248392360116</v>
      </c>
      <c r="Q709" s="3">
        <f t="shared" si="35"/>
        <v>833.52</v>
      </c>
    </row>
    <row r="710" spans="1:17" x14ac:dyDescent="0.35">
      <c r="A710" t="str">
        <f>Raw_Data!A710</f>
        <v>ORD-0087</v>
      </c>
      <c r="B710" s="2">
        <f>Raw_Data!B710</f>
        <v>45918</v>
      </c>
      <c r="C710" t="str">
        <f>Raw_Data!C710</f>
        <v>East</v>
      </c>
      <c r="D710" t="str">
        <f>Raw_Data!D710</f>
        <v>Guwahati</v>
      </c>
      <c r="E710" t="str">
        <f>Raw_Data!E710</f>
        <v>Office Supplies</v>
      </c>
      <c r="F710" t="str">
        <f>Raw_Data!F710</f>
        <v>Notebook Pack</v>
      </c>
      <c r="G710" t="str">
        <f>Raw_Data!G710</f>
        <v>Consumer</v>
      </c>
      <c r="H710" t="str">
        <f>Raw_Data!H710</f>
        <v>In-Store</v>
      </c>
      <c r="I710">
        <f>Raw_Data!I710</f>
        <v>5</v>
      </c>
      <c r="J710" s="3">
        <f>Raw_Data!J710</f>
        <v>13.45</v>
      </c>
      <c r="K710" s="4">
        <f>Raw_Data!K710</f>
        <v>0.1</v>
      </c>
      <c r="L710" s="3">
        <f>Raw_Data!L710</f>
        <v>60.52</v>
      </c>
      <c r="M710" s="3">
        <f>Raw_Data!M710</f>
        <v>39.14</v>
      </c>
      <c r="N710" s="3">
        <f>Raw_Data!N710</f>
        <v>21.38</v>
      </c>
      <c r="O710" t="str">
        <f t="shared" si="33"/>
        <v>2025-09</v>
      </c>
      <c r="P710" s="5">
        <f t="shared" si="34"/>
        <v>0.35327164573694642</v>
      </c>
      <c r="Q710" s="3">
        <f t="shared" si="35"/>
        <v>60.52</v>
      </c>
    </row>
    <row r="711" spans="1:17" x14ac:dyDescent="0.35">
      <c r="A711" t="str">
        <f>Raw_Data!A711</f>
        <v>ORD-0565</v>
      </c>
      <c r="B711" s="2">
        <f>Raw_Data!B711</f>
        <v>45918</v>
      </c>
      <c r="C711" t="str">
        <f>Raw_Data!C711</f>
        <v>North</v>
      </c>
      <c r="D711" t="str">
        <f>Raw_Data!D711</f>
        <v>Chandigarh</v>
      </c>
      <c r="E711" t="str">
        <f>Raw_Data!E711</f>
        <v>Technology</v>
      </c>
      <c r="F711" t="str">
        <f>Raw_Data!F711</f>
        <v>USB Hub</v>
      </c>
      <c r="G711" t="str">
        <f>Raw_Data!G711</f>
        <v>Small Business</v>
      </c>
      <c r="H711" t="str">
        <f>Raw_Data!H711</f>
        <v>Marketplace</v>
      </c>
      <c r="I711">
        <f>Raw_Data!I711</f>
        <v>12</v>
      </c>
      <c r="J711" s="3">
        <f>Raw_Data!J711</f>
        <v>27.09</v>
      </c>
      <c r="K711" s="4">
        <f>Raw_Data!K711</f>
        <v>0.05</v>
      </c>
      <c r="L711" s="3">
        <f>Raw_Data!L711</f>
        <v>308.83</v>
      </c>
      <c r="M711" s="3">
        <f>Raw_Data!M711</f>
        <v>210.28</v>
      </c>
      <c r="N711" s="3">
        <f>Raw_Data!N711</f>
        <v>98.55</v>
      </c>
      <c r="O711" t="str">
        <f t="shared" si="33"/>
        <v>2025-09</v>
      </c>
      <c r="P711" s="5">
        <f t="shared" si="34"/>
        <v>0.31910759965029306</v>
      </c>
      <c r="Q711" s="3">
        <f t="shared" si="35"/>
        <v>308.83</v>
      </c>
    </row>
    <row r="712" spans="1:17" x14ac:dyDescent="0.35">
      <c r="A712" t="str">
        <f>Raw_Data!A712</f>
        <v>ORD-0919</v>
      </c>
      <c r="B712" s="2">
        <f>Raw_Data!B712</f>
        <v>45918</v>
      </c>
      <c r="C712" t="str">
        <f>Raw_Data!C712</f>
        <v>West</v>
      </c>
      <c r="D712" t="str">
        <f>Raw_Data!D712</f>
        <v>Mumbai</v>
      </c>
      <c r="E712" t="str">
        <f>Raw_Data!E712</f>
        <v>Office Supplies</v>
      </c>
      <c r="F712" t="str">
        <f>Raw_Data!F712</f>
        <v>Printer Paper</v>
      </c>
      <c r="G712" t="str">
        <f>Raw_Data!G712</f>
        <v>Consumer</v>
      </c>
      <c r="H712" t="str">
        <f>Raw_Data!H712</f>
        <v>Marketplace</v>
      </c>
      <c r="I712">
        <f>Raw_Data!I712</f>
        <v>8</v>
      </c>
      <c r="J712" s="3">
        <f>Raw_Data!J712</f>
        <v>15.45</v>
      </c>
      <c r="K712" s="4">
        <f>Raw_Data!K712</f>
        <v>0.15</v>
      </c>
      <c r="L712" s="3">
        <f>Raw_Data!L712</f>
        <v>105.06</v>
      </c>
      <c r="M712" s="3">
        <f>Raw_Data!M712</f>
        <v>85.21</v>
      </c>
      <c r="N712" s="3">
        <f>Raw_Data!N712</f>
        <v>19.850000000000001</v>
      </c>
      <c r="O712" t="str">
        <f t="shared" si="33"/>
        <v>2025-09</v>
      </c>
      <c r="P712" s="5">
        <f t="shared" si="34"/>
        <v>0.18893965353131545</v>
      </c>
      <c r="Q712" s="3">
        <f t="shared" si="35"/>
        <v>105.06</v>
      </c>
    </row>
    <row r="713" spans="1:17" x14ac:dyDescent="0.35">
      <c r="A713" t="str">
        <f>Raw_Data!A713</f>
        <v>ORD-0721</v>
      </c>
      <c r="B713" s="2">
        <f>Raw_Data!B713</f>
        <v>45918</v>
      </c>
      <c r="C713" t="str">
        <f>Raw_Data!C713</f>
        <v>South</v>
      </c>
      <c r="D713" t="str">
        <f>Raw_Data!D713</f>
        <v>Bengaluru</v>
      </c>
      <c r="E713" t="str">
        <f>Raw_Data!E713</f>
        <v>Furniture</v>
      </c>
      <c r="F713" t="str">
        <f>Raw_Data!F713</f>
        <v>Desk Lamp</v>
      </c>
      <c r="G713" t="str">
        <f>Raw_Data!G713</f>
        <v>Small Business</v>
      </c>
      <c r="H713" t="str">
        <f>Raw_Data!H713</f>
        <v>Online</v>
      </c>
      <c r="I713">
        <f>Raw_Data!I713</f>
        <v>10</v>
      </c>
      <c r="J713" s="3">
        <f>Raw_Data!J713</f>
        <v>45.57</v>
      </c>
      <c r="K713" s="4">
        <f>Raw_Data!K713</f>
        <v>0</v>
      </c>
      <c r="L713" s="3">
        <f>Raw_Data!L713</f>
        <v>455.7</v>
      </c>
      <c r="M713" s="3">
        <f>Raw_Data!M713</f>
        <v>290.64999999999998</v>
      </c>
      <c r="N713" s="3">
        <f>Raw_Data!N713</f>
        <v>165.05</v>
      </c>
      <c r="O713" t="str">
        <f t="shared" si="33"/>
        <v>2025-09</v>
      </c>
      <c r="P713" s="5">
        <f t="shared" si="34"/>
        <v>0.36219003730524474</v>
      </c>
      <c r="Q713" s="3">
        <f t="shared" si="35"/>
        <v>455.7</v>
      </c>
    </row>
    <row r="714" spans="1:17" x14ac:dyDescent="0.35">
      <c r="A714" t="str">
        <f>Raw_Data!A714</f>
        <v>ORD-0803</v>
      </c>
      <c r="B714" s="2">
        <f>Raw_Data!B714</f>
        <v>45918</v>
      </c>
      <c r="C714" t="str">
        <f>Raw_Data!C714</f>
        <v>South</v>
      </c>
      <c r="D714" t="str">
        <f>Raw_Data!D714</f>
        <v>Bengaluru</v>
      </c>
      <c r="E714" t="str">
        <f>Raw_Data!E714</f>
        <v>Furniture</v>
      </c>
      <c r="F714" t="str">
        <f>Raw_Data!F714</f>
        <v>Bookshelf</v>
      </c>
      <c r="G714" t="str">
        <f>Raw_Data!G714</f>
        <v>Consumer</v>
      </c>
      <c r="H714" t="str">
        <f>Raw_Data!H714</f>
        <v>Online</v>
      </c>
      <c r="I714">
        <f>Raw_Data!I714</f>
        <v>7</v>
      </c>
      <c r="J714" s="3">
        <f>Raw_Data!J714</f>
        <v>112.03</v>
      </c>
      <c r="K714" s="4">
        <f>Raw_Data!K714</f>
        <v>0.15</v>
      </c>
      <c r="L714" s="3">
        <f>Raw_Data!L714</f>
        <v>666.58</v>
      </c>
      <c r="M714" s="3">
        <f>Raw_Data!M714</f>
        <v>481.02</v>
      </c>
      <c r="N714" s="3">
        <f>Raw_Data!N714</f>
        <v>185.56</v>
      </c>
      <c r="O714" t="str">
        <f t="shared" si="33"/>
        <v>2025-09</v>
      </c>
      <c r="P714" s="5">
        <f t="shared" si="34"/>
        <v>0.27837618890455756</v>
      </c>
      <c r="Q714" s="3">
        <f t="shared" si="35"/>
        <v>666.58</v>
      </c>
    </row>
    <row r="715" spans="1:17" x14ac:dyDescent="0.35">
      <c r="A715" t="str">
        <f>Raw_Data!A715</f>
        <v>ORD-0423</v>
      </c>
      <c r="B715" s="2">
        <f>Raw_Data!B715</f>
        <v>45919</v>
      </c>
      <c r="C715" t="str">
        <f>Raw_Data!C715</f>
        <v>South</v>
      </c>
      <c r="D715" t="str">
        <f>Raw_Data!D715</f>
        <v>Chennai</v>
      </c>
      <c r="E715" t="str">
        <f>Raw_Data!E715</f>
        <v>Technology</v>
      </c>
      <c r="F715" t="str">
        <f>Raw_Data!F715</f>
        <v>USB Hub</v>
      </c>
      <c r="G715" t="str">
        <f>Raw_Data!G715</f>
        <v>Corporate</v>
      </c>
      <c r="H715" t="str">
        <f>Raw_Data!H715</f>
        <v>Online</v>
      </c>
      <c r="I715">
        <f>Raw_Data!I715</f>
        <v>6</v>
      </c>
      <c r="J715" s="3">
        <f>Raw_Data!J715</f>
        <v>24.62</v>
      </c>
      <c r="K715" s="4">
        <f>Raw_Data!K715</f>
        <v>0</v>
      </c>
      <c r="L715" s="3">
        <f>Raw_Data!L715</f>
        <v>147.72</v>
      </c>
      <c r="M715" s="3">
        <f>Raw_Data!M715</f>
        <v>108.48</v>
      </c>
      <c r="N715" s="3">
        <f>Raw_Data!N715</f>
        <v>39.24</v>
      </c>
      <c r="O715" t="str">
        <f t="shared" si="33"/>
        <v>2025-09</v>
      </c>
      <c r="P715" s="5">
        <f t="shared" si="34"/>
        <v>0.26563769293257516</v>
      </c>
      <c r="Q715" s="3">
        <f t="shared" si="35"/>
        <v>147.72</v>
      </c>
    </row>
    <row r="716" spans="1:17" x14ac:dyDescent="0.35">
      <c r="A716" t="str">
        <f>Raw_Data!A716</f>
        <v>ORD-0535</v>
      </c>
      <c r="B716" s="2">
        <f>Raw_Data!B716</f>
        <v>45919</v>
      </c>
      <c r="C716" t="str">
        <f>Raw_Data!C716</f>
        <v>South</v>
      </c>
      <c r="D716" t="str">
        <f>Raw_Data!D716</f>
        <v>Bengaluru</v>
      </c>
      <c r="E716" t="str">
        <f>Raw_Data!E716</f>
        <v>Office Supplies</v>
      </c>
      <c r="F716" t="str">
        <f>Raw_Data!F716</f>
        <v>Printer Paper</v>
      </c>
      <c r="G716" t="str">
        <f>Raw_Data!G716</f>
        <v>Consumer</v>
      </c>
      <c r="H716" t="str">
        <f>Raw_Data!H716</f>
        <v>Online</v>
      </c>
      <c r="I716">
        <f>Raw_Data!I716</f>
        <v>9</v>
      </c>
      <c r="J716" s="3">
        <f>Raw_Data!J716</f>
        <v>14.75</v>
      </c>
      <c r="K716" s="4">
        <f>Raw_Data!K716</f>
        <v>0</v>
      </c>
      <c r="L716" s="3">
        <f>Raw_Data!L716</f>
        <v>132.75</v>
      </c>
      <c r="M716" s="3">
        <f>Raw_Data!M716</f>
        <v>100.05</v>
      </c>
      <c r="N716" s="3">
        <f>Raw_Data!N716</f>
        <v>32.700000000000003</v>
      </c>
      <c r="O716" t="str">
        <f t="shared" si="33"/>
        <v>2025-09</v>
      </c>
      <c r="P716" s="5">
        <f t="shared" si="34"/>
        <v>0.24632768361581922</v>
      </c>
      <c r="Q716" s="3">
        <f t="shared" si="35"/>
        <v>132.75</v>
      </c>
    </row>
    <row r="717" spans="1:17" x14ac:dyDescent="0.35">
      <c r="A717" t="str">
        <f>Raw_Data!A717</f>
        <v>ORD-0352</v>
      </c>
      <c r="B717" s="2">
        <f>Raw_Data!B717</f>
        <v>45919</v>
      </c>
      <c r="C717" t="str">
        <f>Raw_Data!C717</f>
        <v>East</v>
      </c>
      <c r="D717" t="str">
        <f>Raw_Data!D717</f>
        <v>Bhubaneswar</v>
      </c>
      <c r="E717" t="str">
        <f>Raw_Data!E717</f>
        <v>Furniture</v>
      </c>
      <c r="F717" t="str">
        <f>Raw_Data!F717</f>
        <v>Bookshelf</v>
      </c>
      <c r="G717" t="str">
        <f>Raw_Data!G717</f>
        <v>Corporate</v>
      </c>
      <c r="H717" t="str">
        <f>Raw_Data!H717</f>
        <v>In-Store</v>
      </c>
      <c r="I717">
        <f>Raw_Data!I717</f>
        <v>5</v>
      </c>
      <c r="J717" s="3">
        <f>Raw_Data!J717</f>
        <v>119.85</v>
      </c>
      <c r="K717" s="4">
        <f>Raw_Data!K717</f>
        <v>0.1</v>
      </c>
      <c r="L717" s="3">
        <f>Raw_Data!L717</f>
        <v>539.33000000000004</v>
      </c>
      <c r="M717" s="3">
        <f>Raw_Data!M717</f>
        <v>299.12</v>
      </c>
      <c r="N717" s="3">
        <f>Raw_Data!N717</f>
        <v>240.21</v>
      </c>
      <c r="O717" t="str">
        <f t="shared" si="33"/>
        <v>2025-09</v>
      </c>
      <c r="P717" s="5">
        <f t="shared" si="34"/>
        <v>0.44538594181669849</v>
      </c>
      <c r="Q717" s="3">
        <f t="shared" si="35"/>
        <v>539.33000000000004</v>
      </c>
    </row>
    <row r="718" spans="1:17" x14ac:dyDescent="0.35">
      <c r="A718" t="str">
        <f>Raw_Data!A718</f>
        <v>ORD-0503</v>
      </c>
      <c r="B718" s="2">
        <f>Raw_Data!B718</f>
        <v>45919</v>
      </c>
      <c r="C718" t="str">
        <f>Raw_Data!C718</f>
        <v>East</v>
      </c>
      <c r="D718" t="str">
        <f>Raw_Data!D718</f>
        <v>Kolkata</v>
      </c>
      <c r="E718" t="str">
        <f>Raw_Data!E718</f>
        <v>Office Supplies</v>
      </c>
      <c r="F718" t="str">
        <f>Raw_Data!F718</f>
        <v>Notebook Pack</v>
      </c>
      <c r="G718" t="str">
        <f>Raw_Data!G718</f>
        <v>Corporate</v>
      </c>
      <c r="H718" t="str">
        <f>Raw_Data!H718</f>
        <v>Online</v>
      </c>
      <c r="I718">
        <f>Raw_Data!I718</f>
        <v>1</v>
      </c>
      <c r="J718" s="3">
        <f>Raw_Data!J718</f>
        <v>12.13</v>
      </c>
      <c r="K718" s="4">
        <f>Raw_Data!K718</f>
        <v>0</v>
      </c>
      <c r="L718" s="3">
        <f>Raw_Data!L718</f>
        <v>12.13</v>
      </c>
      <c r="M718" s="3">
        <f>Raw_Data!M718</f>
        <v>6.33</v>
      </c>
      <c r="N718" s="3">
        <f>Raw_Data!N718</f>
        <v>5.8</v>
      </c>
      <c r="O718" t="str">
        <f t="shared" si="33"/>
        <v>2025-09</v>
      </c>
      <c r="P718" s="5">
        <f t="shared" si="34"/>
        <v>0.47815333882934868</v>
      </c>
      <c r="Q718" s="3">
        <f t="shared" si="35"/>
        <v>12.13</v>
      </c>
    </row>
    <row r="719" spans="1:17" x14ac:dyDescent="0.35">
      <c r="A719" t="str">
        <f>Raw_Data!A719</f>
        <v>ORD-0209</v>
      </c>
      <c r="B719" s="2">
        <f>Raw_Data!B719</f>
        <v>45920</v>
      </c>
      <c r="C719" t="str">
        <f>Raw_Data!C719</f>
        <v>East</v>
      </c>
      <c r="D719" t="str">
        <f>Raw_Data!D719</f>
        <v>Bhubaneswar</v>
      </c>
      <c r="E719" t="str">
        <f>Raw_Data!E719</f>
        <v>Home &amp; Kitchen</v>
      </c>
      <c r="F719" t="str">
        <f>Raw_Data!F719</f>
        <v>Lunch Box</v>
      </c>
      <c r="G719" t="str">
        <f>Raw_Data!G719</f>
        <v>Corporate</v>
      </c>
      <c r="H719" t="str">
        <f>Raw_Data!H719</f>
        <v>Online</v>
      </c>
      <c r="I719">
        <f>Raw_Data!I719</f>
        <v>10</v>
      </c>
      <c r="J719" s="3">
        <f>Raw_Data!J719</f>
        <v>17.399999999999999</v>
      </c>
      <c r="K719" s="4">
        <f>Raw_Data!K719</f>
        <v>0.1</v>
      </c>
      <c r="L719" s="3">
        <f>Raw_Data!L719</f>
        <v>156.6</v>
      </c>
      <c r="M719" s="3">
        <f>Raw_Data!M719</f>
        <v>118.64</v>
      </c>
      <c r="N719" s="3">
        <f>Raw_Data!N719</f>
        <v>37.96</v>
      </c>
      <c r="O719" t="str">
        <f t="shared" si="33"/>
        <v>2025-09</v>
      </c>
      <c r="P719" s="5">
        <f t="shared" si="34"/>
        <v>0.24240102171136654</v>
      </c>
      <c r="Q719" s="3">
        <f t="shared" si="35"/>
        <v>156.6</v>
      </c>
    </row>
    <row r="720" spans="1:17" x14ac:dyDescent="0.35">
      <c r="A720" t="str">
        <f>Raw_Data!A720</f>
        <v>ORD-0646</v>
      </c>
      <c r="B720" s="2">
        <f>Raw_Data!B720</f>
        <v>45920</v>
      </c>
      <c r="C720" t="str">
        <f>Raw_Data!C720</f>
        <v>North</v>
      </c>
      <c r="D720" t="str">
        <f>Raw_Data!D720</f>
        <v>Chandigarh</v>
      </c>
      <c r="E720" t="str">
        <f>Raw_Data!E720</f>
        <v>Home &amp; Kitchen</v>
      </c>
      <c r="F720" t="str">
        <f>Raw_Data!F720</f>
        <v>Storage Box</v>
      </c>
      <c r="G720" t="str">
        <f>Raw_Data!G720</f>
        <v>Corporate</v>
      </c>
      <c r="H720" t="str">
        <f>Raw_Data!H720</f>
        <v>In-Store</v>
      </c>
      <c r="I720">
        <f>Raw_Data!I720</f>
        <v>8</v>
      </c>
      <c r="J720" s="3">
        <f>Raw_Data!J720</f>
        <v>13.46</v>
      </c>
      <c r="K720" s="4">
        <f>Raw_Data!K720</f>
        <v>0.15</v>
      </c>
      <c r="L720" s="3">
        <f>Raw_Data!L720</f>
        <v>91.53</v>
      </c>
      <c r="M720" s="3">
        <f>Raw_Data!M720</f>
        <v>68.209999999999994</v>
      </c>
      <c r="N720" s="3">
        <f>Raw_Data!N720</f>
        <v>23.32</v>
      </c>
      <c r="O720" t="str">
        <f t="shared" si="33"/>
        <v>2025-09</v>
      </c>
      <c r="P720" s="5">
        <f t="shared" si="34"/>
        <v>0.25477985359991262</v>
      </c>
      <c r="Q720" s="3">
        <f t="shared" si="35"/>
        <v>91.53</v>
      </c>
    </row>
    <row r="721" spans="1:17" x14ac:dyDescent="0.35">
      <c r="A721" t="str">
        <f>Raw_Data!A721</f>
        <v>ORD-0400</v>
      </c>
      <c r="B721" s="2">
        <f>Raw_Data!B721</f>
        <v>45921</v>
      </c>
      <c r="C721" t="str">
        <f>Raw_Data!C721</f>
        <v>South</v>
      </c>
      <c r="D721" t="str">
        <f>Raw_Data!D721</f>
        <v>Bengaluru</v>
      </c>
      <c r="E721" t="str">
        <f>Raw_Data!E721</f>
        <v>Technology</v>
      </c>
      <c r="F721" t="str">
        <f>Raw_Data!F721</f>
        <v>USB Hub</v>
      </c>
      <c r="G721" t="str">
        <f>Raw_Data!G721</f>
        <v>Corporate</v>
      </c>
      <c r="H721" t="str">
        <f>Raw_Data!H721</f>
        <v>In-Store</v>
      </c>
      <c r="I721">
        <f>Raw_Data!I721</f>
        <v>1</v>
      </c>
      <c r="J721" s="3">
        <f>Raw_Data!J721</f>
        <v>24</v>
      </c>
      <c r="K721" s="4">
        <f>Raw_Data!K721</f>
        <v>0.15</v>
      </c>
      <c r="L721" s="3">
        <f>Raw_Data!L721</f>
        <v>20.399999999999999</v>
      </c>
      <c r="M721" s="3">
        <f>Raw_Data!M721</f>
        <v>13.42</v>
      </c>
      <c r="N721" s="3">
        <f>Raw_Data!N721</f>
        <v>6.98</v>
      </c>
      <c r="O721" t="str">
        <f t="shared" si="33"/>
        <v>2025-09</v>
      </c>
      <c r="P721" s="5">
        <f t="shared" si="34"/>
        <v>0.3421568627450981</v>
      </c>
      <c r="Q721" s="3">
        <f t="shared" si="35"/>
        <v>20.399999999999999</v>
      </c>
    </row>
    <row r="722" spans="1:17" x14ac:dyDescent="0.35">
      <c r="A722" t="str">
        <f>Raw_Data!A722</f>
        <v>ORD-0045</v>
      </c>
      <c r="B722" s="2">
        <f>Raw_Data!B722</f>
        <v>45921</v>
      </c>
      <c r="C722" t="str">
        <f>Raw_Data!C722</f>
        <v>South</v>
      </c>
      <c r="D722" t="str">
        <f>Raw_Data!D722</f>
        <v>Bengaluru</v>
      </c>
      <c r="E722" t="str">
        <f>Raw_Data!E722</f>
        <v>Furniture</v>
      </c>
      <c r="F722" t="str">
        <f>Raw_Data!F722</f>
        <v>Office Chair</v>
      </c>
      <c r="G722" t="str">
        <f>Raw_Data!G722</f>
        <v>Consumer</v>
      </c>
      <c r="H722" t="str">
        <f>Raw_Data!H722</f>
        <v>Online</v>
      </c>
      <c r="I722">
        <f>Raw_Data!I722</f>
        <v>4</v>
      </c>
      <c r="J722" s="3">
        <f>Raw_Data!J722</f>
        <v>157.38999999999999</v>
      </c>
      <c r="K722" s="4">
        <f>Raw_Data!K722</f>
        <v>0</v>
      </c>
      <c r="L722" s="3">
        <f>Raw_Data!L722</f>
        <v>629.55999999999995</v>
      </c>
      <c r="M722" s="3">
        <f>Raw_Data!M722</f>
        <v>454.52</v>
      </c>
      <c r="N722" s="3">
        <f>Raw_Data!N722</f>
        <v>175.04</v>
      </c>
      <c r="O722" t="str">
        <f t="shared" si="33"/>
        <v>2025-09</v>
      </c>
      <c r="P722" s="5">
        <f t="shared" si="34"/>
        <v>0.27803545333248619</v>
      </c>
      <c r="Q722" s="3">
        <f t="shared" si="35"/>
        <v>629.55999999999995</v>
      </c>
    </row>
    <row r="723" spans="1:17" x14ac:dyDescent="0.35">
      <c r="A723" t="str">
        <f>Raw_Data!A723</f>
        <v>ORD-0657</v>
      </c>
      <c r="B723" s="2">
        <f>Raw_Data!B723</f>
        <v>45921</v>
      </c>
      <c r="C723" t="str">
        <f>Raw_Data!C723</f>
        <v>East</v>
      </c>
      <c r="D723" t="str">
        <f>Raw_Data!D723</f>
        <v>Bhubaneswar</v>
      </c>
      <c r="E723" t="str">
        <f>Raw_Data!E723</f>
        <v>Office Supplies</v>
      </c>
      <c r="F723" t="str">
        <f>Raw_Data!F723</f>
        <v>Pen Set</v>
      </c>
      <c r="G723" t="str">
        <f>Raw_Data!G723</f>
        <v>Corporate</v>
      </c>
      <c r="H723" t="str">
        <f>Raw_Data!H723</f>
        <v>In-Store</v>
      </c>
      <c r="I723">
        <f>Raw_Data!I723</f>
        <v>2</v>
      </c>
      <c r="J723" s="3">
        <f>Raw_Data!J723</f>
        <v>8.48</v>
      </c>
      <c r="K723" s="4">
        <f>Raw_Data!K723</f>
        <v>0</v>
      </c>
      <c r="L723" s="3">
        <f>Raw_Data!L723</f>
        <v>16.96</v>
      </c>
      <c r="M723" s="3">
        <f>Raw_Data!M723</f>
        <v>10.91</v>
      </c>
      <c r="N723" s="3">
        <f>Raw_Data!N723</f>
        <v>6.05</v>
      </c>
      <c r="O723" t="str">
        <f t="shared" si="33"/>
        <v>2025-09</v>
      </c>
      <c r="P723" s="5">
        <f t="shared" si="34"/>
        <v>0.35672169811320753</v>
      </c>
      <c r="Q723" s="3">
        <f t="shared" si="35"/>
        <v>16.96</v>
      </c>
    </row>
    <row r="724" spans="1:17" x14ac:dyDescent="0.35">
      <c r="A724" t="str">
        <f>Raw_Data!A724</f>
        <v>ORD-0617</v>
      </c>
      <c r="B724" s="2">
        <f>Raw_Data!B724</f>
        <v>45921</v>
      </c>
      <c r="C724" t="str">
        <f>Raw_Data!C724</f>
        <v>West</v>
      </c>
      <c r="D724" t="str">
        <f>Raw_Data!D724</f>
        <v>Ahmedabad</v>
      </c>
      <c r="E724" t="str">
        <f>Raw_Data!E724</f>
        <v>Technology</v>
      </c>
      <c r="F724" t="str">
        <f>Raw_Data!F724</f>
        <v>Wireless Mouse</v>
      </c>
      <c r="G724" t="str">
        <f>Raw_Data!G724</f>
        <v>Consumer</v>
      </c>
      <c r="H724" t="str">
        <f>Raw_Data!H724</f>
        <v>Marketplace</v>
      </c>
      <c r="I724">
        <f>Raw_Data!I724</f>
        <v>4</v>
      </c>
      <c r="J724" s="3">
        <f>Raw_Data!J724</f>
        <v>19.84</v>
      </c>
      <c r="K724" s="4">
        <f>Raw_Data!K724</f>
        <v>0.15</v>
      </c>
      <c r="L724" s="3">
        <f>Raw_Data!L724</f>
        <v>67.459999999999994</v>
      </c>
      <c r="M724" s="3">
        <f>Raw_Data!M724</f>
        <v>51.9</v>
      </c>
      <c r="N724" s="3">
        <f>Raw_Data!N724</f>
        <v>15.56</v>
      </c>
      <c r="O724" t="str">
        <f t="shared" si="33"/>
        <v>2025-09</v>
      </c>
      <c r="P724" s="5">
        <f t="shared" si="34"/>
        <v>0.23065520308330867</v>
      </c>
      <c r="Q724" s="3">
        <f t="shared" si="35"/>
        <v>67.459999999999994</v>
      </c>
    </row>
    <row r="725" spans="1:17" x14ac:dyDescent="0.35">
      <c r="A725" t="str">
        <f>Raw_Data!A725</f>
        <v>ORD-0180</v>
      </c>
      <c r="B725" s="2">
        <f>Raw_Data!B725</f>
        <v>45921</v>
      </c>
      <c r="C725" t="str">
        <f>Raw_Data!C725</f>
        <v>West</v>
      </c>
      <c r="D725" t="str">
        <f>Raw_Data!D725</f>
        <v>Ahmedabad</v>
      </c>
      <c r="E725" t="str">
        <f>Raw_Data!E725</f>
        <v>Home &amp; Kitchen</v>
      </c>
      <c r="F725" t="str">
        <f>Raw_Data!F725</f>
        <v>Lunch Box</v>
      </c>
      <c r="G725" t="str">
        <f>Raw_Data!G725</f>
        <v>Consumer</v>
      </c>
      <c r="H725" t="str">
        <f>Raw_Data!H725</f>
        <v>Online</v>
      </c>
      <c r="I725">
        <f>Raw_Data!I725</f>
        <v>5</v>
      </c>
      <c r="J725" s="3">
        <f>Raw_Data!J725</f>
        <v>20.48</v>
      </c>
      <c r="K725" s="4">
        <f>Raw_Data!K725</f>
        <v>0</v>
      </c>
      <c r="L725" s="3">
        <f>Raw_Data!L725</f>
        <v>102.4</v>
      </c>
      <c r="M725" s="3">
        <f>Raw_Data!M725</f>
        <v>78.19</v>
      </c>
      <c r="N725" s="3">
        <f>Raw_Data!N725</f>
        <v>24.21</v>
      </c>
      <c r="O725" t="str">
        <f t="shared" si="33"/>
        <v>2025-09</v>
      </c>
      <c r="P725" s="5">
        <f t="shared" si="34"/>
        <v>0.23642578124999999</v>
      </c>
      <c r="Q725" s="3">
        <f t="shared" si="35"/>
        <v>102.4</v>
      </c>
    </row>
    <row r="726" spans="1:17" x14ac:dyDescent="0.35">
      <c r="A726" t="str">
        <f>Raw_Data!A726</f>
        <v>ORD-0452</v>
      </c>
      <c r="B726" s="2">
        <f>Raw_Data!B726</f>
        <v>45922</v>
      </c>
      <c r="C726" t="str">
        <f>Raw_Data!C726</f>
        <v>East</v>
      </c>
      <c r="D726" t="str">
        <f>Raw_Data!D726</f>
        <v>Kolkata</v>
      </c>
      <c r="E726" t="str">
        <f>Raw_Data!E726</f>
        <v>Technology</v>
      </c>
      <c r="F726" t="str">
        <f>Raw_Data!F726</f>
        <v>Headphones</v>
      </c>
      <c r="G726" t="str">
        <f>Raw_Data!G726</f>
        <v>Consumer</v>
      </c>
      <c r="H726" t="str">
        <f>Raw_Data!H726</f>
        <v>Marketplace</v>
      </c>
      <c r="I726">
        <f>Raw_Data!I726</f>
        <v>4</v>
      </c>
      <c r="J726" s="3">
        <f>Raw_Data!J726</f>
        <v>52.28</v>
      </c>
      <c r="K726" s="4">
        <f>Raw_Data!K726</f>
        <v>0.1</v>
      </c>
      <c r="L726" s="3">
        <f>Raw_Data!L726</f>
        <v>188.21</v>
      </c>
      <c r="M726" s="3">
        <f>Raw_Data!M726</f>
        <v>142.63999999999999</v>
      </c>
      <c r="N726" s="3">
        <f>Raw_Data!N726</f>
        <v>45.57</v>
      </c>
      <c r="O726" t="str">
        <f t="shared" si="33"/>
        <v>2025-09</v>
      </c>
      <c r="P726" s="5">
        <f t="shared" si="34"/>
        <v>0.24212316029966527</v>
      </c>
      <c r="Q726" s="3">
        <f t="shared" si="35"/>
        <v>188.21</v>
      </c>
    </row>
    <row r="727" spans="1:17" x14ac:dyDescent="0.35">
      <c r="A727" t="str">
        <f>Raw_Data!A727</f>
        <v>ORD-0999</v>
      </c>
      <c r="B727" s="2">
        <f>Raw_Data!B727</f>
        <v>45924</v>
      </c>
      <c r="C727" t="str">
        <f>Raw_Data!C727</f>
        <v>South</v>
      </c>
      <c r="D727" t="str">
        <f>Raw_Data!D727</f>
        <v>Chennai</v>
      </c>
      <c r="E727" t="str">
        <f>Raw_Data!E727</f>
        <v>Technology</v>
      </c>
      <c r="F727" t="str">
        <f>Raw_Data!F727</f>
        <v>USB Hub</v>
      </c>
      <c r="G727" t="str">
        <f>Raw_Data!G727</f>
        <v>Corporate</v>
      </c>
      <c r="H727" t="str">
        <f>Raw_Data!H727</f>
        <v>Online</v>
      </c>
      <c r="I727">
        <f>Raw_Data!I727</f>
        <v>3</v>
      </c>
      <c r="J727" s="3">
        <f>Raw_Data!J727</f>
        <v>25.73</v>
      </c>
      <c r="K727" s="4">
        <f>Raw_Data!K727</f>
        <v>0.15</v>
      </c>
      <c r="L727" s="3">
        <f>Raw_Data!L727</f>
        <v>65.61</v>
      </c>
      <c r="M727" s="3">
        <f>Raw_Data!M727</f>
        <v>39.31</v>
      </c>
      <c r="N727" s="3">
        <f>Raw_Data!N727</f>
        <v>26.3</v>
      </c>
      <c r="O727" t="str">
        <f t="shared" si="33"/>
        <v>2025-09</v>
      </c>
      <c r="P727" s="5">
        <f t="shared" si="34"/>
        <v>0.40085352842554489</v>
      </c>
      <c r="Q727" s="3">
        <f t="shared" si="35"/>
        <v>65.61</v>
      </c>
    </row>
    <row r="728" spans="1:17" x14ac:dyDescent="0.35">
      <c r="A728" t="str">
        <f>Raw_Data!A728</f>
        <v>ORD-0339</v>
      </c>
      <c r="B728" s="2">
        <f>Raw_Data!B728</f>
        <v>45924</v>
      </c>
      <c r="C728" t="str">
        <f>Raw_Data!C728</f>
        <v>North</v>
      </c>
      <c r="D728" t="str">
        <f>Raw_Data!D728</f>
        <v>Delhi</v>
      </c>
      <c r="E728" t="str">
        <f>Raw_Data!E728</f>
        <v>Home &amp; Kitchen</v>
      </c>
      <c r="F728" t="str">
        <f>Raw_Data!F728</f>
        <v>Water Bottle</v>
      </c>
      <c r="G728" t="str">
        <f>Raw_Data!G728</f>
        <v>Small Business</v>
      </c>
      <c r="H728" t="str">
        <f>Raw_Data!H728</f>
        <v>Online</v>
      </c>
      <c r="I728">
        <f>Raw_Data!I728</f>
        <v>12</v>
      </c>
      <c r="J728" s="3">
        <f>Raw_Data!J728</f>
        <v>17.09</v>
      </c>
      <c r="K728" s="4">
        <f>Raw_Data!K728</f>
        <v>0.15</v>
      </c>
      <c r="L728" s="3">
        <f>Raw_Data!L728</f>
        <v>174.32</v>
      </c>
      <c r="M728" s="3">
        <f>Raw_Data!M728</f>
        <v>146.53</v>
      </c>
      <c r="N728" s="3">
        <f>Raw_Data!N728</f>
        <v>27.79</v>
      </c>
      <c r="O728" t="str">
        <f t="shared" si="33"/>
        <v>2025-09</v>
      </c>
      <c r="P728" s="5">
        <f t="shared" si="34"/>
        <v>0.15941945846718678</v>
      </c>
      <c r="Q728" s="3">
        <f t="shared" si="35"/>
        <v>174.32</v>
      </c>
    </row>
    <row r="729" spans="1:17" x14ac:dyDescent="0.35">
      <c r="A729" t="str">
        <f>Raw_Data!A729</f>
        <v>ORD-0365</v>
      </c>
      <c r="B729" s="2">
        <f>Raw_Data!B729</f>
        <v>45924</v>
      </c>
      <c r="C729" t="str">
        <f>Raw_Data!C729</f>
        <v>West</v>
      </c>
      <c r="D729" t="str">
        <f>Raw_Data!D729</f>
        <v>Mumbai</v>
      </c>
      <c r="E729" t="str">
        <f>Raw_Data!E729</f>
        <v>Furniture</v>
      </c>
      <c r="F729" t="str">
        <f>Raw_Data!F729</f>
        <v>Standing Desk</v>
      </c>
      <c r="G729" t="str">
        <f>Raw_Data!G729</f>
        <v>Small Business</v>
      </c>
      <c r="H729" t="str">
        <f>Raw_Data!H729</f>
        <v>Online</v>
      </c>
      <c r="I729">
        <f>Raw_Data!I729</f>
        <v>11</v>
      </c>
      <c r="J729" s="3">
        <f>Raw_Data!J729</f>
        <v>311.58999999999997</v>
      </c>
      <c r="K729" s="4">
        <f>Raw_Data!K729</f>
        <v>0.05</v>
      </c>
      <c r="L729" s="3">
        <f>Raw_Data!L729</f>
        <v>3256.12</v>
      </c>
      <c r="M729" s="3">
        <f>Raw_Data!M729</f>
        <v>2669.47</v>
      </c>
      <c r="N729" s="3">
        <f>Raw_Data!N729</f>
        <v>586.65</v>
      </c>
      <c r="O729" t="str">
        <f t="shared" si="33"/>
        <v>2025-09</v>
      </c>
      <c r="P729" s="5">
        <f t="shared" si="34"/>
        <v>0.18016842131125388</v>
      </c>
      <c r="Q729" s="3">
        <f t="shared" si="35"/>
        <v>3256.12</v>
      </c>
    </row>
    <row r="730" spans="1:17" x14ac:dyDescent="0.35">
      <c r="A730" t="str">
        <f>Raw_Data!A730</f>
        <v>ORD-0668</v>
      </c>
      <c r="B730" s="2">
        <f>Raw_Data!B730</f>
        <v>45924</v>
      </c>
      <c r="C730" t="str">
        <f>Raw_Data!C730</f>
        <v>North</v>
      </c>
      <c r="D730" t="str">
        <f>Raw_Data!D730</f>
        <v>Delhi</v>
      </c>
      <c r="E730" t="str">
        <f>Raw_Data!E730</f>
        <v>Office Supplies</v>
      </c>
      <c r="F730" t="str">
        <f>Raw_Data!F730</f>
        <v>Printer Paper</v>
      </c>
      <c r="G730" t="str">
        <f>Raw_Data!G730</f>
        <v>Small Business</v>
      </c>
      <c r="H730" t="str">
        <f>Raw_Data!H730</f>
        <v>In-Store</v>
      </c>
      <c r="I730">
        <f>Raw_Data!I730</f>
        <v>6</v>
      </c>
      <c r="J730" s="3">
        <f>Raw_Data!J730</f>
        <v>16.45</v>
      </c>
      <c r="K730" s="4">
        <f>Raw_Data!K730</f>
        <v>0.15</v>
      </c>
      <c r="L730" s="3">
        <f>Raw_Data!L730</f>
        <v>83.89</v>
      </c>
      <c r="M730" s="3">
        <f>Raw_Data!M730</f>
        <v>68.760000000000005</v>
      </c>
      <c r="N730" s="3">
        <f>Raw_Data!N730</f>
        <v>15.13</v>
      </c>
      <c r="O730" t="str">
        <f t="shared" si="33"/>
        <v>2025-09</v>
      </c>
      <c r="P730" s="5">
        <f t="shared" si="34"/>
        <v>0.18035522708308499</v>
      </c>
      <c r="Q730" s="3">
        <f t="shared" si="35"/>
        <v>83.89</v>
      </c>
    </row>
    <row r="731" spans="1:17" x14ac:dyDescent="0.35">
      <c r="A731" t="str">
        <f>Raw_Data!A731</f>
        <v>ORD-0436</v>
      </c>
      <c r="B731" s="2">
        <f>Raw_Data!B731</f>
        <v>45925</v>
      </c>
      <c r="C731" t="str">
        <f>Raw_Data!C731</f>
        <v>West</v>
      </c>
      <c r="D731" t="str">
        <f>Raw_Data!D731</f>
        <v>Ahmedabad</v>
      </c>
      <c r="E731" t="str">
        <f>Raw_Data!E731</f>
        <v>Home &amp; Kitchen</v>
      </c>
      <c r="F731" t="str">
        <f>Raw_Data!F731</f>
        <v>Coffee Maker</v>
      </c>
      <c r="G731" t="str">
        <f>Raw_Data!G731</f>
        <v>Small Business</v>
      </c>
      <c r="H731" t="str">
        <f>Raw_Data!H731</f>
        <v>In-Store</v>
      </c>
      <c r="I731">
        <f>Raw_Data!I731</f>
        <v>1</v>
      </c>
      <c r="J731" s="3">
        <f>Raw_Data!J731</f>
        <v>78.78</v>
      </c>
      <c r="K731" s="4">
        <f>Raw_Data!K731</f>
        <v>0.1</v>
      </c>
      <c r="L731" s="3">
        <f>Raw_Data!L731</f>
        <v>70.900000000000006</v>
      </c>
      <c r="M731" s="3">
        <f>Raw_Data!M731</f>
        <v>43.24</v>
      </c>
      <c r="N731" s="3">
        <f>Raw_Data!N731</f>
        <v>27.66</v>
      </c>
      <c r="O731" t="str">
        <f t="shared" si="33"/>
        <v>2025-09</v>
      </c>
      <c r="P731" s="5">
        <f t="shared" si="34"/>
        <v>0.39012693935119885</v>
      </c>
      <c r="Q731" s="3">
        <f t="shared" si="35"/>
        <v>70.900000000000006</v>
      </c>
    </row>
    <row r="732" spans="1:17" x14ac:dyDescent="0.35">
      <c r="A732" t="str">
        <f>Raw_Data!A732</f>
        <v>ORD-0380</v>
      </c>
      <c r="B732" s="2">
        <f>Raw_Data!B732</f>
        <v>45925</v>
      </c>
      <c r="C732" t="str">
        <f>Raw_Data!C732</f>
        <v>West</v>
      </c>
      <c r="D732" t="str">
        <f>Raw_Data!D732</f>
        <v>Ahmedabad</v>
      </c>
      <c r="E732" t="str">
        <f>Raw_Data!E732</f>
        <v>Technology</v>
      </c>
      <c r="F732" t="str">
        <f>Raw_Data!F732</f>
        <v>USB Hub</v>
      </c>
      <c r="G732" t="str">
        <f>Raw_Data!G732</f>
        <v>Consumer</v>
      </c>
      <c r="H732" t="str">
        <f>Raw_Data!H732</f>
        <v>Marketplace</v>
      </c>
      <c r="I732">
        <f>Raw_Data!I732</f>
        <v>11</v>
      </c>
      <c r="J732" s="3">
        <f>Raw_Data!J732</f>
        <v>26.5</v>
      </c>
      <c r="K732" s="4">
        <f>Raw_Data!K732</f>
        <v>0.1</v>
      </c>
      <c r="L732" s="3">
        <f>Raw_Data!L732</f>
        <v>262.35000000000002</v>
      </c>
      <c r="M732" s="3">
        <f>Raw_Data!M732</f>
        <v>170.16</v>
      </c>
      <c r="N732" s="3">
        <f>Raw_Data!N732</f>
        <v>92.19</v>
      </c>
      <c r="O732" t="str">
        <f t="shared" si="33"/>
        <v>2025-09</v>
      </c>
      <c r="P732" s="5">
        <f t="shared" si="34"/>
        <v>0.35140080045740418</v>
      </c>
      <c r="Q732" s="3">
        <f t="shared" si="35"/>
        <v>262.35000000000002</v>
      </c>
    </row>
    <row r="733" spans="1:17" x14ac:dyDescent="0.35">
      <c r="A733" t="str">
        <f>Raw_Data!A733</f>
        <v>ORD-0543</v>
      </c>
      <c r="B733" s="2">
        <f>Raw_Data!B733</f>
        <v>45926</v>
      </c>
      <c r="C733" t="str">
        <f>Raw_Data!C733</f>
        <v>North</v>
      </c>
      <c r="D733" t="str">
        <f>Raw_Data!D733</f>
        <v>Jaipur</v>
      </c>
      <c r="E733" t="str">
        <f>Raw_Data!E733</f>
        <v>Office Supplies</v>
      </c>
      <c r="F733" t="str">
        <f>Raw_Data!F733</f>
        <v>Pen Set</v>
      </c>
      <c r="G733" t="str">
        <f>Raw_Data!G733</f>
        <v>Small Business</v>
      </c>
      <c r="H733" t="str">
        <f>Raw_Data!H733</f>
        <v>Marketplace</v>
      </c>
      <c r="I733">
        <f>Raw_Data!I733</f>
        <v>10</v>
      </c>
      <c r="J733" s="3">
        <f>Raw_Data!J733</f>
        <v>6.96</v>
      </c>
      <c r="K733" s="4">
        <f>Raw_Data!K733</f>
        <v>0.15</v>
      </c>
      <c r="L733" s="3">
        <f>Raw_Data!L733</f>
        <v>59.16</v>
      </c>
      <c r="M733" s="3">
        <f>Raw_Data!M733</f>
        <v>48.64</v>
      </c>
      <c r="N733" s="3">
        <f>Raw_Data!N733</f>
        <v>10.52</v>
      </c>
      <c r="O733" t="str">
        <f t="shared" si="33"/>
        <v>2025-09</v>
      </c>
      <c r="P733" s="5">
        <f t="shared" si="34"/>
        <v>0.17782285327924274</v>
      </c>
      <c r="Q733" s="3">
        <f t="shared" si="35"/>
        <v>59.16</v>
      </c>
    </row>
    <row r="734" spans="1:17" x14ac:dyDescent="0.35">
      <c r="A734" t="str">
        <f>Raw_Data!A734</f>
        <v>ORD-0553</v>
      </c>
      <c r="B734" s="2">
        <f>Raw_Data!B734</f>
        <v>45926</v>
      </c>
      <c r="C734" t="str">
        <f>Raw_Data!C734</f>
        <v>North</v>
      </c>
      <c r="D734" t="str">
        <f>Raw_Data!D734</f>
        <v>Delhi</v>
      </c>
      <c r="E734" t="str">
        <f>Raw_Data!E734</f>
        <v>Furniture</v>
      </c>
      <c r="F734" t="str">
        <f>Raw_Data!F734</f>
        <v>Desk Lamp</v>
      </c>
      <c r="G734" t="str">
        <f>Raw_Data!G734</f>
        <v>Small Business</v>
      </c>
      <c r="H734" t="str">
        <f>Raw_Data!H734</f>
        <v>Marketplace</v>
      </c>
      <c r="I734">
        <f>Raw_Data!I734</f>
        <v>2</v>
      </c>
      <c r="J734" s="3">
        <f>Raw_Data!J734</f>
        <v>37.28</v>
      </c>
      <c r="K734" s="4">
        <f>Raw_Data!K734</f>
        <v>0</v>
      </c>
      <c r="L734" s="3">
        <f>Raw_Data!L734</f>
        <v>74.56</v>
      </c>
      <c r="M734" s="3">
        <f>Raw_Data!M734</f>
        <v>53.19</v>
      </c>
      <c r="N734" s="3">
        <f>Raw_Data!N734</f>
        <v>21.37</v>
      </c>
      <c r="O734" t="str">
        <f t="shared" si="33"/>
        <v>2025-09</v>
      </c>
      <c r="P734" s="5">
        <f t="shared" si="34"/>
        <v>0.28661480686695279</v>
      </c>
      <c r="Q734" s="3">
        <f t="shared" si="35"/>
        <v>74.56</v>
      </c>
    </row>
    <row r="735" spans="1:17" x14ac:dyDescent="0.35">
      <c r="A735" t="str">
        <f>Raw_Data!A735</f>
        <v>ORD-0188</v>
      </c>
      <c r="B735" s="2">
        <f>Raw_Data!B735</f>
        <v>45926</v>
      </c>
      <c r="C735" t="str">
        <f>Raw_Data!C735</f>
        <v>North</v>
      </c>
      <c r="D735" t="str">
        <f>Raw_Data!D735</f>
        <v>Chandigarh</v>
      </c>
      <c r="E735" t="str">
        <f>Raw_Data!E735</f>
        <v>Home &amp; Kitchen</v>
      </c>
      <c r="F735" t="str">
        <f>Raw_Data!F735</f>
        <v>Storage Box</v>
      </c>
      <c r="G735" t="str">
        <f>Raw_Data!G735</f>
        <v>Consumer</v>
      </c>
      <c r="H735" t="str">
        <f>Raw_Data!H735</f>
        <v>Online</v>
      </c>
      <c r="I735">
        <f>Raw_Data!I735</f>
        <v>11</v>
      </c>
      <c r="J735" s="3">
        <f>Raw_Data!J735</f>
        <v>13.09</v>
      </c>
      <c r="K735" s="4">
        <f>Raw_Data!K735</f>
        <v>0.15</v>
      </c>
      <c r="L735" s="3">
        <f>Raw_Data!L735</f>
        <v>122.39</v>
      </c>
      <c r="M735" s="3">
        <f>Raw_Data!M735</f>
        <v>110.07</v>
      </c>
      <c r="N735" s="3">
        <f>Raw_Data!N735</f>
        <v>12.32</v>
      </c>
      <c r="O735" t="str">
        <f t="shared" si="33"/>
        <v>2025-09</v>
      </c>
      <c r="P735" s="5">
        <f t="shared" si="34"/>
        <v>0.1006618187760438</v>
      </c>
      <c r="Q735" s="3">
        <f t="shared" si="35"/>
        <v>122.39</v>
      </c>
    </row>
    <row r="736" spans="1:17" x14ac:dyDescent="0.35">
      <c r="A736" t="str">
        <f>Raw_Data!A736</f>
        <v>ORD-0946</v>
      </c>
      <c r="B736" s="2">
        <f>Raw_Data!B736</f>
        <v>45926</v>
      </c>
      <c r="C736" t="str">
        <f>Raw_Data!C736</f>
        <v>South</v>
      </c>
      <c r="D736" t="str">
        <f>Raw_Data!D736</f>
        <v>Hyderabad</v>
      </c>
      <c r="E736" t="str">
        <f>Raw_Data!E736</f>
        <v>Furniture</v>
      </c>
      <c r="F736" t="str">
        <f>Raw_Data!F736</f>
        <v>Bookshelf</v>
      </c>
      <c r="G736" t="str">
        <f>Raw_Data!G736</f>
        <v>Consumer</v>
      </c>
      <c r="H736" t="str">
        <f>Raw_Data!H736</f>
        <v>Online</v>
      </c>
      <c r="I736">
        <f>Raw_Data!I736</f>
        <v>4</v>
      </c>
      <c r="J736" s="3">
        <f>Raw_Data!J736</f>
        <v>104.91</v>
      </c>
      <c r="K736" s="4">
        <f>Raw_Data!K736</f>
        <v>0.05</v>
      </c>
      <c r="L736" s="3">
        <f>Raw_Data!L736</f>
        <v>398.66</v>
      </c>
      <c r="M736" s="3">
        <f>Raw_Data!M736</f>
        <v>270.94</v>
      </c>
      <c r="N736" s="3">
        <f>Raw_Data!N736</f>
        <v>127.72</v>
      </c>
      <c r="O736" t="str">
        <f t="shared" si="33"/>
        <v>2025-09</v>
      </c>
      <c r="P736" s="5">
        <f t="shared" si="34"/>
        <v>0.32037325038880249</v>
      </c>
      <c r="Q736" s="3">
        <f t="shared" si="35"/>
        <v>398.66</v>
      </c>
    </row>
    <row r="737" spans="1:17" x14ac:dyDescent="0.35">
      <c r="A737" t="str">
        <f>Raw_Data!A737</f>
        <v>ORD-0696</v>
      </c>
      <c r="B737" s="2">
        <f>Raw_Data!B737</f>
        <v>45926</v>
      </c>
      <c r="C737" t="str">
        <f>Raw_Data!C737</f>
        <v>East</v>
      </c>
      <c r="D737" t="str">
        <f>Raw_Data!D737</f>
        <v>Guwahati</v>
      </c>
      <c r="E737" t="str">
        <f>Raw_Data!E737</f>
        <v>Furniture</v>
      </c>
      <c r="F737" t="str">
        <f>Raw_Data!F737</f>
        <v>Standing Desk</v>
      </c>
      <c r="G737" t="str">
        <f>Raw_Data!G737</f>
        <v>Small Business</v>
      </c>
      <c r="H737" t="str">
        <f>Raw_Data!H737</f>
        <v>Marketplace</v>
      </c>
      <c r="I737">
        <f>Raw_Data!I737</f>
        <v>2</v>
      </c>
      <c r="J737" s="3">
        <f>Raw_Data!J737</f>
        <v>242.66</v>
      </c>
      <c r="K737" s="4">
        <f>Raw_Data!K737</f>
        <v>0</v>
      </c>
      <c r="L737" s="3">
        <f>Raw_Data!L737</f>
        <v>485.32</v>
      </c>
      <c r="M737" s="3">
        <f>Raw_Data!M737</f>
        <v>345.53</v>
      </c>
      <c r="N737" s="3">
        <f>Raw_Data!N737</f>
        <v>139.79</v>
      </c>
      <c r="O737" t="str">
        <f t="shared" si="33"/>
        <v>2025-09</v>
      </c>
      <c r="P737" s="5">
        <f t="shared" si="34"/>
        <v>0.28803675925162781</v>
      </c>
      <c r="Q737" s="3">
        <f t="shared" si="35"/>
        <v>485.32</v>
      </c>
    </row>
    <row r="738" spans="1:17" x14ac:dyDescent="0.35">
      <c r="A738" t="str">
        <f>Raw_Data!A738</f>
        <v>ORD-0579</v>
      </c>
      <c r="B738" s="2">
        <f>Raw_Data!B738</f>
        <v>45927</v>
      </c>
      <c r="C738" t="str">
        <f>Raw_Data!C738</f>
        <v>West</v>
      </c>
      <c r="D738" t="str">
        <f>Raw_Data!D738</f>
        <v>Ahmedabad</v>
      </c>
      <c r="E738" t="str">
        <f>Raw_Data!E738</f>
        <v>Furniture</v>
      </c>
      <c r="F738" t="str">
        <f>Raw_Data!F738</f>
        <v>Standing Desk</v>
      </c>
      <c r="G738" t="str">
        <f>Raw_Data!G738</f>
        <v>Corporate</v>
      </c>
      <c r="H738" t="str">
        <f>Raw_Data!H738</f>
        <v>Marketplace</v>
      </c>
      <c r="I738">
        <f>Raw_Data!I738</f>
        <v>9</v>
      </c>
      <c r="J738" s="3">
        <f>Raw_Data!J738</f>
        <v>228.12</v>
      </c>
      <c r="K738" s="4">
        <f>Raw_Data!K738</f>
        <v>0.15</v>
      </c>
      <c r="L738" s="3">
        <f>Raw_Data!L738</f>
        <v>1745.12</v>
      </c>
      <c r="M738" s="3">
        <f>Raw_Data!M738</f>
        <v>1039.95</v>
      </c>
      <c r="N738" s="3">
        <f>Raw_Data!N738</f>
        <v>705.17</v>
      </c>
      <c r="O738" t="str">
        <f t="shared" si="33"/>
        <v>2025-09</v>
      </c>
      <c r="P738" s="5">
        <f t="shared" si="34"/>
        <v>0.4040810947098194</v>
      </c>
      <c r="Q738" s="3">
        <f t="shared" si="35"/>
        <v>1745.12</v>
      </c>
    </row>
    <row r="739" spans="1:17" x14ac:dyDescent="0.35">
      <c r="A739" t="str">
        <f>Raw_Data!A739</f>
        <v>ORD-0171</v>
      </c>
      <c r="B739" s="2">
        <f>Raw_Data!B739</f>
        <v>45927</v>
      </c>
      <c r="C739" t="str">
        <f>Raw_Data!C739</f>
        <v>West</v>
      </c>
      <c r="D739" t="str">
        <f>Raw_Data!D739</f>
        <v>Ahmedabad</v>
      </c>
      <c r="E739" t="str">
        <f>Raw_Data!E739</f>
        <v>Home &amp; Kitchen</v>
      </c>
      <c r="F739" t="str">
        <f>Raw_Data!F739</f>
        <v>Lunch Box</v>
      </c>
      <c r="G739" t="str">
        <f>Raw_Data!G739</f>
        <v>Small Business</v>
      </c>
      <c r="H739" t="str">
        <f>Raw_Data!H739</f>
        <v>Marketplace</v>
      </c>
      <c r="I739">
        <f>Raw_Data!I739</f>
        <v>10</v>
      </c>
      <c r="J739" s="3">
        <f>Raw_Data!J739</f>
        <v>17.52</v>
      </c>
      <c r="K739" s="4">
        <f>Raw_Data!K739</f>
        <v>0.05</v>
      </c>
      <c r="L739" s="3">
        <f>Raw_Data!L739</f>
        <v>166.44</v>
      </c>
      <c r="M739" s="3">
        <f>Raw_Data!M739</f>
        <v>117.86</v>
      </c>
      <c r="N739" s="3">
        <f>Raw_Data!N739</f>
        <v>48.58</v>
      </c>
      <c r="O739" t="str">
        <f t="shared" si="33"/>
        <v>2025-09</v>
      </c>
      <c r="P739" s="5">
        <f t="shared" si="34"/>
        <v>0.29187695265561164</v>
      </c>
      <c r="Q739" s="3">
        <f t="shared" si="35"/>
        <v>166.44</v>
      </c>
    </row>
    <row r="740" spans="1:17" x14ac:dyDescent="0.35">
      <c r="A740" t="str">
        <f>Raw_Data!A740</f>
        <v>ORD-0757</v>
      </c>
      <c r="B740" s="2">
        <f>Raw_Data!B740</f>
        <v>45928</v>
      </c>
      <c r="C740" t="str">
        <f>Raw_Data!C740</f>
        <v>West</v>
      </c>
      <c r="D740" t="str">
        <f>Raw_Data!D740</f>
        <v>Ahmedabad</v>
      </c>
      <c r="E740" t="str">
        <f>Raw_Data!E740</f>
        <v>Office Supplies</v>
      </c>
      <c r="F740" t="str">
        <f>Raw_Data!F740</f>
        <v>Printer Paper</v>
      </c>
      <c r="G740" t="str">
        <f>Raw_Data!G740</f>
        <v>Corporate</v>
      </c>
      <c r="H740" t="str">
        <f>Raw_Data!H740</f>
        <v>In-Store</v>
      </c>
      <c r="I740">
        <f>Raw_Data!I740</f>
        <v>8</v>
      </c>
      <c r="J740" s="3">
        <f>Raw_Data!J740</f>
        <v>16.13</v>
      </c>
      <c r="K740" s="4">
        <f>Raw_Data!K740</f>
        <v>0.15</v>
      </c>
      <c r="L740" s="3">
        <f>Raw_Data!L740</f>
        <v>109.68</v>
      </c>
      <c r="M740" s="3">
        <f>Raw_Data!M740</f>
        <v>86.11</v>
      </c>
      <c r="N740" s="3">
        <f>Raw_Data!N740</f>
        <v>23.57</v>
      </c>
      <c r="O740" t="str">
        <f t="shared" si="33"/>
        <v>2025-09</v>
      </c>
      <c r="P740" s="5">
        <f t="shared" si="34"/>
        <v>0.2148978847556528</v>
      </c>
      <c r="Q740" s="3">
        <f t="shared" si="35"/>
        <v>109.68</v>
      </c>
    </row>
    <row r="741" spans="1:17" x14ac:dyDescent="0.35">
      <c r="A741" t="str">
        <f>Raw_Data!A741</f>
        <v>ORD-0742</v>
      </c>
      <c r="B741" s="2">
        <f>Raw_Data!B741</f>
        <v>45928</v>
      </c>
      <c r="C741" t="str">
        <f>Raw_Data!C741</f>
        <v>West</v>
      </c>
      <c r="D741" t="str">
        <f>Raw_Data!D741</f>
        <v>Pune</v>
      </c>
      <c r="E741" t="str">
        <f>Raw_Data!E741</f>
        <v>Technology</v>
      </c>
      <c r="F741" t="str">
        <f>Raw_Data!F741</f>
        <v>USB Hub</v>
      </c>
      <c r="G741" t="str">
        <f>Raw_Data!G741</f>
        <v>Small Business</v>
      </c>
      <c r="H741" t="str">
        <f>Raw_Data!H741</f>
        <v>Online</v>
      </c>
      <c r="I741">
        <f>Raw_Data!I741</f>
        <v>10</v>
      </c>
      <c r="J741" s="3">
        <f>Raw_Data!J741</f>
        <v>23.05</v>
      </c>
      <c r="K741" s="4">
        <f>Raw_Data!K741</f>
        <v>0</v>
      </c>
      <c r="L741" s="3">
        <f>Raw_Data!L741</f>
        <v>230.5</v>
      </c>
      <c r="M741" s="3">
        <f>Raw_Data!M741</f>
        <v>129.16</v>
      </c>
      <c r="N741" s="3">
        <f>Raw_Data!N741</f>
        <v>101.34</v>
      </c>
      <c r="O741" t="str">
        <f t="shared" si="33"/>
        <v>2025-09</v>
      </c>
      <c r="P741" s="5">
        <f t="shared" si="34"/>
        <v>0.4396529284164859</v>
      </c>
      <c r="Q741" s="3">
        <f t="shared" si="35"/>
        <v>230.5</v>
      </c>
    </row>
    <row r="742" spans="1:17" x14ac:dyDescent="0.35">
      <c r="A742" t="str">
        <f>Raw_Data!A742</f>
        <v>ORD-0588</v>
      </c>
      <c r="B742" s="2">
        <f>Raw_Data!B742</f>
        <v>45929</v>
      </c>
      <c r="C742" t="str">
        <f>Raw_Data!C742</f>
        <v>East</v>
      </c>
      <c r="D742" t="str">
        <f>Raw_Data!D742</f>
        <v>Kolkata</v>
      </c>
      <c r="E742" t="str">
        <f>Raw_Data!E742</f>
        <v>Home &amp; Kitchen</v>
      </c>
      <c r="F742" t="str">
        <f>Raw_Data!F742</f>
        <v>Water Bottle</v>
      </c>
      <c r="G742" t="str">
        <f>Raw_Data!G742</f>
        <v>Corporate</v>
      </c>
      <c r="H742" t="str">
        <f>Raw_Data!H742</f>
        <v>Marketplace</v>
      </c>
      <c r="I742">
        <f>Raw_Data!I742</f>
        <v>5</v>
      </c>
      <c r="J742" s="3">
        <f>Raw_Data!J742</f>
        <v>18.79</v>
      </c>
      <c r="K742" s="4">
        <f>Raw_Data!K742</f>
        <v>0.1</v>
      </c>
      <c r="L742" s="3">
        <f>Raw_Data!L742</f>
        <v>84.55</v>
      </c>
      <c r="M742" s="3">
        <f>Raw_Data!M742</f>
        <v>55.86</v>
      </c>
      <c r="N742" s="3">
        <f>Raw_Data!N742</f>
        <v>28.69</v>
      </c>
      <c r="O742" t="str">
        <f t="shared" si="33"/>
        <v>2025-09</v>
      </c>
      <c r="P742" s="5">
        <f t="shared" si="34"/>
        <v>0.33932584269662924</v>
      </c>
      <c r="Q742" s="3">
        <f t="shared" si="35"/>
        <v>84.55</v>
      </c>
    </row>
    <row r="743" spans="1:17" x14ac:dyDescent="0.35">
      <c r="A743" t="str">
        <f>Raw_Data!A743</f>
        <v>ORD-0902</v>
      </c>
      <c r="B743" s="2">
        <f>Raw_Data!B743</f>
        <v>45929</v>
      </c>
      <c r="C743" t="str">
        <f>Raw_Data!C743</f>
        <v>North</v>
      </c>
      <c r="D743" t="str">
        <f>Raw_Data!D743</f>
        <v>Delhi</v>
      </c>
      <c r="E743" t="str">
        <f>Raw_Data!E743</f>
        <v>Home &amp; Kitchen</v>
      </c>
      <c r="F743" t="str">
        <f>Raw_Data!F743</f>
        <v>Water Bottle</v>
      </c>
      <c r="G743" t="str">
        <f>Raw_Data!G743</f>
        <v>Consumer</v>
      </c>
      <c r="H743" t="str">
        <f>Raw_Data!H743</f>
        <v>Marketplace</v>
      </c>
      <c r="I743">
        <f>Raw_Data!I743</f>
        <v>9</v>
      </c>
      <c r="J743" s="3">
        <f>Raw_Data!J743</f>
        <v>18.29</v>
      </c>
      <c r="K743" s="4">
        <f>Raw_Data!K743</f>
        <v>0.15</v>
      </c>
      <c r="L743" s="3">
        <f>Raw_Data!L743</f>
        <v>139.91999999999999</v>
      </c>
      <c r="M743" s="3">
        <f>Raw_Data!M743</f>
        <v>114.26</v>
      </c>
      <c r="N743" s="3">
        <f>Raw_Data!N743</f>
        <v>25.66</v>
      </c>
      <c r="O743" t="str">
        <f t="shared" si="33"/>
        <v>2025-09</v>
      </c>
      <c r="P743" s="5">
        <f t="shared" si="34"/>
        <v>0.18339050886220698</v>
      </c>
      <c r="Q743" s="3">
        <f t="shared" si="35"/>
        <v>139.91999999999999</v>
      </c>
    </row>
    <row r="744" spans="1:17" x14ac:dyDescent="0.35">
      <c r="A744" t="str">
        <f>Raw_Data!A744</f>
        <v>ORD-0795</v>
      </c>
      <c r="B744" s="2">
        <f>Raw_Data!B744</f>
        <v>45930</v>
      </c>
      <c r="C744" t="str">
        <f>Raw_Data!C744</f>
        <v>North</v>
      </c>
      <c r="D744" t="str">
        <f>Raw_Data!D744</f>
        <v>Jaipur</v>
      </c>
      <c r="E744" t="str">
        <f>Raw_Data!E744</f>
        <v>Home &amp; Kitchen</v>
      </c>
      <c r="F744" t="str">
        <f>Raw_Data!F744</f>
        <v>Coffee Maker</v>
      </c>
      <c r="G744" t="str">
        <f>Raw_Data!G744</f>
        <v>Corporate</v>
      </c>
      <c r="H744" t="str">
        <f>Raw_Data!H744</f>
        <v>Online</v>
      </c>
      <c r="I744">
        <f>Raw_Data!I744</f>
        <v>1</v>
      </c>
      <c r="J744" s="3">
        <f>Raw_Data!J744</f>
        <v>71.069999999999993</v>
      </c>
      <c r="K744" s="4">
        <f>Raw_Data!K744</f>
        <v>0.05</v>
      </c>
      <c r="L744" s="3">
        <f>Raw_Data!L744</f>
        <v>67.52</v>
      </c>
      <c r="M744" s="3">
        <f>Raw_Data!M744</f>
        <v>35.86</v>
      </c>
      <c r="N744" s="3">
        <f>Raw_Data!N744</f>
        <v>31.66</v>
      </c>
      <c r="O744" t="str">
        <f t="shared" si="33"/>
        <v>2025-09</v>
      </c>
      <c r="P744" s="5">
        <f t="shared" si="34"/>
        <v>0.46889810426540285</v>
      </c>
      <c r="Q744" s="3">
        <f t="shared" si="35"/>
        <v>67.52</v>
      </c>
    </row>
    <row r="745" spans="1:17" x14ac:dyDescent="0.35">
      <c r="A745" t="str">
        <f>Raw_Data!A745</f>
        <v>ORD-0966</v>
      </c>
      <c r="B745" s="2">
        <f>Raw_Data!B745</f>
        <v>45930</v>
      </c>
      <c r="C745" t="str">
        <f>Raw_Data!C745</f>
        <v>South</v>
      </c>
      <c r="D745" t="str">
        <f>Raw_Data!D745</f>
        <v>Bengaluru</v>
      </c>
      <c r="E745" t="str">
        <f>Raw_Data!E745</f>
        <v>Office Supplies</v>
      </c>
      <c r="F745" t="str">
        <f>Raw_Data!F745</f>
        <v>Printer Paper</v>
      </c>
      <c r="G745" t="str">
        <f>Raw_Data!G745</f>
        <v>Corporate</v>
      </c>
      <c r="H745" t="str">
        <f>Raw_Data!H745</f>
        <v>Online</v>
      </c>
      <c r="I745">
        <f>Raw_Data!I745</f>
        <v>2</v>
      </c>
      <c r="J745" s="3">
        <f>Raw_Data!J745</f>
        <v>15.8</v>
      </c>
      <c r="K745" s="4">
        <f>Raw_Data!K745</f>
        <v>0.1</v>
      </c>
      <c r="L745" s="3">
        <f>Raw_Data!L745</f>
        <v>28.44</v>
      </c>
      <c r="M745" s="3">
        <f>Raw_Data!M745</f>
        <v>20.16</v>
      </c>
      <c r="N745" s="3">
        <f>Raw_Data!N745</f>
        <v>8.2799999999999994</v>
      </c>
      <c r="O745" t="str">
        <f t="shared" si="33"/>
        <v>2025-09</v>
      </c>
      <c r="P745" s="5">
        <f t="shared" si="34"/>
        <v>0.29113924050632906</v>
      </c>
      <c r="Q745" s="3">
        <f t="shared" si="35"/>
        <v>28.44</v>
      </c>
    </row>
    <row r="746" spans="1:17" x14ac:dyDescent="0.35">
      <c r="A746" t="str">
        <f>Raw_Data!A746</f>
        <v>ORD-0477</v>
      </c>
      <c r="B746" s="2">
        <f>Raw_Data!B746</f>
        <v>45930</v>
      </c>
      <c r="C746" t="str">
        <f>Raw_Data!C746</f>
        <v>North</v>
      </c>
      <c r="D746" t="str">
        <f>Raw_Data!D746</f>
        <v>Jaipur</v>
      </c>
      <c r="E746" t="str">
        <f>Raw_Data!E746</f>
        <v>Furniture</v>
      </c>
      <c r="F746" t="str">
        <f>Raw_Data!F746</f>
        <v>Standing Desk</v>
      </c>
      <c r="G746" t="str">
        <f>Raw_Data!G746</f>
        <v>Corporate</v>
      </c>
      <c r="H746" t="str">
        <f>Raw_Data!H746</f>
        <v>In-Store</v>
      </c>
      <c r="I746">
        <f>Raw_Data!I746</f>
        <v>4</v>
      </c>
      <c r="J746" s="3">
        <f>Raw_Data!J746</f>
        <v>298.67</v>
      </c>
      <c r="K746" s="4">
        <f>Raw_Data!K746</f>
        <v>0</v>
      </c>
      <c r="L746" s="3">
        <f>Raw_Data!L746</f>
        <v>1194.68</v>
      </c>
      <c r="M746" s="3">
        <f>Raw_Data!M746</f>
        <v>622.41</v>
      </c>
      <c r="N746" s="3">
        <f>Raw_Data!N746</f>
        <v>572.27</v>
      </c>
      <c r="O746" t="str">
        <f t="shared" si="33"/>
        <v>2025-09</v>
      </c>
      <c r="P746" s="5">
        <f t="shared" si="34"/>
        <v>0.47901530116851371</v>
      </c>
      <c r="Q746" s="3">
        <f t="shared" si="35"/>
        <v>1194.68</v>
      </c>
    </row>
    <row r="747" spans="1:17" x14ac:dyDescent="0.35">
      <c r="A747" t="str">
        <f>Raw_Data!A747</f>
        <v>ORD-0911</v>
      </c>
      <c r="B747" s="2">
        <f>Raw_Data!B747</f>
        <v>45930</v>
      </c>
      <c r="C747" t="str">
        <f>Raw_Data!C747</f>
        <v>East</v>
      </c>
      <c r="D747" t="str">
        <f>Raw_Data!D747</f>
        <v>Kolkata</v>
      </c>
      <c r="E747" t="str">
        <f>Raw_Data!E747</f>
        <v>Technology</v>
      </c>
      <c r="F747" t="str">
        <f>Raw_Data!F747</f>
        <v>USB Hub</v>
      </c>
      <c r="G747" t="str">
        <f>Raw_Data!G747</f>
        <v>Small Business</v>
      </c>
      <c r="H747" t="str">
        <f>Raw_Data!H747</f>
        <v>Online</v>
      </c>
      <c r="I747">
        <f>Raw_Data!I747</f>
        <v>2</v>
      </c>
      <c r="J747" s="3">
        <f>Raw_Data!J747</f>
        <v>23.17</v>
      </c>
      <c r="K747" s="4">
        <f>Raw_Data!K747</f>
        <v>0</v>
      </c>
      <c r="L747" s="3">
        <f>Raw_Data!L747</f>
        <v>46.34</v>
      </c>
      <c r="M747" s="3">
        <f>Raw_Data!M747</f>
        <v>27.29</v>
      </c>
      <c r="N747" s="3">
        <f>Raw_Data!N747</f>
        <v>19.05</v>
      </c>
      <c r="O747" t="str">
        <f t="shared" si="33"/>
        <v>2025-09</v>
      </c>
      <c r="P747" s="5">
        <f t="shared" si="34"/>
        <v>0.41109192921881743</v>
      </c>
      <c r="Q747" s="3">
        <f t="shared" si="35"/>
        <v>46.34</v>
      </c>
    </row>
    <row r="748" spans="1:17" x14ac:dyDescent="0.35">
      <c r="A748" t="str">
        <f>Raw_Data!A748</f>
        <v>ORD-0070</v>
      </c>
      <c r="B748" s="2">
        <f>Raw_Data!B748</f>
        <v>45931</v>
      </c>
      <c r="C748" t="str">
        <f>Raw_Data!C748</f>
        <v>South</v>
      </c>
      <c r="D748" t="str">
        <f>Raw_Data!D748</f>
        <v>Bengaluru</v>
      </c>
      <c r="E748" t="str">
        <f>Raw_Data!E748</f>
        <v>Office Supplies</v>
      </c>
      <c r="F748" t="str">
        <f>Raw_Data!F748</f>
        <v>Desk Organizer</v>
      </c>
      <c r="G748" t="str">
        <f>Raw_Data!G748</f>
        <v>Corporate</v>
      </c>
      <c r="H748" t="str">
        <f>Raw_Data!H748</f>
        <v>In-Store</v>
      </c>
      <c r="I748">
        <f>Raw_Data!I748</f>
        <v>1</v>
      </c>
      <c r="J748" s="3">
        <f>Raw_Data!J748</f>
        <v>25.01</v>
      </c>
      <c r="K748" s="4">
        <f>Raw_Data!K748</f>
        <v>0.15</v>
      </c>
      <c r="L748" s="3">
        <f>Raw_Data!L748</f>
        <v>21.26</v>
      </c>
      <c r="M748" s="3">
        <f>Raw_Data!M748</f>
        <v>14.2</v>
      </c>
      <c r="N748" s="3">
        <f>Raw_Data!N748</f>
        <v>7.06</v>
      </c>
      <c r="O748" t="str">
        <f t="shared" si="33"/>
        <v>2025-10</v>
      </c>
      <c r="P748" s="5">
        <f t="shared" si="34"/>
        <v>0.33207902163687675</v>
      </c>
      <c r="Q748" s="3">
        <f t="shared" si="35"/>
        <v>21.26</v>
      </c>
    </row>
    <row r="749" spans="1:17" x14ac:dyDescent="0.35">
      <c r="A749" t="str">
        <f>Raw_Data!A749</f>
        <v>ORD-0198</v>
      </c>
      <c r="B749" s="2">
        <f>Raw_Data!B749</f>
        <v>45931</v>
      </c>
      <c r="C749" t="str">
        <f>Raw_Data!C749</f>
        <v>North</v>
      </c>
      <c r="D749" t="str">
        <f>Raw_Data!D749</f>
        <v>Delhi</v>
      </c>
      <c r="E749" t="str">
        <f>Raw_Data!E749</f>
        <v>Technology</v>
      </c>
      <c r="F749" t="str">
        <f>Raw_Data!F749</f>
        <v>Keyboard</v>
      </c>
      <c r="G749" t="str">
        <f>Raw_Data!G749</f>
        <v>Small Business</v>
      </c>
      <c r="H749" t="str">
        <f>Raw_Data!H749</f>
        <v>In-Store</v>
      </c>
      <c r="I749">
        <f>Raw_Data!I749</f>
        <v>7</v>
      </c>
      <c r="J749" s="3">
        <f>Raw_Data!J749</f>
        <v>37.08</v>
      </c>
      <c r="K749" s="4">
        <f>Raw_Data!K749</f>
        <v>0</v>
      </c>
      <c r="L749" s="3">
        <f>Raw_Data!L749</f>
        <v>259.56</v>
      </c>
      <c r="M749" s="3">
        <f>Raw_Data!M749</f>
        <v>197.31</v>
      </c>
      <c r="N749" s="3">
        <f>Raw_Data!N749</f>
        <v>62.25</v>
      </c>
      <c r="O749" t="str">
        <f t="shared" si="33"/>
        <v>2025-10</v>
      </c>
      <c r="P749" s="5">
        <f t="shared" si="34"/>
        <v>0.23982894128525195</v>
      </c>
      <c r="Q749" s="3">
        <f t="shared" si="35"/>
        <v>259.56</v>
      </c>
    </row>
    <row r="750" spans="1:17" x14ac:dyDescent="0.35">
      <c r="A750" t="str">
        <f>Raw_Data!A750</f>
        <v>ORD-0008</v>
      </c>
      <c r="B750" s="2">
        <f>Raw_Data!B750</f>
        <v>45931</v>
      </c>
      <c r="C750" t="str">
        <f>Raw_Data!C750</f>
        <v>East</v>
      </c>
      <c r="D750" t="str">
        <f>Raw_Data!D750</f>
        <v>Kolkata</v>
      </c>
      <c r="E750" t="str">
        <f>Raw_Data!E750</f>
        <v>Office Supplies</v>
      </c>
      <c r="F750" t="str">
        <f>Raw_Data!F750</f>
        <v>Pen Set</v>
      </c>
      <c r="G750" t="str">
        <f>Raw_Data!G750</f>
        <v>Consumer</v>
      </c>
      <c r="H750" t="str">
        <f>Raw_Data!H750</f>
        <v>Online</v>
      </c>
      <c r="I750">
        <f>Raw_Data!I750</f>
        <v>8</v>
      </c>
      <c r="J750" s="3">
        <f>Raw_Data!J750</f>
        <v>7.86</v>
      </c>
      <c r="K750" s="4">
        <f>Raw_Data!K750</f>
        <v>0.15</v>
      </c>
      <c r="L750" s="3">
        <f>Raw_Data!L750</f>
        <v>53.45</v>
      </c>
      <c r="M750" s="3">
        <f>Raw_Data!M750</f>
        <v>34.33</v>
      </c>
      <c r="N750" s="3">
        <f>Raw_Data!N750</f>
        <v>19.12</v>
      </c>
      <c r="O750" t="str">
        <f t="shared" si="33"/>
        <v>2025-10</v>
      </c>
      <c r="P750" s="5">
        <f t="shared" si="34"/>
        <v>0.35771749298409727</v>
      </c>
      <c r="Q750" s="3">
        <f t="shared" si="35"/>
        <v>53.45</v>
      </c>
    </row>
    <row r="751" spans="1:17" x14ac:dyDescent="0.35">
      <c r="A751" t="str">
        <f>Raw_Data!A751</f>
        <v>ORD-0022</v>
      </c>
      <c r="B751" s="2">
        <f>Raw_Data!B751</f>
        <v>45932</v>
      </c>
      <c r="C751" t="str">
        <f>Raw_Data!C751</f>
        <v>North</v>
      </c>
      <c r="D751" t="str">
        <f>Raw_Data!D751</f>
        <v>Delhi</v>
      </c>
      <c r="E751" t="str">
        <f>Raw_Data!E751</f>
        <v>Home &amp; Kitchen</v>
      </c>
      <c r="F751" t="str">
        <f>Raw_Data!F751</f>
        <v>Storage Box</v>
      </c>
      <c r="G751" t="str">
        <f>Raw_Data!G751</f>
        <v>Small Business</v>
      </c>
      <c r="H751" t="str">
        <f>Raw_Data!H751</f>
        <v>Marketplace</v>
      </c>
      <c r="I751">
        <f>Raw_Data!I751</f>
        <v>7</v>
      </c>
      <c r="J751" s="3">
        <f>Raw_Data!J751</f>
        <v>12.8</v>
      </c>
      <c r="K751" s="4">
        <f>Raw_Data!K751</f>
        <v>0.1</v>
      </c>
      <c r="L751" s="3">
        <f>Raw_Data!L751</f>
        <v>80.64</v>
      </c>
      <c r="M751" s="3">
        <f>Raw_Data!M751</f>
        <v>49.72</v>
      </c>
      <c r="N751" s="3">
        <f>Raw_Data!N751</f>
        <v>30.92</v>
      </c>
      <c r="O751" t="str">
        <f t="shared" si="33"/>
        <v>2025-10</v>
      </c>
      <c r="P751" s="5">
        <f t="shared" si="34"/>
        <v>0.38343253968253971</v>
      </c>
      <c r="Q751" s="3">
        <f t="shared" si="35"/>
        <v>80.64</v>
      </c>
    </row>
    <row r="752" spans="1:17" x14ac:dyDescent="0.35">
      <c r="A752" t="str">
        <f>Raw_Data!A752</f>
        <v>ORD-0231</v>
      </c>
      <c r="B752" s="2">
        <f>Raw_Data!B752</f>
        <v>45932</v>
      </c>
      <c r="C752" t="str">
        <f>Raw_Data!C752</f>
        <v>South</v>
      </c>
      <c r="D752" t="str">
        <f>Raw_Data!D752</f>
        <v>Hyderabad</v>
      </c>
      <c r="E752" t="str">
        <f>Raw_Data!E752</f>
        <v>Furniture</v>
      </c>
      <c r="F752" t="str">
        <f>Raw_Data!F752</f>
        <v>Office Chair</v>
      </c>
      <c r="G752" t="str">
        <f>Raw_Data!G752</f>
        <v>Consumer</v>
      </c>
      <c r="H752" t="str">
        <f>Raw_Data!H752</f>
        <v>Online</v>
      </c>
      <c r="I752">
        <f>Raw_Data!I752</f>
        <v>9</v>
      </c>
      <c r="J752" s="3">
        <f>Raw_Data!J752</f>
        <v>164.52</v>
      </c>
      <c r="K752" s="4">
        <f>Raw_Data!K752</f>
        <v>0.1</v>
      </c>
      <c r="L752" s="3">
        <f>Raw_Data!L752</f>
        <v>1332.61</v>
      </c>
      <c r="M752" s="3">
        <f>Raw_Data!M752</f>
        <v>1068.83</v>
      </c>
      <c r="N752" s="3">
        <f>Raw_Data!N752</f>
        <v>263.77999999999997</v>
      </c>
      <c r="O752" t="str">
        <f t="shared" si="33"/>
        <v>2025-10</v>
      </c>
      <c r="P752" s="5">
        <f t="shared" si="34"/>
        <v>0.19794238374318068</v>
      </c>
      <c r="Q752" s="3">
        <f t="shared" si="35"/>
        <v>1332.61</v>
      </c>
    </row>
    <row r="753" spans="1:17" x14ac:dyDescent="0.35">
      <c r="A753" t="str">
        <f>Raw_Data!A753</f>
        <v>ORD-0414</v>
      </c>
      <c r="B753" s="2">
        <f>Raw_Data!B753</f>
        <v>45933</v>
      </c>
      <c r="C753" t="str">
        <f>Raw_Data!C753</f>
        <v>South</v>
      </c>
      <c r="D753" t="str">
        <f>Raw_Data!D753</f>
        <v>Bengaluru</v>
      </c>
      <c r="E753" t="str">
        <f>Raw_Data!E753</f>
        <v>Technology</v>
      </c>
      <c r="F753" t="str">
        <f>Raw_Data!F753</f>
        <v>Headphones</v>
      </c>
      <c r="G753" t="str">
        <f>Raw_Data!G753</f>
        <v>Consumer</v>
      </c>
      <c r="H753" t="str">
        <f>Raw_Data!H753</f>
        <v>Online</v>
      </c>
      <c r="I753">
        <f>Raw_Data!I753</f>
        <v>4</v>
      </c>
      <c r="J753" s="3">
        <f>Raw_Data!J753</f>
        <v>61.15</v>
      </c>
      <c r="K753" s="4">
        <f>Raw_Data!K753</f>
        <v>0.05</v>
      </c>
      <c r="L753" s="3">
        <f>Raw_Data!L753</f>
        <v>232.37</v>
      </c>
      <c r="M753" s="3">
        <f>Raw_Data!M753</f>
        <v>132.94999999999999</v>
      </c>
      <c r="N753" s="3">
        <f>Raw_Data!N753</f>
        <v>99.42</v>
      </c>
      <c r="O753" t="str">
        <f t="shared" si="33"/>
        <v>2025-10</v>
      </c>
      <c r="P753" s="5">
        <f t="shared" si="34"/>
        <v>0.42785213237509145</v>
      </c>
      <c r="Q753" s="3">
        <f t="shared" si="35"/>
        <v>232.37</v>
      </c>
    </row>
    <row r="754" spans="1:17" x14ac:dyDescent="0.35">
      <c r="A754" t="str">
        <f>Raw_Data!A754</f>
        <v>ORD-0515</v>
      </c>
      <c r="B754" s="2">
        <f>Raw_Data!B754</f>
        <v>45933</v>
      </c>
      <c r="C754" t="str">
        <f>Raw_Data!C754</f>
        <v>South</v>
      </c>
      <c r="D754" t="str">
        <f>Raw_Data!D754</f>
        <v>Hyderabad</v>
      </c>
      <c r="E754" t="str">
        <f>Raw_Data!E754</f>
        <v>Office Supplies</v>
      </c>
      <c r="F754" t="str">
        <f>Raw_Data!F754</f>
        <v>Pen Set</v>
      </c>
      <c r="G754" t="str">
        <f>Raw_Data!G754</f>
        <v>Corporate</v>
      </c>
      <c r="H754" t="str">
        <f>Raw_Data!H754</f>
        <v>Marketplace</v>
      </c>
      <c r="I754">
        <f>Raw_Data!I754</f>
        <v>9</v>
      </c>
      <c r="J754" s="3">
        <f>Raw_Data!J754</f>
        <v>8.27</v>
      </c>
      <c r="K754" s="4">
        <f>Raw_Data!K754</f>
        <v>0.05</v>
      </c>
      <c r="L754" s="3">
        <f>Raw_Data!L754</f>
        <v>70.709999999999994</v>
      </c>
      <c r="M754" s="3">
        <f>Raw_Data!M754</f>
        <v>47.98</v>
      </c>
      <c r="N754" s="3">
        <f>Raw_Data!N754</f>
        <v>22.73</v>
      </c>
      <c r="O754" t="str">
        <f t="shared" si="33"/>
        <v>2025-10</v>
      </c>
      <c r="P754" s="5">
        <f t="shared" si="34"/>
        <v>0.32145382548437285</v>
      </c>
      <c r="Q754" s="3">
        <f t="shared" si="35"/>
        <v>70.709999999999994</v>
      </c>
    </row>
    <row r="755" spans="1:17" x14ac:dyDescent="0.35">
      <c r="A755" t="str">
        <f>Raw_Data!A755</f>
        <v>ORD-0631</v>
      </c>
      <c r="B755" s="2">
        <f>Raw_Data!B755</f>
        <v>45934</v>
      </c>
      <c r="C755" t="str">
        <f>Raw_Data!C755</f>
        <v>South</v>
      </c>
      <c r="D755" t="str">
        <f>Raw_Data!D755</f>
        <v>Chennai</v>
      </c>
      <c r="E755" t="str">
        <f>Raw_Data!E755</f>
        <v>Technology</v>
      </c>
      <c r="F755" t="str">
        <f>Raw_Data!F755</f>
        <v>USB Hub</v>
      </c>
      <c r="G755" t="str">
        <f>Raw_Data!G755</f>
        <v>Corporate</v>
      </c>
      <c r="H755" t="str">
        <f>Raw_Data!H755</f>
        <v>Online</v>
      </c>
      <c r="I755">
        <f>Raw_Data!I755</f>
        <v>12</v>
      </c>
      <c r="J755" s="3">
        <f>Raw_Data!J755</f>
        <v>28.29</v>
      </c>
      <c r="K755" s="4">
        <f>Raw_Data!K755</f>
        <v>0.15</v>
      </c>
      <c r="L755" s="3">
        <f>Raw_Data!L755</f>
        <v>288.56</v>
      </c>
      <c r="M755" s="3">
        <f>Raw_Data!M755</f>
        <v>251.67</v>
      </c>
      <c r="N755" s="3">
        <f>Raw_Data!N755</f>
        <v>36.89</v>
      </c>
      <c r="O755" t="str">
        <f t="shared" si="33"/>
        <v>2025-10</v>
      </c>
      <c r="P755" s="5">
        <f t="shared" si="34"/>
        <v>0.12784169670085943</v>
      </c>
      <c r="Q755" s="3">
        <f t="shared" si="35"/>
        <v>288.56</v>
      </c>
    </row>
    <row r="756" spans="1:17" x14ac:dyDescent="0.35">
      <c r="A756" t="str">
        <f>Raw_Data!A756</f>
        <v>ORD-0083</v>
      </c>
      <c r="B756" s="2">
        <f>Raw_Data!B756</f>
        <v>45935</v>
      </c>
      <c r="C756" t="str">
        <f>Raw_Data!C756</f>
        <v>West</v>
      </c>
      <c r="D756" t="str">
        <f>Raw_Data!D756</f>
        <v>Mumbai</v>
      </c>
      <c r="E756" t="str">
        <f>Raw_Data!E756</f>
        <v>Home &amp; Kitchen</v>
      </c>
      <c r="F756" t="str">
        <f>Raw_Data!F756</f>
        <v>Lunch Box</v>
      </c>
      <c r="G756" t="str">
        <f>Raw_Data!G756</f>
        <v>Corporate</v>
      </c>
      <c r="H756" t="str">
        <f>Raw_Data!H756</f>
        <v>In-Store</v>
      </c>
      <c r="I756">
        <f>Raw_Data!I756</f>
        <v>1</v>
      </c>
      <c r="J756" s="3">
        <f>Raw_Data!J756</f>
        <v>18.309999999999999</v>
      </c>
      <c r="K756" s="4">
        <f>Raw_Data!K756</f>
        <v>0.05</v>
      </c>
      <c r="L756" s="3">
        <f>Raw_Data!L756</f>
        <v>17.39</v>
      </c>
      <c r="M756" s="3">
        <f>Raw_Data!M756</f>
        <v>12.21</v>
      </c>
      <c r="N756" s="3">
        <f>Raw_Data!N756</f>
        <v>5.18</v>
      </c>
      <c r="O756" t="str">
        <f t="shared" si="33"/>
        <v>2025-10</v>
      </c>
      <c r="P756" s="5">
        <f t="shared" si="34"/>
        <v>0.2978723404255319</v>
      </c>
      <c r="Q756" s="3">
        <f t="shared" si="35"/>
        <v>17.39</v>
      </c>
    </row>
    <row r="757" spans="1:17" x14ac:dyDescent="0.35">
      <c r="A757" t="str">
        <f>Raw_Data!A757</f>
        <v>ORD-0314</v>
      </c>
      <c r="B757" s="2">
        <f>Raw_Data!B757</f>
        <v>45936</v>
      </c>
      <c r="C757" t="str">
        <f>Raw_Data!C757</f>
        <v>North</v>
      </c>
      <c r="D757" t="str">
        <f>Raw_Data!D757</f>
        <v>Delhi</v>
      </c>
      <c r="E757" t="str">
        <f>Raw_Data!E757</f>
        <v>Home &amp; Kitchen</v>
      </c>
      <c r="F757" t="str">
        <f>Raw_Data!F757</f>
        <v>Coffee Maker</v>
      </c>
      <c r="G757" t="str">
        <f>Raw_Data!G757</f>
        <v>Small Business</v>
      </c>
      <c r="H757" t="str">
        <f>Raw_Data!H757</f>
        <v>Marketplace</v>
      </c>
      <c r="I757">
        <f>Raw_Data!I757</f>
        <v>10</v>
      </c>
      <c r="J757" s="3">
        <f>Raw_Data!J757</f>
        <v>73.86</v>
      </c>
      <c r="K757" s="4">
        <f>Raw_Data!K757</f>
        <v>0.1</v>
      </c>
      <c r="L757" s="3">
        <f>Raw_Data!L757</f>
        <v>664.74</v>
      </c>
      <c r="M757" s="3">
        <f>Raw_Data!M757</f>
        <v>414.45</v>
      </c>
      <c r="N757" s="3">
        <f>Raw_Data!N757</f>
        <v>250.29</v>
      </c>
      <c r="O757" t="str">
        <f t="shared" si="33"/>
        <v>2025-10</v>
      </c>
      <c r="P757" s="5">
        <f t="shared" si="34"/>
        <v>0.37652315190901703</v>
      </c>
      <c r="Q757" s="3">
        <f t="shared" si="35"/>
        <v>664.74</v>
      </c>
    </row>
    <row r="758" spans="1:17" x14ac:dyDescent="0.35">
      <c r="A758" t="str">
        <f>Raw_Data!A758</f>
        <v>ORD-0236</v>
      </c>
      <c r="B758" s="2">
        <f>Raw_Data!B758</f>
        <v>45936</v>
      </c>
      <c r="C758" t="str">
        <f>Raw_Data!C758</f>
        <v>West</v>
      </c>
      <c r="D758" t="str">
        <f>Raw_Data!D758</f>
        <v>Mumbai</v>
      </c>
      <c r="E758" t="str">
        <f>Raw_Data!E758</f>
        <v>Technology</v>
      </c>
      <c r="F758" t="str">
        <f>Raw_Data!F758</f>
        <v>Keyboard</v>
      </c>
      <c r="G758" t="str">
        <f>Raw_Data!G758</f>
        <v>Consumer</v>
      </c>
      <c r="H758" t="str">
        <f>Raw_Data!H758</f>
        <v>In-Store</v>
      </c>
      <c r="I758">
        <f>Raw_Data!I758</f>
        <v>6</v>
      </c>
      <c r="J758" s="3">
        <f>Raw_Data!J758</f>
        <v>27.38</v>
      </c>
      <c r="K758" s="4">
        <f>Raw_Data!K758</f>
        <v>0</v>
      </c>
      <c r="L758" s="3">
        <f>Raw_Data!L758</f>
        <v>164.28</v>
      </c>
      <c r="M758" s="3">
        <f>Raw_Data!M758</f>
        <v>107.79</v>
      </c>
      <c r="N758" s="3">
        <f>Raw_Data!N758</f>
        <v>56.49</v>
      </c>
      <c r="O758" t="str">
        <f t="shared" si="33"/>
        <v>2025-10</v>
      </c>
      <c r="P758" s="5">
        <f t="shared" si="34"/>
        <v>0.34386413440467495</v>
      </c>
      <c r="Q758" s="3">
        <f t="shared" si="35"/>
        <v>164.28</v>
      </c>
    </row>
    <row r="759" spans="1:17" x14ac:dyDescent="0.35">
      <c r="A759" t="str">
        <f>Raw_Data!A759</f>
        <v>ORD-0200</v>
      </c>
      <c r="B759" s="2">
        <f>Raw_Data!B759</f>
        <v>45936</v>
      </c>
      <c r="C759" t="str">
        <f>Raw_Data!C759</f>
        <v>East</v>
      </c>
      <c r="D759" t="str">
        <f>Raw_Data!D759</f>
        <v>Bhubaneswar</v>
      </c>
      <c r="E759" t="str">
        <f>Raw_Data!E759</f>
        <v>Home &amp; Kitchen</v>
      </c>
      <c r="F759" t="str">
        <f>Raw_Data!F759</f>
        <v>Storage Box</v>
      </c>
      <c r="G759" t="str">
        <f>Raw_Data!G759</f>
        <v>Consumer</v>
      </c>
      <c r="H759" t="str">
        <f>Raw_Data!H759</f>
        <v>Marketplace</v>
      </c>
      <c r="I759">
        <f>Raw_Data!I759</f>
        <v>9</v>
      </c>
      <c r="J759" s="3">
        <f>Raw_Data!J759</f>
        <v>14.19</v>
      </c>
      <c r="K759" s="4">
        <f>Raw_Data!K759</f>
        <v>0</v>
      </c>
      <c r="L759" s="3">
        <f>Raw_Data!L759</f>
        <v>127.71</v>
      </c>
      <c r="M759" s="3">
        <f>Raw_Data!M759</f>
        <v>92.29</v>
      </c>
      <c r="N759" s="3">
        <f>Raw_Data!N759</f>
        <v>35.42</v>
      </c>
      <c r="O759" t="str">
        <f t="shared" si="33"/>
        <v>2025-10</v>
      </c>
      <c r="P759" s="5">
        <f t="shared" si="34"/>
        <v>0.27734711455641692</v>
      </c>
      <c r="Q759" s="3">
        <f t="shared" si="35"/>
        <v>127.71</v>
      </c>
    </row>
    <row r="760" spans="1:17" x14ac:dyDescent="0.35">
      <c r="A760" t="str">
        <f>Raw_Data!A760</f>
        <v>ORD-0053</v>
      </c>
      <c r="B760" s="2">
        <f>Raw_Data!B760</f>
        <v>45937</v>
      </c>
      <c r="C760" t="str">
        <f>Raw_Data!C760</f>
        <v>East</v>
      </c>
      <c r="D760" t="str">
        <f>Raw_Data!D760</f>
        <v>Bhubaneswar</v>
      </c>
      <c r="E760" t="str">
        <f>Raw_Data!E760</f>
        <v>Office Supplies</v>
      </c>
      <c r="F760" t="str">
        <f>Raw_Data!F760</f>
        <v>Printer Paper</v>
      </c>
      <c r="G760" t="str">
        <f>Raw_Data!G760</f>
        <v>Corporate</v>
      </c>
      <c r="H760" t="str">
        <f>Raw_Data!H760</f>
        <v>Marketplace</v>
      </c>
      <c r="I760">
        <f>Raw_Data!I760</f>
        <v>4</v>
      </c>
      <c r="J760" s="3">
        <f>Raw_Data!J760</f>
        <v>14.18</v>
      </c>
      <c r="K760" s="4">
        <f>Raw_Data!K760</f>
        <v>0.1</v>
      </c>
      <c r="L760" s="3">
        <f>Raw_Data!L760</f>
        <v>51.05</v>
      </c>
      <c r="M760" s="3">
        <f>Raw_Data!M760</f>
        <v>27.72</v>
      </c>
      <c r="N760" s="3">
        <f>Raw_Data!N760</f>
        <v>23.33</v>
      </c>
      <c r="O760" t="str">
        <f t="shared" si="33"/>
        <v>2025-10</v>
      </c>
      <c r="P760" s="5">
        <f t="shared" si="34"/>
        <v>0.45700293829578842</v>
      </c>
      <c r="Q760" s="3">
        <f t="shared" si="35"/>
        <v>51.05</v>
      </c>
    </row>
    <row r="761" spans="1:17" x14ac:dyDescent="0.35">
      <c r="A761" t="str">
        <f>Raw_Data!A761</f>
        <v>ORD-0228</v>
      </c>
      <c r="B761" s="2">
        <f>Raw_Data!B761</f>
        <v>45937</v>
      </c>
      <c r="C761" t="str">
        <f>Raw_Data!C761</f>
        <v>North</v>
      </c>
      <c r="D761" t="str">
        <f>Raw_Data!D761</f>
        <v>Delhi</v>
      </c>
      <c r="E761" t="str">
        <f>Raw_Data!E761</f>
        <v>Home &amp; Kitchen</v>
      </c>
      <c r="F761" t="str">
        <f>Raw_Data!F761</f>
        <v>Storage Box</v>
      </c>
      <c r="G761" t="str">
        <f>Raw_Data!G761</f>
        <v>Corporate</v>
      </c>
      <c r="H761" t="str">
        <f>Raw_Data!H761</f>
        <v>Online</v>
      </c>
      <c r="I761">
        <f>Raw_Data!I761</f>
        <v>9</v>
      </c>
      <c r="J761" s="3">
        <f>Raw_Data!J761</f>
        <v>16.75</v>
      </c>
      <c r="K761" s="4">
        <f>Raw_Data!K761</f>
        <v>0</v>
      </c>
      <c r="L761" s="3">
        <f>Raw_Data!L761</f>
        <v>150.75</v>
      </c>
      <c r="M761" s="3">
        <f>Raw_Data!M761</f>
        <v>96.06</v>
      </c>
      <c r="N761" s="3">
        <f>Raw_Data!N761</f>
        <v>54.69</v>
      </c>
      <c r="O761" t="str">
        <f t="shared" si="33"/>
        <v>2025-10</v>
      </c>
      <c r="P761" s="5">
        <f t="shared" si="34"/>
        <v>0.36278606965174126</v>
      </c>
      <c r="Q761" s="3">
        <f t="shared" si="35"/>
        <v>150.75</v>
      </c>
    </row>
    <row r="762" spans="1:17" x14ac:dyDescent="0.35">
      <c r="A762" t="str">
        <f>Raw_Data!A762</f>
        <v>ORD-0161</v>
      </c>
      <c r="B762" s="2">
        <f>Raw_Data!B762</f>
        <v>45937</v>
      </c>
      <c r="C762" t="str">
        <f>Raw_Data!C762</f>
        <v>West</v>
      </c>
      <c r="D762" t="str">
        <f>Raw_Data!D762</f>
        <v>Pune</v>
      </c>
      <c r="E762" t="str">
        <f>Raw_Data!E762</f>
        <v>Furniture</v>
      </c>
      <c r="F762" t="str">
        <f>Raw_Data!F762</f>
        <v>Bookshelf</v>
      </c>
      <c r="G762" t="str">
        <f>Raw_Data!G762</f>
        <v>Consumer</v>
      </c>
      <c r="H762" t="str">
        <f>Raw_Data!H762</f>
        <v>Marketplace</v>
      </c>
      <c r="I762">
        <f>Raw_Data!I762</f>
        <v>2</v>
      </c>
      <c r="J762" s="3">
        <f>Raw_Data!J762</f>
        <v>96.58</v>
      </c>
      <c r="K762" s="4">
        <f>Raw_Data!K762</f>
        <v>0.05</v>
      </c>
      <c r="L762" s="3">
        <f>Raw_Data!L762</f>
        <v>183.5</v>
      </c>
      <c r="M762" s="3">
        <f>Raw_Data!M762</f>
        <v>110.48</v>
      </c>
      <c r="N762" s="3">
        <f>Raw_Data!N762</f>
        <v>73.02</v>
      </c>
      <c r="O762" t="str">
        <f t="shared" si="33"/>
        <v>2025-10</v>
      </c>
      <c r="P762" s="5">
        <f t="shared" si="34"/>
        <v>0.39792915531335149</v>
      </c>
      <c r="Q762" s="3">
        <f t="shared" si="35"/>
        <v>183.5</v>
      </c>
    </row>
    <row r="763" spans="1:17" x14ac:dyDescent="0.35">
      <c r="A763" t="str">
        <f>Raw_Data!A763</f>
        <v>ORD-0533</v>
      </c>
      <c r="B763" s="2">
        <f>Raw_Data!B763</f>
        <v>45937</v>
      </c>
      <c r="C763" t="str">
        <f>Raw_Data!C763</f>
        <v>South</v>
      </c>
      <c r="D763" t="str">
        <f>Raw_Data!D763</f>
        <v>Chennai</v>
      </c>
      <c r="E763" t="str">
        <f>Raw_Data!E763</f>
        <v>Office Supplies</v>
      </c>
      <c r="F763" t="str">
        <f>Raw_Data!F763</f>
        <v>Printer Paper</v>
      </c>
      <c r="G763" t="str">
        <f>Raw_Data!G763</f>
        <v>Small Business</v>
      </c>
      <c r="H763" t="str">
        <f>Raw_Data!H763</f>
        <v>Online</v>
      </c>
      <c r="I763">
        <f>Raw_Data!I763</f>
        <v>7</v>
      </c>
      <c r="J763" s="3">
        <f>Raw_Data!J763</f>
        <v>14.45</v>
      </c>
      <c r="K763" s="4">
        <f>Raw_Data!K763</f>
        <v>0</v>
      </c>
      <c r="L763" s="3">
        <f>Raw_Data!L763</f>
        <v>101.15</v>
      </c>
      <c r="M763" s="3">
        <f>Raw_Data!M763</f>
        <v>53.98</v>
      </c>
      <c r="N763" s="3">
        <f>Raw_Data!N763</f>
        <v>47.17</v>
      </c>
      <c r="O763" t="str">
        <f t="shared" si="33"/>
        <v>2025-10</v>
      </c>
      <c r="P763" s="5">
        <f t="shared" si="34"/>
        <v>0.4663371230845279</v>
      </c>
      <c r="Q763" s="3">
        <f t="shared" si="35"/>
        <v>101.15</v>
      </c>
    </row>
    <row r="764" spans="1:17" x14ac:dyDescent="0.35">
      <c r="A764" t="str">
        <f>Raw_Data!A764</f>
        <v>ORD-0499</v>
      </c>
      <c r="B764" s="2">
        <f>Raw_Data!B764</f>
        <v>45939</v>
      </c>
      <c r="C764" t="str">
        <f>Raw_Data!C764</f>
        <v>East</v>
      </c>
      <c r="D764" t="str">
        <f>Raw_Data!D764</f>
        <v>Bhubaneswar</v>
      </c>
      <c r="E764" t="str">
        <f>Raw_Data!E764</f>
        <v>Home &amp; Kitchen</v>
      </c>
      <c r="F764" t="str">
        <f>Raw_Data!F764</f>
        <v>Coffee Maker</v>
      </c>
      <c r="G764" t="str">
        <f>Raw_Data!G764</f>
        <v>Small Business</v>
      </c>
      <c r="H764" t="str">
        <f>Raw_Data!H764</f>
        <v>Marketplace</v>
      </c>
      <c r="I764">
        <f>Raw_Data!I764</f>
        <v>11</v>
      </c>
      <c r="J764" s="3">
        <f>Raw_Data!J764</f>
        <v>65.19</v>
      </c>
      <c r="K764" s="4">
        <f>Raw_Data!K764</f>
        <v>0.15</v>
      </c>
      <c r="L764" s="3">
        <f>Raw_Data!L764</f>
        <v>609.53</v>
      </c>
      <c r="M764" s="3">
        <f>Raw_Data!M764</f>
        <v>439.51</v>
      </c>
      <c r="N764" s="3">
        <f>Raw_Data!N764</f>
        <v>170.02</v>
      </c>
      <c r="O764" t="str">
        <f t="shared" si="33"/>
        <v>2025-10</v>
      </c>
      <c r="P764" s="5">
        <f t="shared" si="34"/>
        <v>0.27893622955391861</v>
      </c>
      <c r="Q764" s="3">
        <f t="shared" si="35"/>
        <v>609.53</v>
      </c>
    </row>
    <row r="765" spans="1:17" x14ac:dyDescent="0.35">
      <c r="A765" t="str">
        <f>Raw_Data!A765</f>
        <v>ORD-0559</v>
      </c>
      <c r="B765" s="2">
        <f>Raw_Data!B765</f>
        <v>45939</v>
      </c>
      <c r="C765" t="str">
        <f>Raw_Data!C765</f>
        <v>South</v>
      </c>
      <c r="D765" t="str">
        <f>Raw_Data!D765</f>
        <v>Hyderabad</v>
      </c>
      <c r="E765" t="str">
        <f>Raw_Data!E765</f>
        <v>Furniture</v>
      </c>
      <c r="F765" t="str">
        <f>Raw_Data!F765</f>
        <v>Bookshelf</v>
      </c>
      <c r="G765" t="str">
        <f>Raw_Data!G765</f>
        <v>Consumer</v>
      </c>
      <c r="H765" t="str">
        <f>Raw_Data!H765</f>
        <v>In-Store</v>
      </c>
      <c r="I765">
        <f>Raw_Data!I765</f>
        <v>3</v>
      </c>
      <c r="J765" s="3">
        <f>Raw_Data!J765</f>
        <v>129.82</v>
      </c>
      <c r="K765" s="4">
        <f>Raw_Data!K765</f>
        <v>0.05</v>
      </c>
      <c r="L765" s="3">
        <f>Raw_Data!L765</f>
        <v>369.99</v>
      </c>
      <c r="M765" s="3">
        <f>Raw_Data!M765</f>
        <v>254.02</v>
      </c>
      <c r="N765" s="3">
        <f>Raw_Data!N765</f>
        <v>115.97</v>
      </c>
      <c r="O765" t="str">
        <f t="shared" si="33"/>
        <v>2025-10</v>
      </c>
      <c r="P765" s="5">
        <f t="shared" si="34"/>
        <v>0.31344090380821105</v>
      </c>
      <c r="Q765" s="3">
        <f t="shared" si="35"/>
        <v>369.99</v>
      </c>
    </row>
    <row r="766" spans="1:17" x14ac:dyDescent="0.35">
      <c r="A766" t="str">
        <f>Raw_Data!A766</f>
        <v>ORD-0034</v>
      </c>
      <c r="B766" s="2">
        <f>Raw_Data!B766</f>
        <v>45940</v>
      </c>
      <c r="C766" t="str">
        <f>Raw_Data!C766</f>
        <v>East</v>
      </c>
      <c r="D766" t="str">
        <f>Raw_Data!D766</f>
        <v>Kolkata</v>
      </c>
      <c r="E766" t="str">
        <f>Raw_Data!E766</f>
        <v>Home &amp; Kitchen</v>
      </c>
      <c r="F766" t="str">
        <f>Raw_Data!F766</f>
        <v>Water Bottle</v>
      </c>
      <c r="G766" t="str">
        <f>Raw_Data!G766</f>
        <v>Corporate</v>
      </c>
      <c r="H766" t="str">
        <f>Raw_Data!H766</f>
        <v>Marketplace</v>
      </c>
      <c r="I766">
        <f>Raw_Data!I766</f>
        <v>2</v>
      </c>
      <c r="J766" s="3">
        <f>Raw_Data!J766</f>
        <v>14.02</v>
      </c>
      <c r="K766" s="4">
        <f>Raw_Data!K766</f>
        <v>0</v>
      </c>
      <c r="L766" s="3">
        <f>Raw_Data!L766</f>
        <v>28.04</v>
      </c>
      <c r="M766" s="3">
        <f>Raw_Data!M766</f>
        <v>18.05</v>
      </c>
      <c r="N766" s="3">
        <f>Raw_Data!N766</f>
        <v>9.99</v>
      </c>
      <c r="O766" t="str">
        <f t="shared" si="33"/>
        <v>2025-10</v>
      </c>
      <c r="P766" s="5">
        <f t="shared" si="34"/>
        <v>0.35627674750356636</v>
      </c>
      <c r="Q766" s="3">
        <f t="shared" si="35"/>
        <v>28.04</v>
      </c>
    </row>
    <row r="767" spans="1:17" x14ac:dyDescent="0.35">
      <c r="A767" t="str">
        <f>Raw_Data!A767</f>
        <v>ORD-0085</v>
      </c>
      <c r="B767" s="2">
        <f>Raw_Data!B767</f>
        <v>45940</v>
      </c>
      <c r="C767" t="str">
        <f>Raw_Data!C767</f>
        <v>North</v>
      </c>
      <c r="D767" t="str">
        <f>Raw_Data!D767</f>
        <v>Chandigarh</v>
      </c>
      <c r="E767" t="str">
        <f>Raw_Data!E767</f>
        <v>Technology</v>
      </c>
      <c r="F767" t="str">
        <f>Raw_Data!F767</f>
        <v>USB Hub</v>
      </c>
      <c r="G767" t="str">
        <f>Raw_Data!G767</f>
        <v>Corporate</v>
      </c>
      <c r="H767" t="str">
        <f>Raw_Data!H767</f>
        <v>Online</v>
      </c>
      <c r="I767">
        <f>Raw_Data!I767</f>
        <v>2</v>
      </c>
      <c r="J767" s="3">
        <f>Raw_Data!J767</f>
        <v>22.29</v>
      </c>
      <c r="K767" s="4">
        <f>Raw_Data!K767</f>
        <v>0</v>
      </c>
      <c r="L767" s="3">
        <f>Raw_Data!L767</f>
        <v>44.58</v>
      </c>
      <c r="M767" s="3">
        <f>Raw_Data!M767</f>
        <v>27.57</v>
      </c>
      <c r="N767" s="3">
        <f>Raw_Data!N767</f>
        <v>17.010000000000002</v>
      </c>
      <c r="O767" t="str">
        <f t="shared" si="33"/>
        <v>2025-10</v>
      </c>
      <c r="P767" s="5">
        <f t="shared" si="34"/>
        <v>0.38156123822341864</v>
      </c>
      <c r="Q767" s="3">
        <f t="shared" si="35"/>
        <v>44.58</v>
      </c>
    </row>
    <row r="768" spans="1:17" x14ac:dyDescent="0.35">
      <c r="A768" t="str">
        <f>Raw_Data!A768</f>
        <v>ORD-0422</v>
      </c>
      <c r="B768" s="2">
        <f>Raw_Data!B768</f>
        <v>45940</v>
      </c>
      <c r="C768" t="str">
        <f>Raw_Data!C768</f>
        <v>East</v>
      </c>
      <c r="D768" t="str">
        <f>Raw_Data!D768</f>
        <v>Guwahati</v>
      </c>
      <c r="E768" t="str">
        <f>Raw_Data!E768</f>
        <v>Furniture</v>
      </c>
      <c r="F768" t="str">
        <f>Raw_Data!F768</f>
        <v>Standing Desk</v>
      </c>
      <c r="G768" t="str">
        <f>Raw_Data!G768</f>
        <v>Consumer</v>
      </c>
      <c r="H768" t="str">
        <f>Raw_Data!H768</f>
        <v>In-Store</v>
      </c>
      <c r="I768">
        <f>Raw_Data!I768</f>
        <v>11</v>
      </c>
      <c r="J768" s="3">
        <f>Raw_Data!J768</f>
        <v>291.54000000000002</v>
      </c>
      <c r="K768" s="4">
        <f>Raw_Data!K768</f>
        <v>0.05</v>
      </c>
      <c r="L768" s="3">
        <f>Raw_Data!L768</f>
        <v>3046.59</v>
      </c>
      <c r="M768" s="3">
        <f>Raw_Data!M768</f>
        <v>1916.95</v>
      </c>
      <c r="N768" s="3">
        <f>Raw_Data!N768</f>
        <v>1129.6400000000001</v>
      </c>
      <c r="O768" t="str">
        <f t="shared" si="33"/>
        <v>2025-10</v>
      </c>
      <c r="P768" s="5">
        <f t="shared" si="34"/>
        <v>0.37078832399502398</v>
      </c>
      <c r="Q768" s="3">
        <f t="shared" si="35"/>
        <v>3046.59</v>
      </c>
    </row>
    <row r="769" spans="1:17" x14ac:dyDescent="0.35">
      <c r="A769" t="str">
        <f>Raw_Data!A769</f>
        <v>ORD-0731</v>
      </c>
      <c r="B769" s="2">
        <f>Raw_Data!B769</f>
        <v>45940</v>
      </c>
      <c r="C769" t="str">
        <f>Raw_Data!C769</f>
        <v>West</v>
      </c>
      <c r="D769" t="str">
        <f>Raw_Data!D769</f>
        <v>Ahmedabad</v>
      </c>
      <c r="E769" t="str">
        <f>Raw_Data!E769</f>
        <v>Technology</v>
      </c>
      <c r="F769" t="str">
        <f>Raw_Data!F769</f>
        <v>Wireless Mouse</v>
      </c>
      <c r="G769" t="str">
        <f>Raw_Data!G769</f>
        <v>Corporate</v>
      </c>
      <c r="H769" t="str">
        <f>Raw_Data!H769</f>
        <v>Marketplace</v>
      </c>
      <c r="I769">
        <f>Raw_Data!I769</f>
        <v>9</v>
      </c>
      <c r="J769" s="3">
        <f>Raw_Data!J769</f>
        <v>15.98</v>
      </c>
      <c r="K769" s="4">
        <f>Raw_Data!K769</f>
        <v>0.1</v>
      </c>
      <c r="L769" s="3">
        <f>Raw_Data!L769</f>
        <v>129.44</v>
      </c>
      <c r="M769" s="3">
        <f>Raw_Data!M769</f>
        <v>86.85</v>
      </c>
      <c r="N769" s="3">
        <f>Raw_Data!N769</f>
        <v>42.59</v>
      </c>
      <c r="O769" t="str">
        <f t="shared" si="33"/>
        <v>2025-10</v>
      </c>
      <c r="P769" s="5">
        <f t="shared" si="34"/>
        <v>0.32903275648949326</v>
      </c>
      <c r="Q769" s="3">
        <f t="shared" si="35"/>
        <v>129.44</v>
      </c>
    </row>
    <row r="770" spans="1:17" x14ac:dyDescent="0.35">
      <c r="A770" t="str">
        <f>Raw_Data!A770</f>
        <v>ORD-0741</v>
      </c>
      <c r="B770" s="2">
        <f>Raw_Data!B770</f>
        <v>45941</v>
      </c>
      <c r="C770" t="str">
        <f>Raw_Data!C770</f>
        <v>West</v>
      </c>
      <c r="D770" t="str">
        <f>Raw_Data!D770</f>
        <v>Mumbai</v>
      </c>
      <c r="E770" t="str">
        <f>Raw_Data!E770</f>
        <v>Furniture</v>
      </c>
      <c r="F770" t="str">
        <f>Raw_Data!F770</f>
        <v>Office Chair</v>
      </c>
      <c r="G770" t="str">
        <f>Raw_Data!G770</f>
        <v>Consumer</v>
      </c>
      <c r="H770" t="str">
        <f>Raw_Data!H770</f>
        <v>Marketplace</v>
      </c>
      <c r="I770">
        <f>Raw_Data!I770</f>
        <v>8</v>
      </c>
      <c r="J770" s="3">
        <f>Raw_Data!J770</f>
        <v>143.53</v>
      </c>
      <c r="K770" s="4">
        <f>Raw_Data!K770</f>
        <v>0.15</v>
      </c>
      <c r="L770" s="3">
        <f>Raw_Data!L770</f>
        <v>976</v>
      </c>
      <c r="M770" s="3">
        <f>Raw_Data!M770</f>
        <v>754.75</v>
      </c>
      <c r="N770" s="3">
        <f>Raw_Data!N770</f>
        <v>221.25</v>
      </c>
      <c r="O770" t="str">
        <f t="shared" ref="O770:O833" si="36">TEXT(B770,"yyyy-mm")</f>
        <v>2025-10</v>
      </c>
      <c r="P770" s="5">
        <f t="shared" ref="P770:P833" si="37">IFERROR(N770/L770,0)</f>
        <v>0.22669057377049182</v>
      </c>
      <c r="Q770" s="3">
        <f t="shared" ref="Q770:Q833" si="38">IFERROR(L770,0)</f>
        <v>976</v>
      </c>
    </row>
    <row r="771" spans="1:17" x14ac:dyDescent="0.35">
      <c r="A771" t="str">
        <f>Raw_Data!A771</f>
        <v>ORD-0170</v>
      </c>
      <c r="B771" s="2">
        <f>Raw_Data!B771</f>
        <v>45941</v>
      </c>
      <c r="C771" t="str">
        <f>Raw_Data!C771</f>
        <v>West</v>
      </c>
      <c r="D771" t="str">
        <f>Raw_Data!D771</f>
        <v>Pune</v>
      </c>
      <c r="E771" t="str">
        <f>Raw_Data!E771</f>
        <v>Furniture</v>
      </c>
      <c r="F771" t="str">
        <f>Raw_Data!F771</f>
        <v>Standing Desk</v>
      </c>
      <c r="G771" t="str">
        <f>Raw_Data!G771</f>
        <v>Corporate</v>
      </c>
      <c r="H771" t="str">
        <f>Raw_Data!H771</f>
        <v>Marketplace</v>
      </c>
      <c r="I771">
        <f>Raw_Data!I771</f>
        <v>9</v>
      </c>
      <c r="J771" s="3">
        <f>Raw_Data!J771</f>
        <v>232.81</v>
      </c>
      <c r="K771" s="4">
        <f>Raw_Data!K771</f>
        <v>0</v>
      </c>
      <c r="L771" s="3">
        <f>Raw_Data!L771</f>
        <v>2095.29</v>
      </c>
      <c r="M771" s="3">
        <f>Raw_Data!M771</f>
        <v>1047.07</v>
      </c>
      <c r="N771" s="3">
        <f>Raw_Data!N771</f>
        <v>1048.22</v>
      </c>
      <c r="O771" t="str">
        <f t="shared" si="36"/>
        <v>2025-10</v>
      </c>
      <c r="P771" s="5">
        <f t="shared" si="37"/>
        <v>0.50027442501992569</v>
      </c>
      <c r="Q771" s="3">
        <f t="shared" si="38"/>
        <v>2095.29</v>
      </c>
    </row>
    <row r="772" spans="1:17" x14ac:dyDescent="0.35">
      <c r="A772" t="str">
        <f>Raw_Data!A772</f>
        <v>ORD-0812</v>
      </c>
      <c r="B772" s="2">
        <f>Raw_Data!B772</f>
        <v>45941</v>
      </c>
      <c r="C772" t="str">
        <f>Raw_Data!C772</f>
        <v>North</v>
      </c>
      <c r="D772" t="str">
        <f>Raw_Data!D772</f>
        <v>Chandigarh</v>
      </c>
      <c r="E772" t="str">
        <f>Raw_Data!E772</f>
        <v>Office Supplies</v>
      </c>
      <c r="F772" t="str">
        <f>Raw_Data!F772</f>
        <v>Pen Set</v>
      </c>
      <c r="G772" t="str">
        <f>Raw_Data!G772</f>
        <v>Corporate</v>
      </c>
      <c r="H772" t="str">
        <f>Raw_Data!H772</f>
        <v>Online</v>
      </c>
      <c r="I772">
        <f>Raw_Data!I772</f>
        <v>4</v>
      </c>
      <c r="J772" s="3">
        <f>Raw_Data!J772</f>
        <v>6.86</v>
      </c>
      <c r="K772" s="4">
        <f>Raw_Data!K772</f>
        <v>0.05</v>
      </c>
      <c r="L772" s="3">
        <f>Raw_Data!L772</f>
        <v>26.07</v>
      </c>
      <c r="M772" s="3">
        <f>Raw_Data!M772</f>
        <v>20.67</v>
      </c>
      <c r="N772" s="3">
        <f>Raw_Data!N772</f>
        <v>5.4</v>
      </c>
      <c r="O772" t="str">
        <f t="shared" si="36"/>
        <v>2025-10</v>
      </c>
      <c r="P772" s="5">
        <f t="shared" si="37"/>
        <v>0.20713463751438435</v>
      </c>
      <c r="Q772" s="3">
        <f t="shared" si="38"/>
        <v>26.07</v>
      </c>
    </row>
    <row r="773" spans="1:17" x14ac:dyDescent="0.35">
      <c r="A773" t="str">
        <f>Raw_Data!A773</f>
        <v>ORD-0308</v>
      </c>
      <c r="B773" s="2">
        <f>Raw_Data!B773</f>
        <v>45942</v>
      </c>
      <c r="C773" t="str">
        <f>Raw_Data!C773</f>
        <v>North</v>
      </c>
      <c r="D773" t="str">
        <f>Raw_Data!D773</f>
        <v>Delhi</v>
      </c>
      <c r="E773" t="str">
        <f>Raw_Data!E773</f>
        <v>Office Supplies</v>
      </c>
      <c r="F773" t="str">
        <f>Raw_Data!F773</f>
        <v>Notebook Pack</v>
      </c>
      <c r="G773" t="str">
        <f>Raw_Data!G773</f>
        <v>Consumer</v>
      </c>
      <c r="H773" t="str">
        <f>Raw_Data!H773</f>
        <v>Online</v>
      </c>
      <c r="I773">
        <f>Raw_Data!I773</f>
        <v>8</v>
      </c>
      <c r="J773" s="3">
        <f>Raw_Data!J773</f>
        <v>10.63</v>
      </c>
      <c r="K773" s="4">
        <f>Raw_Data!K773</f>
        <v>0</v>
      </c>
      <c r="L773" s="3">
        <f>Raw_Data!L773</f>
        <v>85.04</v>
      </c>
      <c r="M773" s="3">
        <f>Raw_Data!M773</f>
        <v>43.92</v>
      </c>
      <c r="N773" s="3">
        <f>Raw_Data!N773</f>
        <v>41.12</v>
      </c>
      <c r="O773" t="str">
        <f t="shared" si="36"/>
        <v>2025-10</v>
      </c>
      <c r="P773" s="5">
        <f t="shared" si="37"/>
        <v>0.48353715898400745</v>
      </c>
      <c r="Q773" s="3">
        <f t="shared" si="38"/>
        <v>85.04</v>
      </c>
    </row>
    <row r="774" spans="1:17" x14ac:dyDescent="0.35">
      <c r="A774" t="str">
        <f>Raw_Data!A774</f>
        <v>ORD-0441</v>
      </c>
      <c r="B774" s="2">
        <f>Raw_Data!B774</f>
        <v>45942</v>
      </c>
      <c r="C774" t="str">
        <f>Raw_Data!C774</f>
        <v>North</v>
      </c>
      <c r="D774" t="str">
        <f>Raw_Data!D774</f>
        <v>Chandigarh</v>
      </c>
      <c r="E774" t="str">
        <f>Raw_Data!E774</f>
        <v>Home &amp; Kitchen</v>
      </c>
      <c r="F774" t="str">
        <f>Raw_Data!F774</f>
        <v>Coffee Maker</v>
      </c>
      <c r="G774" t="str">
        <f>Raw_Data!G774</f>
        <v>Corporate</v>
      </c>
      <c r="H774" t="str">
        <f>Raw_Data!H774</f>
        <v>Online</v>
      </c>
      <c r="I774">
        <f>Raw_Data!I774</f>
        <v>5</v>
      </c>
      <c r="J774" s="3">
        <f>Raw_Data!J774</f>
        <v>75.760000000000005</v>
      </c>
      <c r="K774" s="4">
        <f>Raw_Data!K774</f>
        <v>0.1</v>
      </c>
      <c r="L774" s="3">
        <f>Raw_Data!L774</f>
        <v>340.92</v>
      </c>
      <c r="M774" s="3">
        <f>Raw_Data!M774</f>
        <v>265.44</v>
      </c>
      <c r="N774" s="3">
        <f>Raw_Data!N774</f>
        <v>75.48</v>
      </c>
      <c r="O774" t="str">
        <f t="shared" si="36"/>
        <v>2025-10</v>
      </c>
      <c r="P774" s="5">
        <f t="shared" si="37"/>
        <v>0.22140091517071453</v>
      </c>
      <c r="Q774" s="3">
        <f t="shared" si="38"/>
        <v>340.92</v>
      </c>
    </row>
    <row r="775" spans="1:17" x14ac:dyDescent="0.35">
      <c r="A775" t="str">
        <f>Raw_Data!A775</f>
        <v>ORD-0242</v>
      </c>
      <c r="B775" s="2">
        <f>Raw_Data!B775</f>
        <v>45942</v>
      </c>
      <c r="C775" t="str">
        <f>Raw_Data!C775</f>
        <v>East</v>
      </c>
      <c r="D775" t="str">
        <f>Raw_Data!D775</f>
        <v>Bhubaneswar</v>
      </c>
      <c r="E775" t="str">
        <f>Raw_Data!E775</f>
        <v>Home &amp; Kitchen</v>
      </c>
      <c r="F775" t="str">
        <f>Raw_Data!F775</f>
        <v>Water Bottle</v>
      </c>
      <c r="G775" t="str">
        <f>Raw_Data!G775</f>
        <v>Small Business</v>
      </c>
      <c r="H775" t="str">
        <f>Raw_Data!H775</f>
        <v>Online</v>
      </c>
      <c r="I775">
        <f>Raw_Data!I775</f>
        <v>1</v>
      </c>
      <c r="J775" s="3">
        <f>Raw_Data!J775</f>
        <v>14.1</v>
      </c>
      <c r="K775" s="4">
        <f>Raw_Data!K775</f>
        <v>0.15</v>
      </c>
      <c r="L775" s="3">
        <f>Raw_Data!L775</f>
        <v>11.98</v>
      </c>
      <c r="M775" s="3">
        <f>Raw_Data!M775</f>
        <v>7.16</v>
      </c>
      <c r="N775" s="3">
        <f>Raw_Data!N775</f>
        <v>4.82</v>
      </c>
      <c r="O775" t="str">
        <f t="shared" si="36"/>
        <v>2025-10</v>
      </c>
      <c r="P775" s="5">
        <f t="shared" si="37"/>
        <v>0.40233722871452421</v>
      </c>
      <c r="Q775" s="3">
        <f t="shared" si="38"/>
        <v>11.98</v>
      </c>
    </row>
    <row r="776" spans="1:17" x14ac:dyDescent="0.35">
      <c r="A776" t="str">
        <f>Raw_Data!A776</f>
        <v>ORD-0073</v>
      </c>
      <c r="B776" s="2">
        <f>Raw_Data!B776</f>
        <v>45943</v>
      </c>
      <c r="C776" t="str">
        <f>Raw_Data!C776</f>
        <v>West</v>
      </c>
      <c r="D776" t="str">
        <f>Raw_Data!D776</f>
        <v>Ahmedabad</v>
      </c>
      <c r="E776" t="str">
        <f>Raw_Data!E776</f>
        <v>Home &amp; Kitchen</v>
      </c>
      <c r="F776" t="str">
        <f>Raw_Data!F776</f>
        <v>Storage Box</v>
      </c>
      <c r="G776" t="str">
        <f>Raw_Data!G776</f>
        <v>Small Business</v>
      </c>
      <c r="H776" t="str">
        <f>Raw_Data!H776</f>
        <v>Marketplace</v>
      </c>
      <c r="I776">
        <f>Raw_Data!I776</f>
        <v>9</v>
      </c>
      <c r="J776" s="3">
        <f>Raw_Data!J776</f>
        <v>13.76</v>
      </c>
      <c r="K776" s="4">
        <f>Raw_Data!K776</f>
        <v>0.1</v>
      </c>
      <c r="L776" s="3">
        <f>Raw_Data!L776</f>
        <v>111.46</v>
      </c>
      <c r="M776" s="3">
        <f>Raw_Data!M776</f>
        <v>70.489999999999995</v>
      </c>
      <c r="N776" s="3">
        <f>Raw_Data!N776</f>
        <v>40.97</v>
      </c>
      <c r="O776" t="str">
        <f t="shared" si="36"/>
        <v>2025-10</v>
      </c>
      <c r="P776" s="5">
        <f t="shared" si="37"/>
        <v>0.36757581195047551</v>
      </c>
      <c r="Q776" s="3">
        <f t="shared" si="38"/>
        <v>111.46</v>
      </c>
    </row>
    <row r="777" spans="1:17" x14ac:dyDescent="0.35">
      <c r="A777" t="str">
        <f>Raw_Data!A777</f>
        <v>ORD-0749</v>
      </c>
      <c r="B777" s="2">
        <f>Raw_Data!B777</f>
        <v>45943</v>
      </c>
      <c r="C777" t="str">
        <f>Raw_Data!C777</f>
        <v>North</v>
      </c>
      <c r="D777" t="str">
        <f>Raw_Data!D777</f>
        <v>Delhi</v>
      </c>
      <c r="E777" t="str">
        <f>Raw_Data!E777</f>
        <v>Furniture</v>
      </c>
      <c r="F777" t="str">
        <f>Raw_Data!F777</f>
        <v>Desk Lamp</v>
      </c>
      <c r="G777" t="str">
        <f>Raw_Data!G777</f>
        <v>Small Business</v>
      </c>
      <c r="H777" t="str">
        <f>Raw_Data!H777</f>
        <v>In-Store</v>
      </c>
      <c r="I777">
        <f>Raw_Data!I777</f>
        <v>12</v>
      </c>
      <c r="J777" s="3">
        <f>Raw_Data!J777</f>
        <v>43.92</v>
      </c>
      <c r="K777" s="4">
        <f>Raw_Data!K777</f>
        <v>0.15</v>
      </c>
      <c r="L777" s="3">
        <f>Raw_Data!L777</f>
        <v>447.98</v>
      </c>
      <c r="M777" s="3">
        <f>Raw_Data!M777</f>
        <v>358.83</v>
      </c>
      <c r="N777" s="3">
        <f>Raw_Data!N777</f>
        <v>89.15</v>
      </c>
      <c r="O777" t="str">
        <f t="shared" si="36"/>
        <v>2025-10</v>
      </c>
      <c r="P777" s="5">
        <f t="shared" si="37"/>
        <v>0.19900441984017145</v>
      </c>
      <c r="Q777" s="3">
        <f t="shared" si="38"/>
        <v>447.98</v>
      </c>
    </row>
    <row r="778" spans="1:17" x14ac:dyDescent="0.35">
      <c r="A778" t="str">
        <f>Raw_Data!A778</f>
        <v>ORD-0498</v>
      </c>
      <c r="B778" s="2">
        <f>Raw_Data!B778</f>
        <v>45943</v>
      </c>
      <c r="C778" t="str">
        <f>Raw_Data!C778</f>
        <v>West</v>
      </c>
      <c r="D778" t="str">
        <f>Raw_Data!D778</f>
        <v>Mumbai</v>
      </c>
      <c r="E778" t="str">
        <f>Raw_Data!E778</f>
        <v>Home &amp; Kitchen</v>
      </c>
      <c r="F778" t="str">
        <f>Raw_Data!F778</f>
        <v>Water Bottle</v>
      </c>
      <c r="G778" t="str">
        <f>Raw_Data!G778</f>
        <v>Consumer</v>
      </c>
      <c r="H778" t="str">
        <f>Raw_Data!H778</f>
        <v>Online</v>
      </c>
      <c r="I778">
        <f>Raw_Data!I778</f>
        <v>11</v>
      </c>
      <c r="J778" s="3">
        <f>Raw_Data!J778</f>
        <v>16.829999999999998</v>
      </c>
      <c r="K778" s="4">
        <f>Raw_Data!K778</f>
        <v>0.1</v>
      </c>
      <c r="L778" s="3">
        <f>Raw_Data!L778</f>
        <v>166.62</v>
      </c>
      <c r="M778" s="3">
        <f>Raw_Data!M778</f>
        <v>127.88</v>
      </c>
      <c r="N778" s="3">
        <f>Raw_Data!N778</f>
        <v>38.74</v>
      </c>
      <c r="O778" t="str">
        <f t="shared" si="36"/>
        <v>2025-10</v>
      </c>
      <c r="P778" s="5">
        <f t="shared" si="37"/>
        <v>0.23250510142839995</v>
      </c>
      <c r="Q778" s="3">
        <f t="shared" si="38"/>
        <v>166.62</v>
      </c>
    </row>
    <row r="779" spans="1:17" x14ac:dyDescent="0.35">
      <c r="A779" t="str">
        <f>Raw_Data!A779</f>
        <v>ORD-0747</v>
      </c>
      <c r="B779" s="2">
        <f>Raw_Data!B779</f>
        <v>45943</v>
      </c>
      <c r="C779" t="str">
        <f>Raw_Data!C779</f>
        <v>South</v>
      </c>
      <c r="D779" t="str">
        <f>Raw_Data!D779</f>
        <v>Bengaluru</v>
      </c>
      <c r="E779" t="str">
        <f>Raw_Data!E779</f>
        <v>Technology</v>
      </c>
      <c r="F779" t="str">
        <f>Raw_Data!F779</f>
        <v>Wireless Mouse</v>
      </c>
      <c r="G779" t="str">
        <f>Raw_Data!G779</f>
        <v>Corporate</v>
      </c>
      <c r="H779" t="str">
        <f>Raw_Data!H779</f>
        <v>Online</v>
      </c>
      <c r="I779">
        <f>Raw_Data!I779</f>
        <v>6</v>
      </c>
      <c r="J779" s="3">
        <f>Raw_Data!J779</f>
        <v>20.85</v>
      </c>
      <c r="K779" s="4">
        <f>Raw_Data!K779</f>
        <v>0.05</v>
      </c>
      <c r="L779" s="3">
        <f>Raw_Data!L779</f>
        <v>118.84</v>
      </c>
      <c r="M779" s="3">
        <f>Raw_Data!M779</f>
        <v>85.45</v>
      </c>
      <c r="N779" s="3">
        <f>Raw_Data!N779</f>
        <v>33.39</v>
      </c>
      <c r="O779" t="str">
        <f t="shared" si="36"/>
        <v>2025-10</v>
      </c>
      <c r="P779" s="5">
        <f t="shared" si="37"/>
        <v>0.28096600471221811</v>
      </c>
      <c r="Q779" s="3">
        <f t="shared" si="38"/>
        <v>118.84</v>
      </c>
    </row>
    <row r="780" spans="1:17" x14ac:dyDescent="0.35">
      <c r="A780" t="str">
        <f>Raw_Data!A780</f>
        <v>ORD-0448</v>
      </c>
      <c r="B780" s="2">
        <f>Raw_Data!B780</f>
        <v>45944</v>
      </c>
      <c r="C780" t="str">
        <f>Raw_Data!C780</f>
        <v>West</v>
      </c>
      <c r="D780" t="str">
        <f>Raw_Data!D780</f>
        <v>Pune</v>
      </c>
      <c r="E780" t="str">
        <f>Raw_Data!E780</f>
        <v>Furniture</v>
      </c>
      <c r="F780" t="str">
        <f>Raw_Data!F780</f>
        <v>Bookshelf</v>
      </c>
      <c r="G780" t="str">
        <f>Raw_Data!G780</f>
        <v>Corporate</v>
      </c>
      <c r="H780" t="str">
        <f>Raw_Data!H780</f>
        <v>Online</v>
      </c>
      <c r="I780">
        <f>Raw_Data!I780</f>
        <v>5</v>
      </c>
      <c r="J780" s="3">
        <f>Raw_Data!J780</f>
        <v>102.21</v>
      </c>
      <c r="K780" s="4">
        <f>Raw_Data!K780</f>
        <v>0</v>
      </c>
      <c r="L780" s="3">
        <f>Raw_Data!L780</f>
        <v>511.05</v>
      </c>
      <c r="M780" s="3">
        <f>Raw_Data!M780</f>
        <v>315.02999999999997</v>
      </c>
      <c r="N780" s="3">
        <f>Raw_Data!N780</f>
        <v>196.02</v>
      </c>
      <c r="O780" t="str">
        <f t="shared" si="36"/>
        <v>2025-10</v>
      </c>
      <c r="P780" s="5">
        <f t="shared" si="37"/>
        <v>0.38356325212797182</v>
      </c>
      <c r="Q780" s="3">
        <f t="shared" si="38"/>
        <v>511.05</v>
      </c>
    </row>
    <row r="781" spans="1:17" x14ac:dyDescent="0.35">
      <c r="A781" t="str">
        <f>Raw_Data!A781</f>
        <v>ORD-0806</v>
      </c>
      <c r="B781" s="2">
        <f>Raw_Data!B781</f>
        <v>45944</v>
      </c>
      <c r="C781" t="str">
        <f>Raw_Data!C781</f>
        <v>South</v>
      </c>
      <c r="D781" t="str">
        <f>Raw_Data!D781</f>
        <v>Bengaluru</v>
      </c>
      <c r="E781" t="str">
        <f>Raw_Data!E781</f>
        <v>Technology</v>
      </c>
      <c r="F781" t="str">
        <f>Raw_Data!F781</f>
        <v>USB Hub</v>
      </c>
      <c r="G781" t="str">
        <f>Raw_Data!G781</f>
        <v>Consumer</v>
      </c>
      <c r="H781" t="str">
        <f>Raw_Data!H781</f>
        <v>In-Store</v>
      </c>
      <c r="I781">
        <f>Raw_Data!I781</f>
        <v>6</v>
      </c>
      <c r="J781" s="3">
        <f>Raw_Data!J781</f>
        <v>22.04</v>
      </c>
      <c r="K781" s="4">
        <f>Raw_Data!K781</f>
        <v>0</v>
      </c>
      <c r="L781" s="3">
        <f>Raw_Data!L781</f>
        <v>132.24</v>
      </c>
      <c r="M781" s="3">
        <f>Raw_Data!M781</f>
        <v>88.89</v>
      </c>
      <c r="N781" s="3">
        <f>Raw_Data!N781</f>
        <v>43.35</v>
      </c>
      <c r="O781" t="str">
        <f t="shared" si="36"/>
        <v>2025-10</v>
      </c>
      <c r="P781" s="5">
        <f t="shared" si="37"/>
        <v>0.32781306715063518</v>
      </c>
      <c r="Q781" s="3">
        <f t="shared" si="38"/>
        <v>132.24</v>
      </c>
    </row>
    <row r="782" spans="1:17" x14ac:dyDescent="0.35">
      <c r="A782" t="str">
        <f>Raw_Data!A782</f>
        <v>ORD-0715</v>
      </c>
      <c r="B782" s="2">
        <f>Raw_Data!B782</f>
        <v>45944</v>
      </c>
      <c r="C782" t="str">
        <f>Raw_Data!C782</f>
        <v>West</v>
      </c>
      <c r="D782" t="str">
        <f>Raw_Data!D782</f>
        <v>Pune</v>
      </c>
      <c r="E782" t="str">
        <f>Raw_Data!E782</f>
        <v>Technology</v>
      </c>
      <c r="F782" t="str">
        <f>Raw_Data!F782</f>
        <v>Keyboard</v>
      </c>
      <c r="G782" t="str">
        <f>Raw_Data!G782</f>
        <v>Consumer</v>
      </c>
      <c r="H782" t="str">
        <f>Raw_Data!H782</f>
        <v>Online</v>
      </c>
      <c r="I782">
        <f>Raw_Data!I782</f>
        <v>5</v>
      </c>
      <c r="J782" s="3">
        <f>Raw_Data!J782</f>
        <v>29.1</v>
      </c>
      <c r="K782" s="4">
        <f>Raw_Data!K782</f>
        <v>0.1</v>
      </c>
      <c r="L782" s="3">
        <f>Raw_Data!L782</f>
        <v>130.94999999999999</v>
      </c>
      <c r="M782" s="3">
        <f>Raw_Data!M782</f>
        <v>110.45</v>
      </c>
      <c r="N782" s="3">
        <f>Raw_Data!N782</f>
        <v>20.5</v>
      </c>
      <c r="O782" t="str">
        <f t="shared" si="36"/>
        <v>2025-10</v>
      </c>
      <c r="P782" s="5">
        <f t="shared" si="37"/>
        <v>0.15654830087819779</v>
      </c>
      <c r="Q782" s="3">
        <f t="shared" si="38"/>
        <v>130.94999999999999</v>
      </c>
    </row>
    <row r="783" spans="1:17" x14ac:dyDescent="0.35">
      <c r="A783" t="str">
        <f>Raw_Data!A783</f>
        <v>ORD-0397</v>
      </c>
      <c r="B783" s="2">
        <f>Raw_Data!B783</f>
        <v>45945</v>
      </c>
      <c r="C783" t="str">
        <f>Raw_Data!C783</f>
        <v>North</v>
      </c>
      <c r="D783" t="str">
        <f>Raw_Data!D783</f>
        <v>Chandigarh</v>
      </c>
      <c r="E783" t="str">
        <f>Raw_Data!E783</f>
        <v>Office Supplies</v>
      </c>
      <c r="F783" t="str">
        <f>Raw_Data!F783</f>
        <v>Printer Paper</v>
      </c>
      <c r="G783" t="str">
        <f>Raw_Data!G783</f>
        <v>Small Business</v>
      </c>
      <c r="H783" t="str">
        <f>Raw_Data!H783</f>
        <v>In-Store</v>
      </c>
      <c r="I783">
        <f>Raw_Data!I783</f>
        <v>4</v>
      </c>
      <c r="J783" s="3">
        <f>Raw_Data!J783</f>
        <v>15.43</v>
      </c>
      <c r="K783" s="4">
        <f>Raw_Data!K783</f>
        <v>0.05</v>
      </c>
      <c r="L783" s="3">
        <f>Raw_Data!L783</f>
        <v>58.63</v>
      </c>
      <c r="M783" s="3">
        <f>Raw_Data!M783</f>
        <v>42.46</v>
      </c>
      <c r="N783" s="3">
        <f>Raw_Data!N783</f>
        <v>16.170000000000002</v>
      </c>
      <c r="O783" t="str">
        <f t="shared" si="36"/>
        <v>2025-10</v>
      </c>
      <c r="P783" s="5">
        <f t="shared" si="37"/>
        <v>0.27579737335834897</v>
      </c>
      <c r="Q783" s="3">
        <f t="shared" si="38"/>
        <v>58.63</v>
      </c>
    </row>
    <row r="784" spans="1:17" x14ac:dyDescent="0.35">
      <c r="A784" t="str">
        <f>Raw_Data!A784</f>
        <v>ORD-0394</v>
      </c>
      <c r="B784" s="2">
        <f>Raw_Data!B784</f>
        <v>45945</v>
      </c>
      <c r="C784" t="str">
        <f>Raw_Data!C784</f>
        <v>West</v>
      </c>
      <c r="D784" t="str">
        <f>Raw_Data!D784</f>
        <v>Mumbai</v>
      </c>
      <c r="E784" t="str">
        <f>Raw_Data!E784</f>
        <v>Home &amp; Kitchen</v>
      </c>
      <c r="F784" t="str">
        <f>Raw_Data!F784</f>
        <v>Lunch Box</v>
      </c>
      <c r="G784" t="str">
        <f>Raw_Data!G784</f>
        <v>Consumer</v>
      </c>
      <c r="H784" t="str">
        <f>Raw_Data!H784</f>
        <v>Marketplace</v>
      </c>
      <c r="I784">
        <f>Raw_Data!I784</f>
        <v>11</v>
      </c>
      <c r="J784" s="3">
        <f>Raw_Data!J784</f>
        <v>22.24</v>
      </c>
      <c r="K784" s="4">
        <f>Raw_Data!K784</f>
        <v>0.15</v>
      </c>
      <c r="L784" s="3">
        <f>Raw_Data!L784</f>
        <v>207.94</v>
      </c>
      <c r="M784" s="3">
        <f>Raw_Data!M784</f>
        <v>138.41</v>
      </c>
      <c r="N784" s="3">
        <f>Raw_Data!N784</f>
        <v>69.53</v>
      </c>
      <c r="O784" t="str">
        <f t="shared" si="36"/>
        <v>2025-10</v>
      </c>
      <c r="P784" s="5">
        <f t="shared" si="37"/>
        <v>0.33437530056747139</v>
      </c>
      <c r="Q784" s="3">
        <f t="shared" si="38"/>
        <v>207.94</v>
      </c>
    </row>
    <row r="785" spans="1:17" x14ac:dyDescent="0.35">
      <c r="A785" t="str">
        <f>Raw_Data!A785</f>
        <v>ORD-0519</v>
      </c>
      <c r="B785" s="2">
        <f>Raw_Data!B785</f>
        <v>45945</v>
      </c>
      <c r="C785" t="str">
        <f>Raw_Data!C785</f>
        <v>West</v>
      </c>
      <c r="D785" t="str">
        <f>Raw_Data!D785</f>
        <v>Mumbai</v>
      </c>
      <c r="E785" t="str">
        <f>Raw_Data!E785</f>
        <v>Technology</v>
      </c>
      <c r="F785" t="str">
        <f>Raw_Data!F785</f>
        <v>Wireless Mouse</v>
      </c>
      <c r="G785" t="str">
        <f>Raw_Data!G785</f>
        <v>Corporate</v>
      </c>
      <c r="H785" t="str">
        <f>Raw_Data!H785</f>
        <v>Online</v>
      </c>
      <c r="I785">
        <f>Raw_Data!I785</f>
        <v>4</v>
      </c>
      <c r="J785" s="3">
        <f>Raw_Data!J785</f>
        <v>21.11</v>
      </c>
      <c r="K785" s="4">
        <f>Raw_Data!K785</f>
        <v>0.05</v>
      </c>
      <c r="L785" s="3">
        <f>Raw_Data!L785</f>
        <v>80.22</v>
      </c>
      <c r="M785" s="3">
        <f>Raw_Data!M785</f>
        <v>48.98</v>
      </c>
      <c r="N785" s="3">
        <f>Raw_Data!N785</f>
        <v>31.24</v>
      </c>
      <c r="O785" t="str">
        <f t="shared" si="36"/>
        <v>2025-10</v>
      </c>
      <c r="P785" s="5">
        <f t="shared" si="37"/>
        <v>0.38942907005734229</v>
      </c>
      <c r="Q785" s="3">
        <f t="shared" si="38"/>
        <v>80.22</v>
      </c>
    </row>
    <row r="786" spans="1:17" x14ac:dyDescent="0.35">
      <c r="A786" t="str">
        <f>Raw_Data!A786</f>
        <v>ORD-0237</v>
      </c>
      <c r="B786" s="2">
        <f>Raw_Data!B786</f>
        <v>45946</v>
      </c>
      <c r="C786" t="str">
        <f>Raw_Data!C786</f>
        <v>South</v>
      </c>
      <c r="D786" t="str">
        <f>Raw_Data!D786</f>
        <v>Bengaluru</v>
      </c>
      <c r="E786" t="str">
        <f>Raw_Data!E786</f>
        <v>Office Supplies</v>
      </c>
      <c r="F786" t="str">
        <f>Raw_Data!F786</f>
        <v>Printer Paper</v>
      </c>
      <c r="G786" t="str">
        <f>Raw_Data!G786</f>
        <v>Corporate</v>
      </c>
      <c r="H786" t="str">
        <f>Raw_Data!H786</f>
        <v>Marketplace</v>
      </c>
      <c r="I786">
        <f>Raw_Data!I786</f>
        <v>11</v>
      </c>
      <c r="J786" s="3">
        <f>Raw_Data!J786</f>
        <v>17.46</v>
      </c>
      <c r="K786" s="4">
        <f>Raw_Data!K786</f>
        <v>0.05</v>
      </c>
      <c r="L786" s="3">
        <f>Raw_Data!L786</f>
        <v>182.46</v>
      </c>
      <c r="M786" s="3">
        <f>Raw_Data!M786</f>
        <v>114.31</v>
      </c>
      <c r="N786" s="3">
        <f>Raw_Data!N786</f>
        <v>68.150000000000006</v>
      </c>
      <c r="O786" t="str">
        <f t="shared" si="36"/>
        <v>2025-10</v>
      </c>
      <c r="P786" s="5">
        <f t="shared" si="37"/>
        <v>0.37350652197741974</v>
      </c>
      <c r="Q786" s="3">
        <f t="shared" si="38"/>
        <v>182.46</v>
      </c>
    </row>
    <row r="787" spans="1:17" x14ac:dyDescent="0.35">
      <c r="A787" t="str">
        <f>Raw_Data!A787</f>
        <v>ORD-0029</v>
      </c>
      <c r="B787" s="2">
        <f>Raw_Data!B787</f>
        <v>45946</v>
      </c>
      <c r="C787" t="str">
        <f>Raw_Data!C787</f>
        <v>East</v>
      </c>
      <c r="D787" t="str">
        <f>Raw_Data!D787</f>
        <v>Bhubaneswar</v>
      </c>
      <c r="E787" t="str">
        <f>Raw_Data!E787</f>
        <v>Technology</v>
      </c>
      <c r="F787" t="str">
        <f>Raw_Data!F787</f>
        <v>Wireless Mouse</v>
      </c>
      <c r="G787" t="str">
        <f>Raw_Data!G787</f>
        <v>Consumer</v>
      </c>
      <c r="H787" t="str">
        <f>Raw_Data!H787</f>
        <v>Online</v>
      </c>
      <c r="I787">
        <f>Raw_Data!I787</f>
        <v>9</v>
      </c>
      <c r="J787" s="3">
        <f>Raw_Data!J787</f>
        <v>16.64</v>
      </c>
      <c r="K787" s="4">
        <f>Raw_Data!K787</f>
        <v>0.05</v>
      </c>
      <c r="L787" s="3">
        <f>Raw_Data!L787</f>
        <v>142.27000000000001</v>
      </c>
      <c r="M787" s="3">
        <f>Raw_Data!M787</f>
        <v>77.84</v>
      </c>
      <c r="N787" s="3">
        <f>Raw_Data!N787</f>
        <v>64.430000000000007</v>
      </c>
      <c r="O787" t="str">
        <f t="shared" si="36"/>
        <v>2025-10</v>
      </c>
      <c r="P787" s="5">
        <f t="shared" si="37"/>
        <v>0.45287130104730444</v>
      </c>
      <c r="Q787" s="3">
        <f t="shared" si="38"/>
        <v>142.27000000000001</v>
      </c>
    </row>
    <row r="788" spans="1:17" x14ac:dyDescent="0.35">
      <c r="A788" t="str">
        <f>Raw_Data!A788</f>
        <v>ORD-0440</v>
      </c>
      <c r="B788" s="2">
        <f>Raw_Data!B788</f>
        <v>45947</v>
      </c>
      <c r="C788" t="str">
        <f>Raw_Data!C788</f>
        <v>West</v>
      </c>
      <c r="D788" t="str">
        <f>Raw_Data!D788</f>
        <v>Ahmedabad</v>
      </c>
      <c r="E788" t="str">
        <f>Raw_Data!E788</f>
        <v>Furniture</v>
      </c>
      <c r="F788" t="str">
        <f>Raw_Data!F788</f>
        <v>Bookshelf</v>
      </c>
      <c r="G788" t="str">
        <f>Raw_Data!G788</f>
        <v>Consumer</v>
      </c>
      <c r="H788" t="str">
        <f>Raw_Data!H788</f>
        <v>In-Store</v>
      </c>
      <c r="I788">
        <f>Raw_Data!I788</f>
        <v>11</v>
      </c>
      <c r="J788" s="3">
        <f>Raw_Data!J788</f>
        <v>108.8</v>
      </c>
      <c r="K788" s="4">
        <f>Raw_Data!K788</f>
        <v>0</v>
      </c>
      <c r="L788" s="3">
        <f>Raw_Data!L788</f>
        <v>1196.8</v>
      </c>
      <c r="M788" s="3">
        <f>Raw_Data!M788</f>
        <v>722.83</v>
      </c>
      <c r="N788" s="3">
        <f>Raw_Data!N788</f>
        <v>473.97</v>
      </c>
      <c r="O788" t="str">
        <f t="shared" si="36"/>
        <v>2025-10</v>
      </c>
      <c r="P788" s="5">
        <f t="shared" si="37"/>
        <v>0.39603108288770056</v>
      </c>
      <c r="Q788" s="3">
        <f t="shared" si="38"/>
        <v>1196.8</v>
      </c>
    </row>
    <row r="789" spans="1:17" x14ac:dyDescent="0.35">
      <c r="A789" t="str">
        <f>Raw_Data!A789</f>
        <v>ORD-0123</v>
      </c>
      <c r="B789" s="2">
        <f>Raw_Data!B789</f>
        <v>45947</v>
      </c>
      <c r="C789" t="str">
        <f>Raw_Data!C789</f>
        <v>South</v>
      </c>
      <c r="D789" t="str">
        <f>Raw_Data!D789</f>
        <v>Chennai</v>
      </c>
      <c r="E789" t="str">
        <f>Raw_Data!E789</f>
        <v>Home &amp; Kitchen</v>
      </c>
      <c r="F789" t="str">
        <f>Raw_Data!F789</f>
        <v>Water Bottle</v>
      </c>
      <c r="G789" t="str">
        <f>Raw_Data!G789</f>
        <v>Small Business</v>
      </c>
      <c r="H789" t="str">
        <f>Raw_Data!H789</f>
        <v>In-Store</v>
      </c>
      <c r="I789">
        <f>Raw_Data!I789</f>
        <v>3</v>
      </c>
      <c r="J789" s="3">
        <f>Raw_Data!J789</f>
        <v>17.75</v>
      </c>
      <c r="K789" s="4">
        <f>Raw_Data!K789</f>
        <v>0</v>
      </c>
      <c r="L789" s="3">
        <f>Raw_Data!L789</f>
        <v>53.25</v>
      </c>
      <c r="M789" s="3">
        <f>Raw_Data!M789</f>
        <v>27.03</v>
      </c>
      <c r="N789" s="3">
        <f>Raw_Data!N789</f>
        <v>26.22</v>
      </c>
      <c r="O789" t="str">
        <f t="shared" si="36"/>
        <v>2025-10</v>
      </c>
      <c r="P789" s="5">
        <f t="shared" si="37"/>
        <v>0.49239436619718308</v>
      </c>
      <c r="Q789" s="3">
        <f t="shared" si="38"/>
        <v>53.25</v>
      </c>
    </row>
    <row r="790" spans="1:17" x14ac:dyDescent="0.35">
      <c r="A790" t="str">
        <f>Raw_Data!A790</f>
        <v>ORD-0266</v>
      </c>
      <c r="B790" s="2">
        <f>Raw_Data!B790</f>
        <v>45947</v>
      </c>
      <c r="C790" t="str">
        <f>Raw_Data!C790</f>
        <v>South</v>
      </c>
      <c r="D790" t="str">
        <f>Raw_Data!D790</f>
        <v>Hyderabad</v>
      </c>
      <c r="E790" t="str">
        <f>Raw_Data!E790</f>
        <v>Technology</v>
      </c>
      <c r="F790" t="str">
        <f>Raw_Data!F790</f>
        <v>Keyboard</v>
      </c>
      <c r="G790" t="str">
        <f>Raw_Data!G790</f>
        <v>Small Business</v>
      </c>
      <c r="H790" t="str">
        <f>Raw_Data!H790</f>
        <v>Marketplace</v>
      </c>
      <c r="I790">
        <f>Raw_Data!I790</f>
        <v>5</v>
      </c>
      <c r="J790" s="3">
        <f>Raw_Data!J790</f>
        <v>27.57</v>
      </c>
      <c r="K790" s="4">
        <f>Raw_Data!K790</f>
        <v>0</v>
      </c>
      <c r="L790" s="3">
        <f>Raw_Data!L790</f>
        <v>137.85</v>
      </c>
      <c r="M790" s="3">
        <f>Raw_Data!M790</f>
        <v>88.4</v>
      </c>
      <c r="N790" s="3">
        <f>Raw_Data!N790</f>
        <v>49.45</v>
      </c>
      <c r="O790" t="str">
        <f t="shared" si="36"/>
        <v>2025-10</v>
      </c>
      <c r="P790" s="5">
        <f t="shared" si="37"/>
        <v>0.35872324990932175</v>
      </c>
      <c r="Q790" s="3">
        <f t="shared" si="38"/>
        <v>137.85</v>
      </c>
    </row>
    <row r="791" spans="1:17" x14ac:dyDescent="0.35">
      <c r="A791" t="str">
        <f>Raw_Data!A791</f>
        <v>ORD-0323</v>
      </c>
      <c r="B791" s="2">
        <f>Raw_Data!B791</f>
        <v>45948</v>
      </c>
      <c r="C791" t="str">
        <f>Raw_Data!C791</f>
        <v>North</v>
      </c>
      <c r="D791" t="str">
        <f>Raw_Data!D791</f>
        <v>Chandigarh</v>
      </c>
      <c r="E791" t="str">
        <f>Raw_Data!E791</f>
        <v>Technology</v>
      </c>
      <c r="F791" t="str">
        <f>Raw_Data!F791</f>
        <v>Keyboard</v>
      </c>
      <c r="G791" t="str">
        <f>Raw_Data!G791</f>
        <v>Small Business</v>
      </c>
      <c r="H791" t="str">
        <f>Raw_Data!H791</f>
        <v>Online</v>
      </c>
      <c r="I791">
        <f>Raw_Data!I791</f>
        <v>10</v>
      </c>
      <c r="J791" s="3">
        <f>Raw_Data!J791</f>
        <v>30.76</v>
      </c>
      <c r="K791" s="4">
        <f>Raw_Data!K791</f>
        <v>0.15</v>
      </c>
      <c r="L791" s="3">
        <f>Raw_Data!L791</f>
        <v>261.45999999999998</v>
      </c>
      <c r="M791" s="3">
        <f>Raw_Data!M791</f>
        <v>168.03</v>
      </c>
      <c r="N791" s="3">
        <f>Raw_Data!N791</f>
        <v>93.43</v>
      </c>
      <c r="O791" t="str">
        <f t="shared" si="36"/>
        <v>2025-10</v>
      </c>
      <c r="P791" s="5">
        <f t="shared" si="37"/>
        <v>0.35733955480761881</v>
      </c>
      <c r="Q791" s="3">
        <f t="shared" si="38"/>
        <v>261.45999999999998</v>
      </c>
    </row>
    <row r="792" spans="1:17" x14ac:dyDescent="0.35">
      <c r="A792" t="str">
        <f>Raw_Data!A792</f>
        <v>ORD-0340</v>
      </c>
      <c r="B792" s="2">
        <f>Raw_Data!B792</f>
        <v>45948</v>
      </c>
      <c r="C792" t="str">
        <f>Raw_Data!C792</f>
        <v>East</v>
      </c>
      <c r="D792" t="str">
        <f>Raw_Data!D792</f>
        <v>Bhubaneswar</v>
      </c>
      <c r="E792" t="str">
        <f>Raw_Data!E792</f>
        <v>Technology</v>
      </c>
      <c r="F792" t="str">
        <f>Raw_Data!F792</f>
        <v>Wireless Mouse</v>
      </c>
      <c r="G792" t="str">
        <f>Raw_Data!G792</f>
        <v>Small Business</v>
      </c>
      <c r="H792" t="str">
        <f>Raw_Data!H792</f>
        <v>In-Store</v>
      </c>
      <c r="I792">
        <f>Raw_Data!I792</f>
        <v>10</v>
      </c>
      <c r="J792" s="3">
        <f>Raw_Data!J792</f>
        <v>20.21</v>
      </c>
      <c r="K792" s="4">
        <f>Raw_Data!K792</f>
        <v>0.05</v>
      </c>
      <c r="L792" s="3">
        <f>Raw_Data!L792</f>
        <v>192</v>
      </c>
      <c r="M792" s="3">
        <f>Raw_Data!M792</f>
        <v>149.6</v>
      </c>
      <c r="N792" s="3">
        <f>Raw_Data!N792</f>
        <v>42.4</v>
      </c>
      <c r="O792" t="str">
        <f t="shared" si="36"/>
        <v>2025-10</v>
      </c>
      <c r="P792" s="5">
        <f t="shared" si="37"/>
        <v>0.22083333333333333</v>
      </c>
      <c r="Q792" s="3">
        <f t="shared" si="38"/>
        <v>192</v>
      </c>
    </row>
    <row r="793" spans="1:17" x14ac:dyDescent="0.35">
      <c r="A793" t="str">
        <f>Raw_Data!A793</f>
        <v>ORD-0993</v>
      </c>
      <c r="B793" s="2">
        <f>Raw_Data!B793</f>
        <v>45948</v>
      </c>
      <c r="C793" t="str">
        <f>Raw_Data!C793</f>
        <v>West</v>
      </c>
      <c r="D793" t="str">
        <f>Raw_Data!D793</f>
        <v>Mumbai</v>
      </c>
      <c r="E793" t="str">
        <f>Raw_Data!E793</f>
        <v>Technology</v>
      </c>
      <c r="F793" t="str">
        <f>Raw_Data!F793</f>
        <v>USB Hub</v>
      </c>
      <c r="G793" t="str">
        <f>Raw_Data!G793</f>
        <v>Consumer</v>
      </c>
      <c r="H793" t="str">
        <f>Raw_Data!H793</f>
        <v>Online</v>
      </c>
      <c r="I793">
        <f>Raw_Data!I793</f>
        <v>1</v>
      </c>
      <c r="J793" s="3">
        <f>Raw_Data!J793</f>
        <v>28.27</v>
      </c>
      <c r="K793" s="4">
        <f>Raw_Data!K793</f>
        <v>0.05</v>
      </c>
      <c r="L793" s="3">
        <f>Raw_Data!L793</f>
        <v>26.86</v>
      </c>
      <c r="M793" s="3">
        <f>Raw_Data!M793</f>
        <v>20.27</v>
      </c>
      <c r="N793" s="3">
        <f>Raw_Data!N793</f>
        <v>6.59</v>
      </c>
      <c r="O793" t="str">
        <f t="shared" si="36"/>
        <v>2025-10</v>
      </c>
      <c r="P793" s="5">
        <f t="shared" si="37"/>
        <v>0.24534623976172748</v>
      </c>
      <c r="Q793" s="3">
        <f t="shared" si="38"/>
        <v>26.86</v>
      </c>
    </row>
    <row r="794" spans="1:17" x14ac:dyDescent="0.35">
      <c r="A794" t="str">
        <f>Raw_Data!A794</f>
        <v>ORD-0851</v>
      </c>
      <c r="B794" s="2">
        <f>Raw_Data!B794</f>
        <v>45949</v>
      </c>
      <c r="C794" t="str">
        <f>Raw_Data!C794</f>
        <v>South</v>
      </c>
      <c r="D794" t="str">
        <f>Raw_Data!D794</f>
        <v>Hyderabad</v>
      </c>
      <c r="E794" t="str">
        <f>Raw_Data!E794</f>
        <v>Office Supplies</v>
      </c>
      <c r="F794" t="str">
        <f>Raw_Data!F794</f>
        <v>Desk Organizer</v>
      </c>
      <c r="G794" t="str">
        <f>Raw_Data!G794</f>
        <v>Small Business</v>
      </c>
      <c r="H794" t="str">
        <f>Raw_Data!H794</f>
        <v>Online</v>
      </c>
      <c r="I794">
        <f>Raw_Data!I794</f>
        <v>2</v>
      </c>
      <c r="J794" s="3">
        <f>Raw_Data!J794</f>
        <v>22.26</v>
      </c>
      <c r="K794" s="4">
        <f>Raw_Data!K794</f>
        <v>0.1</v>
      </c>
      <c r="L794" s="3">
        <f>Raw_Data!L794</f>
        <v>40.07</v>
      </c>
      <c r="M794" s="3">
        <f>Raw_Data!M794</f>
        <v>30.42</v>
      </c>
      <c r="N794" s="3">
        <f>Raw_Data!N794</f>
        <v>9.65</v>
      </c>
      <c r="O794" t="str">
        <f t="shared" si="36"/>
        <v>2025-10</v>
      </c>
      <c r="P794" s="5">
        <f t="shared" si="37"/>
        <v>0.2408285500374345</v>
      </c>
      <c r="Q794" s="3">
        <f t="shared" si="38"/>
        <v>40.07</v>
      </c>
    </row>
    <row r="795" spans="1:17" x14ac:dyDescent="0.35">
      <c r="A795" t="str">
        <f>Raw_Data!A795</f>
        <v>ORD-0767</v>
      </c>
      <c r="B795" s="2">
        <f>Raw_Data!B795</f>
        <v>45950</v>
      </c>
      <c r="C795" t="str">
        <f>Raw_Data!C795</f>
        <v>East</v>
      </c>
      <c r="D795" t="str">
        <f>Raw_Data!D795</f>
        <v>Bhubaneswar</v>
      </c>
      <c r="E795" t="str">
        <f>Raw_Data!E795</f>
        <v>Furniture</v>
      </c>
      <c r="F795" t="str">
        <f>Raw_Data!F795</f>
        <v>Office Chair</v>
      </c>
      <c r="G795" t="str">
        <f>Raw_Data!G795</f>
        <v>Small Business</v>
      </c>
      <c r="H795" t="str">
        <f>Raw_Data!H795</f>
        <v>In-Store</v>
      </c>
      <c r="I795">
        <f>Raw_Data!I795</f>
        <v>9</v>
      </c>
      <c r="J795" s="3">
        <f>Raw_Data!J795</f>
        <v>131.03</v>
      </c>
      <c r="K795" s="4">
        <f>Raw_Data!K795</f>
        <v>0.05</v>
      </c>
      <c r="L795" s="3">
        <f>Raw_Data!L795</f>
        <v>1120.31</v>
      </c>
      <c r="M795" s="3">
        <f>Raw_Data!M795</f>
        <v>673.93</v>
      </c>
      <c r="N795" s="3">
        <f>Raw_Data!N795</f>
        <v>446.38</v>
      </c>
      <c r="O795" t="str">
        <f t="shared" si="36"/>
        <v>2025-10</v>
      </c>
      <c r="P795" s="5">
        <f t="shared" si="37"/>
        <v>0.39844328801849488</v>
      </c>
      <c r="Q795" s="3">
        <f t="shared" si="38"/>
        <v>1120.31</v>
      </c>
    </row>
    <row r="796" spans="1:17" x14ac:dyDescent="0.35">
      <c r="A796" t="str">
        <f>Raw_Data!A796</f>
        <v>ORD-0598</v>
      </c>
      <c r="B796" s="2">
        <f>Raw_Data!B796</f>
        <v>45950</v>
      </c>
      <c r="C796" t="str">
        <f>Raw_Data!C796</f>
        <v>North</v>
      </c>
      <c r="D796" t="str">
        <f>Raw_Data!D796</f>
        <v>Chandigarh</v>
      </c>
      <c r="E796" t="str">
        <f>Raw_Data!E796</f>
        <v>Furniture</v>
      </c>
      <c r="F796" t="str">
        <f>Raw_Data!F796</f>
        <v>Standing Desk</v>
      </c>
      <c r="G796" t="str">
        <f>Raw_Data!G796</f>
        <v>Consumer</v>
      </c>
      <c r="H796" t="str">
        <f>Raw_Data!H796</f>
        <v>Marketplace</v>
      </c>
      <c r="I796">
        <f>Raw_Data!I796</f>
        <v>1</v>
      </c>
      <c r="J796" s="3">
        <f>Raw_Data!J796</f>
        <v>302.58</v>
      </c>
      <c r="K796" s="4">
        <f>Raw_Data!K796</f>
        <v>0</v>
      </c>
      <c r="L796" s="3">
        <f>Raw_Data!L796</f>
        <v>302.58</v>
      </c>
      <c r="M796" s="3">
        <f>Raw_Data!M796</f>
        <v>204.5</v>
      </c>
      <c r="N796" s="3">
        <f>Raw_Data!N796</f>
        <v>98.08</v>
      </c>
      <c r="O796" t="str">
        <f t="shared" si="36"/>
        <v>2025-10</v>
      </c>
      <c r="P796" s="5">
        <f t="shared" si="37"/>
        <v>0.32414568048119508</v>
      </c>
      <c r="Q796" s="3">
        <f t="shared" si="38"/>
        <v>302.58</v>
      </c>
    </row>
    <row r="797" spans="1:17" x14ac:dyDescent="0.35">
      <c r="A797" t="str">
        <f>Raw_Data!A797</f>
        <v>ORD-0020</v>
      </c>
      <c r="B797" s="2">
        <f>Raw_Data!B797</f>
        <v>45950</v>
      </c>
      <c r="C797" t="str">
        <f>Raw_Data!C797</f>
        <v>West</v>
      </c>
      <c r="D797" t="str">
        <f>Raw_Data!D797</f>
        <v>Pune</v>
      </c>
      <c r="E797" t="str">
        <f>Raw_Data!E797</f>
        <v>Home &amp; Kitchen</v>
      </c>
      <c r="F797" t="str">
        <f>Raw_Data!F797</f>
        <v>Storage Box</v>
      </c>
      <c r="G797" t="str">
        <f>Raw_Data!G797</f>
        <v>Small Business</v>
      </c>
      <c r="H797" t="str">
        <f>Raw_Data!H797</f>
        <v>In-Store</v>
      </c>
      <c r="I797">
        <f>Raw_Data!I797</f>
        <v>8</v>
      </c>
      <c r="J797" s="3">
        <f>Raw_Data!J797</f>
        <v>15.86</v>
      </c>
      <c r="K797" s="4">
        <f>Raw_Data!K797</f>
        <v>0</v>
      </c>
      <c r="L797" s="3">
        <f>Raw_Data!L797</f>
        <v>126.88</v>
      </c>
      <c r="M797" s="3">
        <f>Raw_Data!M797</f>
        <v>64.489999999999995</v>
      </c>
      <c r="N797" s="3">
        <f>Raw_Data!N797</f>
        <v>62.39</v>
      </c>
      <c r="O797" t="str">
        <f t="shared" si="36"/>
        <v>2025-10</v>
      </c>
      <c r="P797" s="5">
        <f t="shared" si="37"/>
        <v>0.49172446406052966</v>
      </c>
      <c r="Q797" s="3">
        <f t="shared" si="38"/>
        <v>126.88</v>
      </c>
    </row>
    <row r="798" spans="1:17" x14ac:dyDescent="0.35">
      <c r="A798" t="str">
        <f>Raw_Data!A798</f>
        <v>ORD-0383</v>
      </c>
      <c r="B798" s="2">
        <f>Raw_Data!B798</f>
        <v>45951</v>
      </c>
      <c r="C798" t="str">
        <f>Raw_Data!C798</f>
        <v>North</v>
      </c>
      <c r="D798" t="str">
        <f>Raw_Data!D798</f>
        <v>Chandigarh</v>
      </c>
      <c r="E798" t="str">
        <f>Raw_Data!E798</f>
        <v>Home &amp; Kitchen</v>
      </c>
      <c r="F798" t="str">
        <f>Raw_Data!F798</f>
        <v>Water Bottle</v>
      </c>
      <c r="G798" t="str">
        <f>Raw_Data!G798</f>
        <v>Consumer</v>
      </c>
      <c r="H798" t="str">
        <f>Raw_Data!H798</f>
        <v>In-Store</v>
      </c>
      <c r="I798">
        <f>Raw_Data!I798</f>
        <v>8</v>
      </c>
      <c r="J798" s="3">
        <f>Raw_Data!J798</f>
        <v>16.100000000000001</v>
      </c>
      <c r="K798" s="4">
        <f>Raw_Data!K798</f>
        <v>0</v>
      </c>
      <c r="L798" s="3">
        <f>Raw_Data!L798</f>
        <v>128.80000000000001</v>
      </c>
      <c r="M798" s="3">
        <f>Raw_Data!M798</f>
        <v>99.72</v>
      </c>
      <c r="N798" s="3">
        <f>Raw_Data!N798</f>
        <v>29.08</v>
      </c>
      <c r="O798" t="str">
        <f t="shared" si="36"/>
        <v>2025-10</v>
      </c>
      <c r="P798" s="5">
        <f t="shared" si="37"/>
        <v>0.22577639751552792</v>
      </c>
      <c r="Q798" s="3">
        <f t="shared" si="38"/>
        <v>128.80000000000001</v>
      </c>
    </row>
    <row r="799" spans="1:17" x14ac:dyDescent="0.35">
      <c r="A799" t="str">
        <f>Raw_Data!A799</f>
        <v>ORD-0900</v>
      </c>
      <c r="B799" s="2">
        <f>Raw_Data!B799</f>
        <v>45951</v>
      </c>
      <c r="C799" t="str">
        <f>Raw_Data!C799</f>
        <v>West</v>
      </c>
      <c r="D799" t="str">
        <f>Raw_Data!D799</f>
        <v>Pune</v>
      </c>
      <c r="E799" t="str">
        <f>Raw_Data!E799</f>
        <v>Home &amp; Kitchen</v>
      </c>
      <c r="F799" t="str">
        <f>Raw_Data!F799</f>
        <v>Coffee Maker</v>
      </c>
      <c r="G799" t="str">
        <f>Raw_Data!G799</f>
        <v>Corporate</v>
      </c>
      <c r="H799" t="str">
        <f>Raw_Data!H799</f>
        <v>Marketplace</v>
      </c>
      <c r="I799">
        <f>Raw_Data!I799</f>
        <v>12</v>
      </c>
      <c r="J799" s="3">
        <f>Raw_Data!J799</f>
        <v>79.98</v>
      </c>
      <c r="K799" s="4">
        <f>Raw_Data!K799</f>
        <v>0.15</v>
      </c>
      <c r="L799" s="3">
        <f>Raw_Data!L799</f>
        <v>815.8</v>
      </c>
      <c r="M799" s="3">
        <f>Raw_Data!M799</f>
        <v>512.83000000000004</v>
      </c>
      <c r="N799" s="3">
        <f>Raw_Data!N799</f>
        <v>302.97000000000003</v>
      </c>
      <c r="O799" t="str">
        <f t="shared" si="36"/>
        <v>2025-10</v>
      </c>
      <c r="P799" s="5">
        <f t="shared" si="37"/>
        <v>0.37137778867369459</v>
      </c>
      <c r="Q799" s="3">
        <f t="shared" si="38"/>
        <v>815.8</v>
      </c>
    </row>
    <row r="800" spans="1:17" x14ac:dyDescent="0.35">
      <c r="A800" t="str">
        <f>Raw_Data!A800</f>
        <v>ORD-0450</v>
      </c>
      <c r="B800" s="2">
        <f>Raw_Data!B800</f>
        <v>45952</v>
      </c>
      <c r="C800" t="str">
        <f>Raw_Data!C800</f>
        <v>West</v>
      </c>
      <c r="D800" t="str">
        <f>Raw_Data!D800</f>
        <v>Ahmedabad</v>
      </c>
      <c r="E800" t="str">
        <f>Raw_Data!E800</f>
        <v>Furniture</v>
      </c>
      <c r="F800" t="str">
        <f>Raw_Data!F800</f>
        <v>Standing Desk</v>
      </c>
      <c r="G800" t="str">
        <f>Raw_Data!G800</f>
        <v>Corporate</v>
      </c>
      <c r="H800" t="str">
        <f>Raw_Data!H800</f>
        <v>In-Store</v>
      </c>
      <c r="I800">
        <f>Raw_Data!I800</f>
        <v>7</v>
      </c>
      <c r="J800" s="3">
        <f>Raw_Data!J800</f>
        <v>272.25</v>
      </c>
      <c r="K800" s="4">
        <f>Raw_Data!K800</f>
        <v>0</v>
      </c>
      <c r="L800" s="3">
        <f>Raw_Data!L800</f>
        <v>1905.75</v>
      </c>
      <c r="M800" s="3">
        <f>Raw_Data!M800</f>
        <v>1347.83</v>
      </c>
      <c r="N800" s="3">
        <f>Raw_Data!N800</f>
        <v>557.91999999999996</v>
      </c>
      <c r="O800" t="str">
        <f t="shared" si="36"/>
        <v>2025-10</v>
      </c>
      <c r="P800" s="5">
        <f t="shared" si="37"/>
        <v>0.29275613275613271</v>
      </c>
      <c r="Q800" s="3">
        <f t="shared" si="38"/>
        <v>1905.75</v>
      </c>
    </row>
    <row r="801" spans="1:17" x14ac:dyDescent="0.35">
      <c r="A801" t="str">
        <f>Raw_Data!A801</f>
        <v>ORD-0655</v>
      </c>
      <c r="B801" s="2">
        <f>Raw_Data!B801</f>
        <v>45952</v>
      </c>
      <c r="C801" t="str">
        <f>Raw_Data!C801</f>
        <v>South</v>
      </c>
      <c r="D801" t="str">
        <f>Raw_Data!D801</f>
        <v>Bengaluru</v>
      </c>
      <c r="E801" t="str">
        <f>Raw_Data!E801</f>
        <v>Technology</v>
      </c>
      <c r="F801" t="str">
        <f>Raw_Data!F801</f>
        <v>Headphones</v>
      </c>
      <c r="G801" t="str">
        <f>Raw_Data!G801</f>
        <v>Small Business</v>
      </c>
      <c r="H801" t="str">
        <f>Raw_Data!H801</f>
        <v>Online</v>
      </c>
      <c r="I801">
        <f>Raw_Data!I801</f>
        <v>3</v>
      </c>
      <c r="J801" s="3">
        <f>Raw_Data!J801</f>
        <v>57.95</v>
      </c>
      <c r="K801" s="4">
        <f>Raw_Data!K801</f>
        <v>0</v>
      </c>
      <c r="L801" s="3">
        <f>Raw_Data!L801</f>
        <v>173.85</v>
      </c>
      <c r="M801" s="3">
        <f>Raw_Data!M801</f>
        <v>100.12</v>
      </c>
      <c r="N801" s="3">
        <f>Raw_Data!N801</f>
        <v>73.73</v>
      </c>
      <c r="O801" t="str">
        <f t="shared" si="36"/>
        <v>2025-10</v>
      </c>
      <c r="P801" s="5">
        <f t="shared" si="37"/>
        <v>0.42410123669830319</v>
      </c>
      <c r="Q801" s="3">
        <f t="shared" si="38"/>
        <v>173.85</v>
      </c>
    </row>
    <row r="802" spans="1:17" x14ac:dyDescent="0.35">
      <c r="A802" t="str">
        <f>Raw_Data!A802</f>
        <v>ORD-0622</v>
      </c>
      <c r="B802" s="2">
        <f>Raw_Data!B802</f>
        <v>45953</v>
      </c>
      <c r="C802" t="str">
        <f>Raw_Data!C802</f>
        <v>South</v>
      </c>
      <c r="D802" t="str">
        <f>Raw_Data!D802</f>
        <v>Chennai</v>
      </c>
      <c r="E802" t="str">
        <f>Raw_Data!E802</f>
        <v>Office Supplies</v>
      </c>
      <c r="F802" t="str">
        <f>Raw_Data!F802</f>
        <v>Notebook Pack</v>
      </c>
      <c r="G802" t="str">
        <f>Raw_Data!G802</f>
        <v>Corporate</v>
      </c>
      <c r="H802" t="str">
        <f>Raw_Data!H802</f>
        <v>In-Store</v>
      </c>
      <c r="I802">
        <f>Raw_Data!I802</f>
        <v>7</v>
      </c>
      <c r="J802" s="3">
        <f>Raw_Data!J802</f>
        <v>13.8</v>
      </c>
      <c r="K802" s="4">
        <f>Raw_Data!K802</f>
        <v>0.1</v>
      </c>
      <c r="L802" s="3">
        <f>Raw_Data!L802</f>
        <v>86.94</v>
      </c>
      <c r="M802" s="3">
        <f>Raw_Data!M802</f>
        <v>71.349999999999994</v>
      </c>
      <c r="N802" s="3">
        <f>Raw_Data!N802</f>
        <v>15.59</v>
      </c>
      <c r="O802" t="str">
        <f t="shared" si="36"/>
        <v>2025-10</v>
      </c>
      <c r="P802" s="5">
        <f t="shared" si="37"/>
        <v>0.17931907062341845</v>
      </c>
      <c r="Q802" s="3">
        <f t="shared" si="38"/>
        <v>86.94</v>
      </c>
    </row>
    <row r="803" spans="1:17" x14ac:dyDescent="0.35">
      <c r="A803" t="str">
        <f>Raw_Data!A803</f>
        <v>ORD-0059</v>
      </c>
      <c r="B803" s="2">
        <f>Raw_Data!B803</f>
        <v>45954</v>
      </c>
      <c r="C803" t="str">
        <f>Raw_Data!C803</f>
        <v>South</v>
      </c>
      <c r="D803" t="str">
        <f>Raw_Data!D803</f>
        <v>Hyderabad</v>
      </c>
      <c r="E803" t="str">
        <f>Raw_Data!E803</f>
        <v>Technology</v>
      </c>
      <c r="F803" t="str">
        <f>Raw_Data!F803</f>
        <v>Headphones</v>
      </c>
      <c r="G803" t="str">
        <f>Raw_Data!G803</f>
        <v>Consumer</v>
      </c>
      <c r="H803" t="str">
        <f>Raw_Data!H803</f>
        <v>Marketplace</v>
      </c>
      <c r="I803">
        <f>Raw_Data!I803</f>
        <v>10</v>
      </c>
      <c r="J803" s="3">
        <f>Raw_Data!J803</f>
        <v>59.79</v>
      </c>
      <c r="K803" s="4">
        <f>Raw_Data!K803</f>
        <v>0.1</v>
      </c>
      <c r="L803" s="3">
        <f>Raw_Data!L803</f>
        <v>538.11</v>
      </c>
      <c r="M803" s="3">
        <f>Raw_Data!M803</f>
        <v>358.14</v>
      </c>
      <c r="N803" s="3">
        <f>Raw_Data!N803</f>
        <v>179.97</v>
      </c>
      <c r="O803" t="str">
        <f t="shared" si="36"/>
        <v>2025-10</v>
      </c>
      <c r="P803" s="5">
        <f t="shared" si="37"/>
        <v>0.33444834699225062</v>
      </c>
      <c r="Q803" s="3">
        <f t="shared" si="38"/>
        <v>538.11</v>
      </c>
    </row>
    <row r="804" spans="1:17" x14ac:dyDescent="0.35">
      <c r="A804" t="str">
        <f>Raw_Data!A804</f>
        <v>ORD-0101</v>
      </c>
      <c r="B804" s="2">
        <f>Raw_Data!B804</f>
        <v>45954</v>
      </c>
      <c r="C804" t="str">
        <f>Raw_Data!C804</f>
        <v>South</v>
      </c>
      <c r="D804" t="str">
        <f>Raw_Data!D804</f>
        <v>Hyderabad</v>
      </c>
      <c r="E804" t="str">
        <f>Raw_Data!E804</f>
        <v>Furniture</v>
      </c>
      <c r="F804" t="str">
        <f>Raw_Data!F804</f>
        <v>Desk Lamp</v>
      </c>
      <c r="G804" t="str">
        <f>Raw_Data!G804</f>
        <v>Consumer</v>
      </c>
      <c r="H804" t="str">
        <f>Raw_Data!H804</f>
        <v>Online</v>
      </c>
      <c r="I804">
        <f>Raw_Data!I804</f>
        <v>2</v>
      </c>
      <c r="J804" s="3">
        <f>Raw_Data!J804</f>
        <v>44.4</v>
      </c>
      <c r="K804" s="4">
        <f>Raw_Data!K804</f>
        <v>0.05</v>
      </c>
      <c r="L804" s="3">
        <f>Raw_Data!L804</f>
        <v>84.36</v>
      </c>
      <c r="M804" s="3">
        <f>Raw_Data!M804</f>
        <v>62.54</v>
      </c>
      <c r="N804" s="3">
        <f>Raw_Data!N804</f>
        <v>21.82</v>
      </c>
      <c r="O804" t="str">
        <f t="shared" si="36"/>
        <v>2025-10</v>
      </c>
      <c r="P804" s="5">
        <f t="shared" si="37"/>
        <v>0.25865339023233763</v>
      </c>
      <c r="Q804" s="3">
        <f t="shared" si="38"/>
        <v>84.36</v>
      </c>
    </row>
    <row r="805" spans="1:17" x14ac:dyDescent="0.35">
      <c r="A805" t="str">
        <f>Raw_Data!A805</f>
        <v>ORD-0654</v>
      </c>
      <c r="B805" s="2">
        <f>Raw_Data!B805</f>
        <v>45955</v>
      </c>
      <c r="C805" t="str">
        <f>Raw_Data!C805</f>
        <v>North</v>
      </c>
      <c r="D805" t="str">
        <f>Raw_Data!D805</f>
        <v>Jaipur</v>
      </c>
      <c r="E805" t="str">
        <f>Raw_Data!E805</f>
        <v>Home &amp; Kitchen</v>
      </c>
      <c r="F805" t="str">
        <f>Raw_Data!F805</f>
        <v>Lunch Box</v>
      </c>
      <c r="G805" t="str">
        <f>Raw_Data!G805</f>
        <v>Small Business</v>
      </c>
      <c r="H805" t="str">
        <f>Raw_Data!H805</f>
        <v>Marketplace</v>
      </c>
      <c r="I805">
        <f>Raw_Data!I805</f>
        <v>5</v>
      </c>
      <c r="J805" s="3">
        <f>Raw_Data!J805</f>
        <v>21.4</v>
      </c>
      <c r="K805" s="4">
        <f>Raw_Data!K805</f>
        <v>0.1</v>
      </c>
      <c r="L805" s="3">
        <f>Raw_Data!L805</f>
        <v>96.3</v>
      </c>
      <c r="M805" s="3">
        <f>Raw_Data!M805</f>
        <v>82.63</v>
      </c>
      <c r="N805" s="3">
        <f>Raw_Data!N805</f>
        <v>13.67</v>
      </c>
      <c r="O805" t="str">
        <f t="shared" si="36"/>
        <v>2025-10</v>
      </c>
      <c r="P805" s="5">
        <f t="shared" si="37"/>
        <v>0.14195223260643822</v>
      </c>
      <c r="Q805" s="3">
        <f t="shared" si="38"/>
        <v>96.3</v>
      </c>
    </row>
    <row r="806" spans="1:17" x14ac:dyDescent="0.35">
      <c r="A806" t="str">
        <f>Raw_Data!A806</f>
        <v>ORD-0251</v>
      </c>
      <c r="B806" s="2">
        <f>Raw_Data!B806</f>
        <v>45956</v>
      </c>
      <c r="C806" t="str">
        <f>Raw_Data!C806</f>
        <v>North</v>
      </c>
      <c r="D806" t="str">
        <f>Raw_Data!D806</f>
        <v>Jaipur</v>
      </c>
      <c r="E806" t="str">
        <f>Raw_Data!E806</f>
        <v>Home &amp; Kitchen</v>
      </c>
      <c r="F806" t="str">
        <f>Raw_Data!F806</f>
        <v>Lunch Box</v>
      </c>
      <c r="G806" t="str">
        <f>Raw_Data!G806</f>
        <v>Consumer</v>
      </c>
      <c r="H806" t="str">
        <f>Raw_Data!H806</f>
        <v>Online</v>
      </c>
      <c r="I806">
        <f>Raw_Data!I806</f>
        <v>9</v>
      </c>
      <c r="J806" s="3">
        <f>Raw_Data!J806</f>
        <v>17.260000000000002</v>
      </c>
      <c r="K806" s="4">
        <f>Raw_Data!K806</f>
        <v>0.05</v>
      </c>
      <c r="L806" s="3">
        <f>Raw_Data!L806</f>
        <v>147.57</v>
      </c>
      <c r="M806" s="3">
        <f>Raw_Data!M806</f>
        <v>107.26</v>
      </c>
      <c r="N806" s="3">
        <f>Raw_Data!N806</f>
        <v>40.31</v>
      </c>
      <c r="O806" t="str">
        <f t="shared" si="36"/>
        <v>2025-10</v>
      </c>
      <c r="P806" s="5">
        <f t="shared" si="37"/>
        <v>0.273158501050349</v>
      </c>
      <c r="Q806" s="3">
        <f t="shared" si="38"/>
        <v>147.57</v>
      </c>
    </row>
    <row r="807" spans="1:17" x14ac:dyDescent="0.35">
      <c r="A807" t="str">
        <f>Raw_Data!A807</f>
        <v>ORD-0052</v>
      </c>
      <c r="B807" s="2">
        <f>Raw_Data!B807</f>
        <v>45957</v>
      </c>
      <c r="C807" t="str">
        <f>Raw_Data!C807</f>
        <v>West</v>
      </c>
      <c r="D807" t="str">
        <f>Raw_Data!D807</f>
        <v>Ahmedabad</v>
      </c>
      <c r="E807" t="str">
        <f>Raw_Data!E807</f>
        <v>Technology</v>
      </c>
      <c r="F807" t="str">
        <f>Raw_Data!F807</f>
        <v>USB Hub</v>
      </c>
      <c r="G807" t="str">
        <f>Raw_Data!G807</f>
        <v>Small Business</v>
      </c>
      <c r="H807" t="str">
        <f>Raw_Data!H807</f>
        <v>Marketplace</v>
      </c>
      <c r="I807">
        <f>Raw_Data!I807</f>
        <v>8</v>
      </c>
      <c r="J807" s="3">
        <f>Raw_Data!J807</f>
        <v>20.45</v>
      </c>
      <c r="K807" s="4">
        <f>Raw_Data!K807</f>
        <v>0.05</v>
      </c>
      <c r="L807" s="3">
        <f>Raw_Data!L807</f>
        <v>155.41999999999999</v>
      </c>
      <c r="M807" s="3">
        <f>Raw_Data!M807</f>
        <v>93.18</v>
      </c>
      <c r="N807" s="3">
        <f>Raw_Data!N807</f>
        <v>62.24</v>
      </c>
      <c r="O807" t="str">
        <f t="shared" si="36"/>
        <v>2025-10</v>
      </c>
      <c r="P807" s="5">
        <f t="shared" si="37"/>
        <v>0.40046326084159056</v>
      </c>
      <c r="Q807" s="3">
        <f t="shared" si="38"/>
        <v>155.41999999999999</v>
      </c>
    </row>
    <row r="808" spans="1:17" x14ac:dyDescent="0.35">
      <c r="A808" t="str">
        <f>Raw_Data!A808</f>
        <v>ORD-0811</v>
      </c>
      <c r="B808" s="2">
        <f>Raw_Data!B808</f>
        <v>45957</v>
      </c>
      <c r="C808" t="str">
        <f>Raw_Data!C808</f>
        <v>East</v>
      </c>
      <c r="D808" t="str">
        <f>Raw_Data!D808</f>
        <v>Bhubaneswar</v>
      </c>
      <c r="E808" t="str">
        <f>Raw_Data!E808</f>
        <v>Furniture</v>
      </c>
      <c r="F808" t="str">
        <f>Raw_Data!F808</f>
        <v>Office Chair</v>
      </c>
      <c r="G808" t="str">
        <f>Raw_Data!G808</f>
        <v>Corporate</v>
      </c>
      <c r="H808" t="str">
        <f>Raw_Data!H808</f>
        <v>Online</v>
      </c>
      <c r="I808">
        <f>Raw_Data!I808</f>
        <v>1</v>
      </c>
      <c r="J808" s="3">
        <f>Raw_Data!J808</f>
        <v>133.36000000000001</v>
      </c>
      <c r="K808" s="4">
        <f>Raw_Data!K808</f>
        <v>0.05</v>
      </c>
      <c r="L808" s="3">
        <f>Raw_Data!L808</f>
        <v>126.69</v>
      </c>
      <c r="M808" s="3">
        <f>Raw_Data!M808</f>
        <v>70.98</v>
      </c>
      <c r="N808" s="3">
        <f>Raw_Data!N808</f>
        <v>55.71</v>
      </c>
      <c r="O808" t="str">
        <f t="shared" si="36"/>
        <v>2025-10</v>
      </c>
      <c r="P808" s="5">
        <f t="shared" si="37"/>
        <v>0.43973478569737157</v>
      </c>
      <c r="Q808" s="3">
        <f t="shared" si="38"/>
        <v>126.69</v>
      </c>
    </row>
    <row r="809" spans="1:17" x14ac:dyDescent="0.35">
      <c r="A809" t="str">
        <f>Raw_Data!A809</f>
        <v>ORD-0590</v>
      </c>
      <c r="B809" s="2">
        <f>Raw_Data!B809</f>
        <v>45957</v>
      </c>
      <c r="C809" t="str">
        <f>Raw_Data!C809</f>
        <v>East</v>
      </c>
      <c r="D809" t="str">
        <f>Raw_Data!D809</f>
        <v>Kolkata</v>
      </c>
      <c r="E809" t="str">
        <f>Raw_Data!E809</f>
        <v>Home &amp; Kitchen</v>
      </c>
      <c r="F809" t="str">
        <f>Raw_Data!F809</f>
        <v>Lunch Box</v>
      </c>
      <c r="G809" t="str">
        <f>Raw_Data!G809</f>
        <v>Corporate</v>
      </c>
      <c r="H809" t="str">
        <f>Raw_Data!H809</f>
        <v>Marketplace</v>
      </c>
      <c r="I809">
        <f>Raw_Data!I809</f>
        <v>11</v>
      </c>
      <c r="J809" s="3">
        <f>Raw_Data!J809</f>
        <v>22.24</v>
      </c>
      <c r="K809" s="4">
        <f>Raw_Data!K809</f>
        <v>0.15</v>
      </c>
      <c r="L809" s="3">
        <f>Raw_Data!L809</f>
        <v>207.94</v>
      </c>
      <c r="M809" s="3">
        <f>Raw_Data!M809</f>
        <v>173.98</v>
      </c>
      <c r="N809" s="3">
        <f>Raw_Data!N809</f>
        <v>33.96</v>
      </c>
      <c r="O809" t="str">
        <f t="shared" si="36"/>
        <v>2025-10</v>
      </c>
      <c r="P809" s="5">
        <f t="shared" si="37"/>
        <v>0.16331634125228431</v>
      </c>
      <c r="Q809" s="3">
        <f t="shared" si="38"/>
        <v>207.94</v>
      </c>
    </row>
    <row r="810" spans="1:17" x14ac:dyDescent="0.35">
      <c r="A810" t="str">
        <f>Raw_Data!A810</f>
        <v>ORD-0195</v>
      </c>
      <c r="B810" s="2">
        <f>Raw_Data!B810</f>
        <v>45958</v>
      </c>
      <c r="C810" t="str">
        <f>Raw_Data!C810</f>
        <v>South</v>
      </c>
      <c r="D810" t="str">
        <f>Raw_Data!D810</f>
        <v>Chennai</v>
      </c>
      <c r="E810" t="str">
        <f>Raw_Data!E810</f>
        <v>Office Supplies</v>
      </c>
      <c r="F810" t="str">
        <f>Raw_Data!F810</f>
        <v>Pen Set</v>
      </c>
      <c r="G810" t="str">
        <f>Raw_Data!G810</f>
        <v>Consumer</v>
      </c>
      <c r="H810" t="str">
        <f>Raw_Data!H810</f>
        <v>Online</v>
      </c>
      <c r="I810">
        <f>Raw_Data!I810</f>
        <v>1</v>
      </c>
      <c r="J810" s="3">
        <f>Raw_Data!J810</f>
        <v>8.68</v>
      </c>
      <c r="K810" s="4">
        <f>Raw_Data!K810</f>
        <v>0.15</v>
      </c>
      <c r="L810" s="3">
        <f>Raw_Data!L810</f>
        <v>7.38</v>
      </c>
      <c r="M810" s="3">
        <f>Raw_Data!M810</f>
        <v>4.75</v>
      </c>
      <c r="N810" s="3">
        <f>Raw_Data!N810</f>
        <v>2.63</v>
      </c>
      <c r="O810" t="str">
        <f t="shared" si="36"/>
        <v>2025-10</v>
      </c>
      <c r="P810" s="5">
        <f t="shared" si="37"/>
        <v>0.35636856368563685</v>
      </c>
      <c r="Q810" s="3">
        <f t="shared" si="38"/>
        <v>7.38</v>
      </c>
    </row>
    <row r="811" spans="1:17" x14ac:dyDescent="0.35">
      <c r="A811" t="str">
        <f>Raw_Data!A811</f>
        <v>ORD-0427</v>
      </c>
      <c r="B811" s="2">
        <f>Raw_Data!B811</f>
        <v>45958</v>
      </c>
      <c r="C811" t="str">
        <f>Raw_Data!C811</f>
        <v>East</v>
      </c>
      <c r="D811" t="str">
        <f>Raw_Data!D811</f>
        <v>Bhubaneswar</v>
      </c>
      <c r="E811" t="str">
        <f>Raw_Data!E811</f>
        <v>Technology</v>
      </c>
      <c r="F811" t="str">
        <f>Raw_Data!F811</f>
        <v>Headphones</v>
      </c>
      <c r="G811" t="str">
        <f>Raw_Data!G811</f>
        <v>Small Business</v>
      </c>
      <c r="H811" t="str">
        <f>Raw_Data!H811</f>
        <v>In-Store</v>
      </c>
      <c r="I811">
        <f>Raw_Data!I811</f>
        <v>7</v>
      </c>
      <c r="J811" s="3">
        <f>Raw_Data!J811</f>
        <v>65.47</v>
      </c>
      <c r="K811" s="4">
        <f>Raw_Data!K811</f>
        <v>0</v>
      </c>
      <c r="L811" s="3">
        <f>Raw_Data!L811</f>
        <v>458.29</v>
      </c>
      <c r="M811" s="3">
        <f>Raw_Data!M811</f>
        <v>290.97000000000003</v>
      </c>
      <c r="N811" s="3">
        <f>Raw_Data!N811</f>
        <v>167.32</v>
      </c>
      <c r="O811" t="str">
        <f t="shared" si="36"/>
        <v>2025-10</v>
      </c>
      <c r="P811" s="5">
        <f t="shared" si="37"/>
        <v>0.36509633638089417</v>
      </c>
      <c r="Q811" s="3">
        <f t="shared" si="38"/>
        <v>458.29</v>
      </c>
    </row>
    <row r="812" spans="1:17" x14ac:dyDescent="0.35">
      <c r="A812" t="str">
        <f>Raw_Data!A812</f>
        <v>ORD-0981</v>
      </c>
      <c r="B812" s="2">
        <f>Raw_Data!B812</f>
        <v>45958</v>
      </c>
      <c r="C812" t="str">
        <f>Raw_Data!C812</f>
        <v>South</v>
      </c>
      <c r="D812" t="str">
        <f>Raw_Data!D812</f>
        <v>Bengaluru</v>
      </c>
      <c r="E812" t="str">
        <f>Raw_Data!E812</f>
        <v>Home &amp; Kitchen</v>
      </c>
      <c r="F812" t="str">
        <f>Raw_Data!F812</f>
        <v>Lunch Box</v>
      </c>
      <c r="G812" t="str">
        <f>Raw_Data!G812</f>
        <v>Corporate</v>
      </c>
      <c r="H812" t="str">
        <f>Raw_Data!H812</f>
        <v>In-Store</v>
      </c>
      <c r="I812">
        <f>Raw_Data!I812</f>
        <v>10</v>
      </c>
      <c r="J812" s="3">
        <f>Raw_Data!J812</f>
        <v>23.08</v>
      </c>
      <c r="K812" s="4">
        <f>Raw_Data!K812</f>
        <v>0</v>
      </c>
      <c r="L812" s="3">
        <f>Raw_Data!L812</f>
        <v>230.8</v>
      </c>
      <c r="M812" s="3">
        <f>Raw_Data!M812</f>
        <v>130.87</v>
      </c>
      <c r="N812" s="3">
        <f>Raw_Data!N812</f>
        <v>99.93</v>
      </c>
      <c r="O812" t="str">
        <f t="shared" si="36"/>
        <v>2025-10</v>
      </c>
      <c r="P812" s="5">
        <f t="shared" si="37"/>
        <v>0.43297227036395147</v>
      </c>
      <c r="Q812" s="3">
        <f t="shared" si="38"/>
        <v>230.8</v>
      </c>
    </row>
    <row r="813" spans="1:17" x14ac:dyDescent="0.35">
      <c r="A813" t="str">
        <f>Raw_Data!A813</f>
        <v>ORD-0111</v>
      </c>
      <c r="B813" s="2">
        <f>Raw_Data!B813</f>
        <v>45958</v>
      </c>
      <c r="C813" t="str">
        <f>Raw_Data!C813</f>
        <v>South</v>
      </c>
      <c r="D813" t="str">
        <f>Raw_Data!D813</f>
        <v>Chennai</v>
      </c>
      <c r="E813" t="str">
        <f>Raw_Data!E813</f>
        <v>Office Supplies</v>
      </c>
      <c r="F813" t="str">
        <f>Raw_Data!F813</f>
        <v>Pen Set</v>
      </c>
      <c r="G813" t="str">
        <f>Raw_Data!G813</f>
        <v>Consumer</v>
      </c>
      <c r="H813" t="str">
        <f>Raw_Data!H813</f>
        <v>Marketplace</v>
      </c>
      <c r="I813">
        <f>Raw_Data!I813</f>
        <v>6</v>
      </c>
      <c r="J813" s="3">
        <f>Raw_Data!J813</f>
        <v>8.9700000000000006</v>
      </c>
      <c r="K813" s="4">
        <f>Raw_Data!K813</f>
        <v>0.15</v>
      </c>
      <c r="L813" s="3">
        <f>Raw_Data!L813</f>
        <v>45.75</v>
      </c>
      <c r="M813" s="3">
        <f>Raw_Data!M813</f>
        <v>25.88</v>
      </c>
      <c r="N813" s="3">
        <f>Raw_Data!N813</f>
        <v>19.87</v>
      </c>
      <c r="O813" t="str">
        <f t="shared" si="36"/>
        <v>2025-10</v>
      </c>
      <c r="P813" s="5">
        <f t="shared" si="37"/>
        <v>0.43431693989071041</v>
      </c>
      <c r="Q813" s="3">
        <f t="shared" si="38"/>
        <v>45.75</v>
      </c>
    </row>
    <row r="814" spans="1:17" x14ac:dyDescent="0.35">
      <c r="A814" t="str">
        <f>Raw_Data!A814</f>
        <v>ORD-0698</v>
      </c>
      <c r="B814" s="2">
        <f>Raw_Data!B814</f>
        <v>45959</v>
      </c>
      <c r="C814" t="str">
        <f>Raw_Data!C814</f>
        <v>West</v>
      </c>
      <c r="D814" t="str">
        <f>Raw_Data!D814</f>
        <v>Mumbai</v>
      </c>
      <c r="E814" t="str">
        <f>Raw_Data!E814</f>
        <v>Technology</v>
      </c>
      <c r="F814" t="str">
        <f>Raw_Data!F814</f>
        <v>USB Hub</v>
      </c>
      <c r="G814" t="str">
        <f>Raw_Data!G814</f>
        <v>Small Business</v>
      </c>
      <c r="H814" t="str">
        <f>Raw_Data!H814</f>
        <v>Marketplace</v>
      </c>
      <c r="I814">
        <f>Raw_Data!I814</f>
        <v>9</v>
      </c>
      <c r="J814" s="3">
        <f>Raw_Data!J814</f>
        <v>23.55</v>
      </c>
      <c r="K814" s="4">
        <f>Raw_Data!K814</f>
        <v>0</v>
      </c>
      <c r="L814" s="3">
        <f>Raw_Data!L814</f>
        <v>211.95</v>
      </c>
      <c r="M814" s="3">
        <f>Raw_Data!M814</f>
        <v>121.86</v>
      </c>
      <c r="N814" s="3">
        <f>Raw_Data!N814</f>
        <v>90.09</v>
      </c>
      <c r="O814" t="str">
        <f t="shared" si="36"/>
        <v>2025-10</v>
      </c>
      <c r="P814" s="5">
        <f t="shared" si="37"/>
        <v>0.42505307855626329</v>
      </c>
      <c r="Q814" s="3">
        <f t="shared" si="38"/>
        <v>211.95</v>
      </c>
    </row>
    <row r="815" spans="1:17" x14ac:dyDescent="0.35">
      <c r="A815" t="str">
        <f>Raw_Data!A815</f>
        <v>ORD-0389</v>
      </c>
      <c r="B815" s="2">
        <f>Raw_Data!B815</f>
        <v>45959</v>
      </c>
      <c r="C815" t="str">
        <f>Raw_Data!C815</f>
        <v>West</v>
      </c>
      <c r="D815" t="str">
        <f>Raw_Data!D815</f>
        <v>Ahmedabad</v>
      </c>
      <c r="E815" t="str">
        <f>Raw_Data!E815</f>
        <v>Office Supplies</v>
      </c>
      <c r="F815" t="str">
        <f>Raw_Data!F815</f>
        <v>Printer Paper</v>
      </c>
      <c r="G815" t="str">
        <f>Raw_Data!G815</f>
        <v>Corporate</v>
      </c>
      <c r="H815" t="str">
        <f>Raw_Data!H815</f>
        <v>In-Store</v>
      </c>
      <c r="I815">
        <f>Raw_Data!I815</f>
        <v>1</v>
      </c>
      <c r="J815" s="3">
        <f>Raw_Data!J815</f>
        <v>15.53</v>
      </c>
      <c r="K815" s="4">
        <f>Raw_Data!K815</f>
        <v>0</v>
      </c>
      <c r="L815" s="3">
        <f>Raw_Data!L815</f>
        <v>15.53</v>
      </c>
      <c r="M815" s="3">
        <f>Raw_Data!M815</f>
        <v>10.029999999999999</v>
      </c>
      <c r="N815" s="3">
        <f>Raw_Data!N815</f>
        <v>5.5</v>
      </c>
      <c r="O815" t="str">
        <f t="shared" si="36"/>
        <v>2025-10</v>
      </c>
      <c r="P815" s="5">
        <f t="shared" si="37"/>
        <v>0.35415325177076629</v>
      </c>
      <c r="Q815" s="3">
        <f t="shared" si="38"/>
        <v>15.53</v>
      </c>
    </row>
    <row r="816" spans="1:17" x14ac:dyDescent="0.35">
      <c r="A816" t="str">
        <f>Raw_Data!A816</f>
        <v>ORD-0135</v>
      </c>
      <c r="B816" s="2">
        <f>Raw_Data!B816</f>
        <v>45960</v>
      </c>
      <c r="C816" t="str">
        <f>Raw_Data!C816</f>
        <v>North</v>
      </c>
      <c r="D816" t="str">
        <f>Raw_Data!D816</f>
        <v>Delhi</v>
      </c>
      <c r="E816" t="str">
        <f>Raw_Data!E816</f>
        <v>Technology</v>
      </c>
      <c r="F816" t="str">
        <f>Raw_Data!F816</f>
        <v>Headphones</v>
      </c>
      <c r="G816" t="str">
        <f>Raw_Data!G816</f>
        <v>Small Business</v>
      </c>
      <c r="H816" t="str">
        <f>Raw_Data!H816</f>
        <v>In-Store</v>
      </c>
      <c r="I816">
        <f>Raw_Data!I816</f>
        <v>9</v>
      </c>
      <c r="J816" s="3">
        <f>Raw_Data!J816</f>
        <v>48.18</v>
      </c>
      <c r="K816" s="4">
        <f>Raw_Data!K816</f>
        <v>0.1</v>
      </c>
      <c r="L816" s="3">
        <f>Raw_Data!L816</f>
        <v>390.26</v>
      </c>
      <c r="M816" s="3">
        <f>Raw_Data!M816</f>
        <v>266.93</v>
      </c>
      <c r="N816" s="3">
        <f>Raw_Data!N816</f>
        <v>123.33</v>
      </c>
      <c r="O816" t="str">
        <f t="shared" si="36"/>
        <v>2025-10</v>
      </c>
      <c r="P816" s="5">
        <f t="shared" si="37"/>
        <v>0.31602008917132168</v>
      </c>
      <c r="Q816" s="3">
        <f t="shared" si="38"/>
        <v>390.26</v>
      </c>
    </row>
    <row r="817" spans="1:17" x14ac:dyDescent="0.35">
      <c r="A817" t="str">
        <f>Raw_Data!A817</f>
        <v>ORD-0218</v>
      </c>
      <c r="B817" s="2">
        <f>Raw_Data!B817</f>
        <v>45960</v>
      </c>
      <c r="C817" t="str">
        <f>Raw_Data!C817</f>
        <v>West</v>
      </c>
      <c r="D817" t="str">
        <f>Raw_Data!D817</f>
        <v>Ahmedabad</v>
      </c>
      <c r="E817" t="str">
        <f>Raw_Data!E817</f>
        <v>Office Supplies</v>
      </c>
      <c r="F817" t="str">
        <f>Raw_Data!F817</f>
        <v>Printer Paper</v>
      </c>
      <c r="G817" t="str">
        <f>Raw_Data!G817</f>
        <v>Corporate</v>
      </c>
      <c r="H817" t="str">
        <f>Raw_Data!H817</f>
        <v>In-Store</v>
      </c>
      <c r="I817">
        <f>Raw_Data!I817</f>
        <v>9</v>
      </c>
      <c r="J817" s="3">
        <f>Raw_Data!J817</f>
        <v>15.35</v>
      </c>
      <c r="K817" s="4">
        <f>Raw_Data!K817</f>
        <v>0.05</v>
      </c>
      <c r="L817" s="3">
        <f>Raw_Data!L817</f>
        <v>131.24</v>
      </c>
      <c r="M817" s="3">
        <f>Raw_Data!M817</f>
        <v>105.34</v>
      </c>
      <c r="N817" s="3">
        <f>Raw_Data!N817</f>
        <v>25.9</v>
      </c>
      <c r="O817" t="str">
        <f t="shared" si="36"/>
        <v>2025-10</v>
      </c>
      <c r="P817" s="5">
        <f t="shared" si="37"/>
        <v>0.19734836939957329</v>
      </c>
      <c r="Q817" s="3">
        <f t="shared" si="38"/>
        <v>131.24</v>
      </c>
    </row>
    <row r="818" spans="1:17" x14ac:dyDescent="0.35">
      <c r="A818" t="str">
        <f>Raw_Data!A818</f>
        <v>ORD-0897</v>
      </c>
      <c r="B818" s="2">
        <f>Raw_Data!B818</f>
        <v>45961</v>
      </c>
      <c r="C818" t="str">
        <f>Raw_Data!C818</f>
        <v>South</v>
      </c>
      <c r="D818" t="str">
        <f>Raw_Data!D818</f>
        <v>Chennai</v>
      </c>
      <c r="E818" t="str">
        <f>Raw_Data!E818</f>
        <v>Home &amp; Kitchen</v>
      </c>
      <c r="F818" t="str">
        <f>Raw_Data!F818</f>
        <v>Storage Box</v>
      </c>
      <c r="G818" t="str">
        <f>Raw_Data!G818</f>
        <v>Small Business</v>
      </c>
      <c r="H818" t="str">
        <f>Raw_Data!H818</f>
        <v>In-Store</v>
      </c>
      <c r="I818">
        <f>Raw_Data!I818</f>
        <v>11</v>
      </c>
      <c r="J818" s="3">
        <f>Raw_Data!J818</f>
        <v>15.44</v>
      </c>
      <c r="K818" s="4">
        <f>Raw_Data!K818</f>
        <v>0</v>
      </c>
      <c r="L818" s="3">
        <f>Raw_Data!L818</f>
        <v>169.84</v>
      </c>
      <c r="M818" s="3">
        <f>Raw_Data!M818</f>
        <v>83.26</v>
      </c>
      <c r="N818" s="3">
        <f>Raw_Data!N818</f>
        <v>86.58</v>
      </c>
      <c r="O818" t="str">
        <f t="shared" si="36"/>
        <v>2025-10</v>
      </c>
      <c r="P818" s="5">
        <f t="shared" si="37"/>
        <v>0.50977390485162499</v>
      </c>
      <c r="Q818" s="3">
        <f t="shared" si="38"/>
        <v>169.84</v>
      </c>
    </row>
    <row r="819" spans="1:17" x14ac:dyDescent="0.35">
      <c r="A819" t="str">
        <f>Raw_Data!A819</f>
        <v>ORD-0687</v>
      </c>
      <c r="B819" s="2">
        <f>Raw_Data!B819</f>
        <v>45961</v>
      </c>
      <c r="C819" t="str">
        <f>Raw_Data!C819</f>
        <v>South</v>
      </c>
      <c r="D819" t="str">
        <f>Raw_Data!D819</f>
        <v>Hyderabad</v>
      </c>
      <c r="E819" t="str">
        <f>Raw_Data!E819</f>
        <v>Furniture</v>
      </c>
      <c r="F819" t="str">
        <f>Raw_Data!F819</f>
        <v>Bookshelf</v>
      </c>
      <c r="G819" t="str">
        <f>Raw_Data!G819</f>
        <v>Small Business</v>
      </c>
      <c r="H819" t="str">
        <f>Raw_Data!H819</f>
        <v>Online</v>
      </c>
      <c r="I819">
        <f>Raw_Data!I819</f>
        <v>2</v>
      </c>
      <c r="J819" s="3">
        <f>Raw_Data!J819</f>
        <v>115.31</v>
      </c>
      <c r="K819" s="4">
        <f>Raw_Data!K819</f>
        <v>0.15</v>
      </c>
      <c r="L819" s="3">
        <f>Raw_Data!L819</f>
        <v>196.03</v>
      </c>
      <c r="M819" s="3">
        <f>Raw_Data!M819</f>
        <v>143.58000000000001</v>
      </c>
      <c r="N819" s="3">
        <f>Raw_Data!N819</f>
        <v>52.45</v>
      </c>
      <c r="O819" t="str">
        <f t="shared" si="36"/>
        <v>2025-10</v>
      </c>
      <c r="P819" s="5">
        <f t="shared" si="37"/>
        <v>0.26756108758863439</v>
      </c>
      <c r="Q819" s="3">
        <f t="shared" si="38"/>
        <v>196.03</v>
      </c>
    </row>
    <row r="820" spans="1:17" x14ac:dyDescent="0.35">
      <c r="A820" t="str">
        <f>Raw_Data!A820</f>
        <v>ORD-0338</v>
      </c>
      <c r="B820" s="2">
        <f>Raw_Data!B820</f>
        <v>45962</v>
      </c>
      <c r="C820" t="str">
        <f>Raw_Data!C820</f>
        <v>West</v>
      </c>
      <c r="D820" t="str">
        <f>Raw_Data!D820</f>
        <v>Pune</v>
      </c>
      <c r="E820" t="str">
        <f>Raw_Data!E820</f>
        <v>Furniture</v>
      </c>
      <c r="F820" t="str">
        <f>Raw_Data!F820</f>
        <v>Bookshelf</v>
      </c>
      <c r="G820" t="str">
        <f>Raw_Data!G820</f>
        <v>Corporate</v>
      </c>
      <c r="H820" t="str">
        <f>Raw_Data!H820</f>
        <v>In-Store</v>
      </c>
      <c r="I820">
        <f>Raw_Data!I820</f>
        <v>12</v>
      </c>
      <c r="J820" s="3">
        <f>Raw_Data!J820</f>
        <v>128.69999999999999</v>
      </c>
      <c r="K820" s="4">
        <f>Raw_Data!K820</f>
        <v>0</v>
      </c>
      <c r="L820" s="3">
        <f>Raw_Data!L820</f>
        <v>1544.4</v>
      </c>
      <c r="M820" s="3">
        <f>Raw_Data!M820</f>
        <v>781.63</v>
      </c>
      <c r="N820" s="3">
        <f>Raw_Data!N820</f>
        <v>762.77</v>
      </c>
      <c r="O820" t="str">
        <f t="shared" si="36"/>
        <v>2025-11</v>
      </c>
      <c r="P820" s="5">
        <f t="shared" si="37"/>
        <v>0.49389406889406884</v>
      </c>
      <c r="Q820" s="3">
        <f t="shared" si="38"/>
        <v>1544.4</v>
      </c>
    </row>
    <row r="821" spans="1:17" x14ac:dyDescent="0.35">
      <c r="A821" t="str">
        <f>Raw_Data!A821</f>
        <v>ORD-0263</v>
      </c>
      <c r="B821" s="2">
        <f>Raw_Data!B821</f>
        <v>45963</v>
      </c>
      <c r="C821" t="str">
        <f>Raw_Data!C821</f>
        <v>South</v>
      </c>
      <c r="D821" t="str">
        <f>Raw_Data!D821</f>
        <v>Chennai</v>
      </c>
      <c r="E821" t="str">
        <f>Raw_Data!E821</f>
        <v>Office Supplies</v>
      </c>
      <c r="F821" t="str">
        <f>Raw_Data!F821</f>
        <v>Printer Paper</v>
      </c>
      <c r="G821" t="str">
        <f>Raw_Data!G821</f>
        <v>Corporate</v>
      </c>
      <c r="H821" t="str">
        <f>Raw_Data!H821</f>
        <v>Online</v>
      </c>
      <c r="I821">
        <f>Raw_Data!I821</f>
        <v>7</v>
      </c>
      <c r="J821" s="3">
        <f>Raw_Data!J821</f>
        <v>13.73</v>
      </c>
      <c r="K821" s="4">
        <f>Raw_Data!K821</f>
        <v>0.15</v>
      </c>
      <c r="L821" s="3">
        <f>Raw_Data!L821</f>
        <v>81.69</v>
      </c>
      <c r="M821" s="3">
        <f>Raw_Data!M821</f>
        <v>66.13</v>
      </c>
      <c r="N821" s="3">
        <f>Raw_Data!N821</f>
        <v>15.56</v>
      </c>
      <c r="O821" t="str">
        <f t="shared" si="36"/>
        <v>2025-11</v>
      </c>
      <c r="P821" s="5">
        <f t="shared" si="37"/>
        <v>0.19047619047619049</v>
      </c>
      <c r="Q821" s="3">
        <f t="shared" si="38"/>
        <v>81.69</v>
      </c>
    </row>
    <row r="822" spans="1:17" x14ac:dyDescent="0.35">
      <c r="A822" t="str">
        <f>Raw_Data!A822</f>
        <v>ORD-0613</v>
      </c>
      <c r="B822" s="2">
        <f>Raw_Data!B822</f>
        <v>45963</v>
      </c>
      <c r="C822" t="str">
        <f>Raw_Data!C822</f>
        <v>North</v>
      </c>
      <c r="D822" t="str">
        <f>Raw_Data!D822</f>
        <v>Delhi</v>
      </c>
      <c r="E822" t="str">
        <f>Raw_Data!E822</f>
        <v>Office Supplies</v>
      </c>
      <c r="F822" t="str">
        <f>Raw_Data!F822</f>
        <v>Printer Paper</v>
      </c>
      <c r="G822" t="str">
        <f>Raw_Data!G822</f>
        <v>Corporate</v>
      </c>
      <c r="H822" t="str">
        <f>Raw_Data!H822</f>
        <v>Online</v>
      </c>
      <c r="I822">
        <f>Raw_Data!I822</f>
        <v>10</v>
      </c>
      <c r="J822" s="3">
        <f>Raw_Data!J822</f>
        <v>17.739999999999998</v>
      </c>
      <c r="K822" s="4">
        <f>Raw_Data!K822</f>
        <v>0.05</v>
      </c>
      <c r="L822" s="3">
        <f>Raw_Data!L822</f>
        <v>168.53</v>
      </c>
      <c r="M822" s="3">
        <f>Raw_Data!M822</f>
        <v>103.66</v>
      </c>
      <c r="N822" s="3">
        <f>Raw_Data!N822</f>
        <v>64.87</v>
      </c>
      <c r="O822" t="str">
        <f t="shared" si="36"/>
        <v>2025-11</v>
      </c>
      <c r="P822" s="5">
        <f t="shared" si="37"/>
        <v>0.38491663205364035</v>
      </c>
      <c r="Q822" s="3">
        <f t="shared" si="38"/>
        <v>168.53</v>
      </c>
    </row>
    <row r="823" spans="1:17" x14ac:dyDescent="0.35">
      <c r="A823" t="str">
        <f>Raw_Data!A823</f>
        <v>ORD-0127</v>
      </c>
      <c r="B823" s="2">
        <f>Raw_Data!B823</f>
        <v>45964</v>
      </c>
      <c r="C823" t="str">
        <f>Raw_Data!C823</f>
        <v>East</v>
      </c>
      <c r="D823" t="str">
        <f>Raw_Data!D823</f>
        <v>Kolkata</v>
      </c>
      <c r="E823" t="str">
        <f>Raw_Data!E823</f>
        <v>Technology</v>
      </c>
      <c r="F823" t="str">
        <f>Raw_Data!F823</f>
        <v>Wireless Mouse</v>
      </c>
      <c r="G823" t="str">
        <f>Raw_Data!G823</f>
        <v>Small Business</v>
      </c>
      <c r="H823" t="str">
        <f>Raw_Data!H823</f>
        <v>In-Store</v>
      </c>
      <c r="I823">
        <f>Raw_Data!I823</f>
        <v>4</v>
      </c>
      <c r="J823" s="3">
        <f>Raw_Data!J823</f>
        <v>17.2</v>
      </c>
      <c r="K823" s="4">
        <f>Raw_Data!K823</f>
        <v>0</v>
      </c>
      <c r="L823" s="3">
        <f>Raw_Data!L823</f>
        <v>68.8</v>
      </c>
      <c r="M823" s="3">
        <f>Raw_Data!M823</f>
        <v>48.86</v>
      </c>
      <c r="N823" s="3">
        <f>Raw_Data!N823</f>
        <v>19.940000000000001</v>
      </c>
      <c r="O823" t="str">
        <f t="shared" si="36"/>
        <v>2025-11</v>
      </c>
      <c r="P823" s="5">
        <f t="shared" si="37"/>
        <v>0.28982558139534886</v>
      </c>
      <c r="Q823" s="3">
        <f t="shared" si="38"/>
        <v>68.8</v>
      </c>
    </row>
    <row r="824" spans="1:17" x14ac:dyDescent="0.35">
      <c r="A824" t="str">
        <f>Raw_Data!A824</f>
        <v>ORD-0786</v>
      </c>
      <c r="B824" s="2">
        <f>Raw_Data!B824</f>
        <v>45964</v>
      </c>
      <c r="C824" t="str">
        <f>Raw_Data!C824</f>
        <v>North</v>
      </c>
      <c r="D824" t="str">
        <f>Raw_Data!D824</f>
        <v>Delhi</v>
      </c>
      <c r="E824" t="str">
        <f>Raw_Data!E824</f>
        <v>Furniture</v>
      </c>
      <c r="F824" t="str">
        <f>Raw_Data!F824</f>
        <v>Office Chair</v>
      </c>
      <c r="G824" t="str">
        <f>Raw_Data!G824</f>
        <v>Consumer</v>
      </c>
      <c r="H824" t="str">
        <f>Raw_Data!H824</f>
        <v>Marketplace</v>
      </c>
      <c r="I824">
        <f>Raw_Data!I824</f>
        <v>12</v>
      </c>
      <c r="J824" s="3">
        <f>Raw_Data!J824</f>
        <v>130.04</v>
      </c>
      <c r="K824" s="4">
        <f>Raw_Data!K824</f>
        <v>0</v>
      </c>
      <c r="L824" s="3">
        <f>Raw_Data!L824</f>
        <v>1560.48</v>
      </c>
      <c r="M824" s="3">
        <f>Raw_Data!M824</f>
        <v>1034.03</v>
      </c>
      <c r="N824" s="3">
        <f>Raw_Data!N824</f>
        <v>526.45000000000005</v>
      </c>
      <c r="O824" t="str">
        <f t="shared" si="36"/>
        <v>2025-11</v>
      </c>
      <c r="P824" s="5">
        <f t="shared" si="37"/>
        <v>0.33736414436583617</v>
      </c>
      <c r="Q824" s="3">
        <f t="shared" si="38"/>
        <v>1560.48</v>
      </c>
    </row>
    <row r="825" spans="1:17" x14ac:dyDescent="0.35">
      <c r="A825" t="str">
        <f>Raw_Data!A825</f>
        <v>ORD-0805</v>
      </c>
      <c r="B825" s="2">
        <f>Raw_Data!B825</f>
        <v>45966</v>
      </c>
      <c r="C825" t="str">
        <f>Raw_Data!C825</f>
        <v>South</v>
      </c>
      <c r="D825" t="str">
        <f>Raw_Data!D825</f>
        <v>Hyderabad</v>
      </c>
      <c r="E825" t="str">
        <f>Raw_Data!E825</f>
        <v>Furniture</v>
      </c>
      <c r="F825" t="str">
        <f>Raw_Data!F825</f>
        <v>Bookshelf</v>
      </c>
      <c r="G825" t="str">
        <f>Raw_Data!G825</f>
        <v>Consumer</v>
      </c>
      <c r="H825" t="str">
        <f>Raw_Data!H825</f>
        <v>Online</v>
      </c>
      <c r="I825">
        <f>Raw_Data!I825</f>
        <v>6</v>
      </c>
      <c r="J825" s="3">
        <f>Raw_Data!J825</f>
        <v>130.86000000000001</v>
      </c>
      <c r="K825" s="4">
        <f>Raw_Data!K825</f>
        <v>0.15</v>
      </c>
      <c r="L825" s="3">
        <f>Raw_Data!L825</f>
        <v>667.39</v>
      </c>
      <c r="M825" s="3">
        <f>Raw_Data!M825</f>
        <v>515.01</v>
      </c>
      <c r="N825" s="3">
        <f>Raw_Data!N825</f>
        <v>152.38</v>
      </c>
      <c r="O825" t="str">
        <f t="shared" si="36"/>
        <v>2025-11</v>
      </c>
      <c r="P825" s="5">
        <f t="shared" si="37"/>
        <v>0.2283222703366847</v>
      </c>
      <c r="Q825" s="3">
        <f t="shared" si="38"/>
        <v>667.39</v>
      </c>
    </row>
    <row r="826" spans="1:17" x14ac:dyDescent="0.35">
      <c r="A826" t="str">
        <f>Raw_Data!A826</f>
        <v>ORD-0140</v>
      </c>
      <c r="B826" s="2">
        <f>Raw_Data!B826</f>
        <v>45966</v>
      </c>
      <c r="C826" t="str">
        <f>Raw_Data!C826</f>
        <v>East</v>
      </c>
      <c r="D826" t="str">
        <f>Raw_Data!D826</f>
        <v>Guwahati</v>
      </c>
      <c r="E826" t="str">
        <f>Raw_Data!E826</f>
        <v>Office Supplies</v>
      </c>
      <c r="F826" t="str">
        <f>Raw_Data!F826</f>
        <v>Desk Organizer</v>
      </c>
      <c r="G826" t="str">
        <f>Raw_Data!G826</f>
        <v>Corporate</v>
      </c>
      <c r="H826" t="str">
        <f>Raw_Data!H826</f>
        <v>Marketplace</v>
      </c>
      <c r="I826">
        <f>Raw_Data!I826</f>
        <v>2</v>
      </c>
      <c r="J826" s="3">
        <f>Raw_Data!J826</f>
        <v>22.13</v>
      </c>
      <c r="K826" s="4">
        <f>Raw_Data!K826</f>
        <v>0</v>
      </c>
      <c r="L826" s="3">
        <f>Raw_Data!L826</f>
        <v>44.26</v>
      </c>
      <c r="M826" s="3">
        <f>Raw_Data!M826</f>
        <v>33.42</v>
      </c>
      <c r="N826" s="3">
        <f>Raw_Data!N826</f>
        <v>10.84</v>
      </c>
      <c r="O826" t="str">
        <f t="shared" si="36"/>
        <v>2025-11</v>
      </c>
      <c r="P826" s="5">
        <f t="shared" si="37"/>
        <v>0.24491640307275192</v>
      </c>
      <c r="Q826" s="3">
        <f t="shared" si="38"/>
        <v>44.26</v>
      </c>
    </row>
    <row r="827" spans="1:17" x14ac:dyDescent="0.35">
      <c r="A827" t="str">
        <f>Raw_Data!A827</f>
        <v>ORD-0940</v>
      </c>
      <c r="B827" s="2">
        <f>Raw_Data!B827</f>
        <v>45966</v>
      </c>
      <c r="C827" t="str">
        <f>Raw_Data!C827</f>
        <v>West</v>
      </c>
      <c r="D827" t="str">
        <f>Raw_Data!D827</f>
        <v>Ahmedabad</v>
      </c>
      <c r="E827" t="str">
        <f>Raw_Data!E827</f>
        <v>Technology</v>
      </c>
      <c r="F827" t="str">
        <f>Raw_Data!F827</f>
        <v>Wireless Mouse</v>
      </c>
      <c r="G827" t="str">
        <f>Raw_Data!G827</f>
        <v>Consumer</v>
      </c>
      <c r="H827" t="str">
        <f>Raw_Data!H827</f>
        <v>Online</v>
      </c>
      <c r="I827">
        <f>Raw_Data!I827</f>
        <v>10</v>
      </c>
      <c r="J827" s="3">
        <f>Raw_Data!J827</f>
        <v>21.4</v>
      </c>
      <c r="K827" s="4">
        <f>Raw_Data!K827</f>
        <v>0</v>
      </c>
      <c r="L827" s="3">
        <f>Raw_Data!L827</f>
        <v>214</v>
      </c>
      <c r="M827" s="3">
        <f>Raw_Data!M827</f>
        <v>115.11</v>
      </c>
      <c r="N827" s="3">
        <f>Raw_Data!N827</f>
        <v>98.89</v>
      </c>
      <c r="O827" t="str">
        <f t="shared" si="36"/>
        <v>2025-11</v>
      </c>
      <c r="P827" s="5">
        <f t="shared" si="37"/>
        <v>0.46210280373831775</v>
      </c>
      <c r="Q827" s="3">
        <f t="shared" si="38"/>
        <v>214</v>
      </c>
    </row>
    <row r="828" spans="1:17" x14ac:dyDescent="0.35">
      <c r="A828" t="str">
        <f>Raw_Data!A828</f>
        <v>ORD-0079</v>
      </c>
      <c r="B828" s="2">
        <f>Raw_Data!B828</f>
        <v>45967</v>
      </c>
      <c r="C828" t="str">
        <f>Raw_Data!C828</f>
        <v>North</v>
      </c>
      <c r="D828" t="str">
        <f>Raw_Data!D828</f>
        <v>Jaipur</v>
      </c>
      <c r="E828" t="str">
        <f>Raw_Data!E828</f>
        <v>Furniture</v>
      </c>
      <c r="F828" t="str">
        <f>Raw_Data!F828</f>
        <v>Office Chair</v>
      </c>
      <c r="G828" t="str">
        <f>Raw_Data!G828</f>
        <v>Corporate</v>
      </c>
      <c r="H828" t="str">
        <f>Raw_Data!H828</f>
        <v>In-Store</v>
      </c>
      <c r="I828">
        <f>Raw_Data!I828</f>
        <v>2</v>
      </c>
      <c r="J828" s="3">
        <f>Raw_Data!J828</f>
        <v>134.87</v>
      </c>
      <c r="K828" s="4">
        <f>Raw_Data!K828</f>
        <v>0.15</v>
      </c>
      <c r="L828" s="3">
        <f>Raw_Data!L828</f>
        <v>229.28</v>
      </c>
      <c r="M828" s="3">
        <f>Raw_Data!M828</f>
        <v>176.99</v>
      </c>
      <c r="N828" s="3">
        <f>Raw_Data!N828</f>
        <v>52.29</v>
      </c>
      <c r="O828" t="str">
        <f t="shared" si="36"/>
        <v>2025-11</v>
      </c>
      <c r="P828" s="5">
        <f t="shared" si="37"/>
        <v>0.22806175854849964</v>
      </c>
      <c r="Q828" s="3">
        <f t="shared" si="38"/>
        <v>229.28</v>
      </c>
    </row>
    <row r="829" spans="1:17" x14ac:dyDescent="0.35">
      <c r="A829" t="str">
        <f>Raw_Data!A829</f>
        <v>ORD-0428</v>
      </c>
      <c r="B829" s="2">
        <f>Raw_Data!B829</f>
        <v>45967</v>
      </c>
      <c r="C829" t="str">
        <f>Raw_Data!C829</f>
        <v>East</v>
      </c>
      <c r="D829" t="str">
        <f>Raw_Data!D829</f>
        <v>Kolkata</v>
      </c>
      <c r="E829" t="str">
        <f>Raw_Data!E829</f>
        <v>Technology</v>
      </c>
      <c r="F829" t="str">
        <f>Raw_Data!F829</f>
        <v>Keyboard</v>
      </c>
      <c r="G829" t="str">
        <f>Raw_Data!G829</f>
        <v>Consumer</v>
      </c>
      <c r="H829" t="str">
        <f>Raw_Data!H829</f>
        <v>Online</v>
      </c>
      <c r="I829">
        <f>Raw_Data!I829</f>
        <v>8</v>
      </c>
      <c r="J829" s="3">
        <f>Raw_Data!J829</f>
        <v>29.05</v>
      </c>
      <c r="K829" s="4">
        <f>Raw_Data!K829</f>
        <v>0</v>
      </c>
      <c r="L829" s="3">
        <f>Raw_Data!L829</f>
        <v>232.4</v>
      </c>
      <c r="M829" s="3">
        <f>Raw_Data!M829</f>
        <v>147.43</v>
      </c>
      <c r="N829" s="3">
        <f>Raw_Data!N829</f>
        <v>84.97</v>
      </c>
      <c r="O829" t="str">
        <f t="shared" si="36"/>
        <v>2025-11</v>
      </c>
      <c r="P829" s="5">
        <f t="shared" si="37"/>
        <v>0.36561962134251291</v>
      </c>
      <c r="Q829" s="3">
        <f t="shared" si="38"/>
        <v>232.4</v>
      </c>
    </row>
    <row r="830" spans="1:17" x14ac:dyDescent="0.35">
      <c r="A830" t="str">
        <f>Raw_Data!A830</f>
        <v>ORD-0544</v>
      </c>
      <c r="B830" s="2">
        <f>Raw_Data!B830</f>
        <v>45967</v>
      </c>
      <c r="C830" t="str">
        <f>Raw_Data!C830</f>
        <v>East</v>
      </c>
      <c r="D830" t="str">
        <f>Raw_Data!D830</f>
        <v>Guwahati</v>
      </c>
      <c r="E830" t="str">
        <f>Raw_Data!E830</f>
        <v>Furniture</v>
      </c>
      <c r="F830" t="str">
        <f>Raw_Data!F830</f>
        <v>Standing Desk</v>
      </c>
      <c r="G830" t="str">
        <f>Raw_Data!G830</f>
        <v>Consumer</v>
      </c>
      <c r="H830" t="str">
        <f>Raw_Data!H830</f>
        <v>Marketplace</v>
      </c>
      <c r="I830">
        <f>Raw_Data!I830</f>
        <v>10</v>
      </c>
      <c r="J830" s="3">
        <f>Raw_Data!J830</f>
        <v>298.14999999999998</v>
      </c>
      <c r="K830" s="4">
        <f>Raw_Data!K830</f>
        <v>0.05</v>
      </c>
      <c r="L830" s="3">
        <f>Raw_Data!L830</f>
        <v>2832.42</v>
      </c>
      <c r="M830" s="3">
        <f>Raw_Data!M830</f>
        <v>1901.06</v>
      </c>
      <c r="N830" s="3">
        <f>Raw_Data!N830</f>
        <v>931.36</v>
      </c>
      <c r="O830" t="str">
        <f t="shared" si="36"/>
        <v>2025-11</v>
      </c>
      <c r="P830" s="5">
        <f t="shared" si="37"/>
        <v>0.32882129062780235</v>
      </c>
      <c r="Q830" s="3">
        <f t="shared" si="38"/>
        <v>2832.42</v>
      </c>
    </row>
    <row r="831" spans="1:17" x14ac:dyDescent="0.35">
      <c r="A831" t="str">
        <f>Raw_Data!A831</f>
        <v>ORD-0344</v>
      </c>
      <c r="B831" s="2">
        <f>Raw_Data!B831</f>
        <v>45967</v>
      </c>
      <c r="C831" t="str">
        <f>Raw_Data!C831</f>
        <v>East</v>
      </c>
      <c r="D831" t="str">
        <f>Raw_Data!D831</f>
        <v>Kolkata</v>
      </c>
      <c r="E831" t="str">
        <f>Raw_Data!E831</f>
        <v>Technology</v>
      </c>
      <c r="F831" t="str">
        <f>Raw_Data!F831</f>
        <v>Keyboard</v>
      </c>
      <c r="G831" t="str">
        <f>Raw_Data!G831</f>
        <v>Consumer</v>
      </c>
      <c r="H831" t="str">
        <f>Raw_Data!H831</f>
        <v>Marketplace</v>
      </c>
      <c r="I831">
        <f>Raw_Data!I831</f>
        <v>8</v>
      </c>
      <c r="J831" s="3">
        <f>Raw_Data!J831</f>
        <v>29.57</v>
      </c>
      <c r="K831" s="4">
        <f>Raw_Data!K831</f>
        <v>0.1</v>
      </c>
      <c r="L831" s="3">
        <f>Raw_Data!L831</f>
        <v>212.9</v>
      </c>
      <c r="M831" s="3">
        <f>Raw_Data!M831</f>
        <v>166.13</v>
      </c>
      <c r="N831" s="3">
        <f>Raw_Data!N831</f>
        <v>46.77</v>
      </c>
      <c r="O831" t="str">
        <f t="shared" si="36"/>
        <v>2025-11</v>
      </c>
      <c r="P831" s="5">
        <f t="shared" si="37"/>
        <v>0.21968060122123062</v>
      </c>
      <c r="Q831" s="3">
        <f t="shared" si="38"/>
        <v>212.9</v>
      </c>
    </row>
    <row r="832" spans="1:17" x14ac:dyDescent="0.35">
      <c r="A832" t="str">
        <f>Raw_Data!A832</f>
        <v>ORD-0983</v>
      </c>
      <c r="B832" s="2">
        <f>Raw_Data!B832</f>
        <v>45969</v>
      </c>
      <c r="C832" t="str">
        <f>Raw_Data!C832</f>
        <v>West</v>
      </c>
      <c r="D832" t="str">
        <f>Raw_Data!D832</f>
        <v>Ahmedabad</v>
      </c>
      <c r="E832" t="str">
        <f>Raw_Data!E832</f>
        <v>Furniture</v>
      </c>
      <c r="F832" t="str">
        <f>Raw_Data!F832</f>
        <v>Standing Desk</v>
      </c>
      <c r="G832" t="str">
        <f>Raw_Data!G832</f>
        <v>Consumer</v>
      </c>
      <c r="H832" t="str">
        <f>Raw_Data!H832</f>
        <v>Marketplace</v>
      </c>
      <c r="I832">
        <f>Raw_Data!I832</f>
        <v>3</v>
      </c>
      <c r="J832" s="3">
        <f>Raw_Data!J832</f>
        <v>251.85</v>
      </c>
      <c r="K832" s="4">
        <f>Raw_Data!K832</f>
        <v>0.05</v>
      </c>
      <c r="L832" s="3">
        <f>Raw_Data!L832</f>
        <v>717.77</v>
      </c>
      <c r="M832" s="3">
        <f>Raw_Data!M832</f>
        <v>503.98</v>
      </c>
      <c r="N832" s="3">
        <f>Raw_Data!N832</f>
        <v>213.79</v>
      </c>
      <c r="O832" t="str">
        <f t="shared" si="36"/>
        <v>2025-11</v>
      </c>
      <c r="P832" s="5">
        <f t="shared" si="37"/>
        <v>0.29785307271131423</v>
      </c>
      <c r="Q832" s="3">
        <f t="shared" si="38"/>
        <v>717.77</v>
      </c>
    </row>
    <row r="833" spans="1:17" x14ac:dyDescent="0.35">
      <c r="A833" t="str">
        <f>Raw_Data!A833</f>
        <v>ORD-0391</v>
      </c>
      <c r="B833" s="2">
        <f>Raw_Data!B833</f>
        <v>45969</v>
      </c>
      <c r="C833" t="str">
        <f>Raw_Data!C833</f>
        <v>South</v>
      </c>
      <c r="D833" t="str">
        <f>Raw_Data!D833</f>
        <v>Hyderabad</v>
      </c>
      <c r="E833" t="str">
        <f>Raw_Data!E833</f>
        <v>Office Supplies</v>
      </c>
      <c r="F833" t="str">
        <f>Raw_Data!F833</f>
        <v>Desk Organizer</v>
      </c>
      <c r="G833" t="str">
        <f>Raw_Data!G833</f>
        <v>Consumer</v>
      </c>
      <c r="H833" t="str">
        <f>Raw_Data!H833</f>
        <v>In-Store</v>
      </c>
      <c r="I833">
        <f>Raw_Data!I833</f>
        <v>7</v>
      </c>
      <c r="J833" s="3">
        <f>Raw_Data!J833</f>
        <v>24.93</v>
      </c>
      <c r="K833" s="4">
        <f>Raw_Data!K833</f>
        <v>0.05</v>
      </c>
      <c r="L833" s="3">
        <f>Raw_Data!L833</f>
        <v>165.78</v>
      </c>
      <c r="M833" s="3">
        <f>Raw_Data!M833</f>
        <v>107.47</v>
      </c>
      <c r="N833" s="3">
        <f>Raw_Data!N833</f>
        <v>58.31</v>
      </c>
      <c r="O833" t="str">
        <f t="shared" si="36"/>
        <v>2025-11</v>
      </c>
      <c r="P833" s="5">
        <f t="shared" si="37"/>
        <v>0.35173121003739899</v>
      </c>
      <c r="Q833" s="3">
        <f t="shared" si="38"/>
        <v>165.78</v>
      </c>
    </row>
    <row r="834" spans="1:17" x14ac:dyDescent="0.35">
      <c r="A834" t="str">
        <f>Raw_Data!A834</f>
        <v>ORD-0444</v>
      </c>
      <c r="B834" s="2">
        <f>Raw_Data!B834</f>
        <v>45969</v>
      </c>
      <c r="C834" t="str">
        <f>Raw_Data!C834</f>
        <v>North</v>
      </c>
      <c r="D834" t="str">
        <f>Raw_Data!D834</f>
        <v>Chandigarh</v>
      </c>
      <c r="E834" t="str">
        <f>Raw_Data!E834</f>
        <v>Technology</v>
      </c>
      <c r="F834" t="str">
        <f>Raw_Data!F834</f>
        <v>USB Hub</v>
      </c>
      <c r="G834" t="str">
        <f>Raw_Data!G834</f>
        <v>Consumer</v>
      </c>
      <c r="H834" t="str">
        <f>Raw_Data!H834</f>
        <v>Marketplace</v>
      </c>
      <c r="I834">
        <f>Raw_Data!I834</f>
        <v>7</v>
      </c>
      <c r="J834" s="3">
        <f>Raw_Data!J834</f>
        <v>25.56</v>
      </c>
      <c r="K834" s="4">
        <f>Raw_Data!K834</f>
        <v>0.15</v>
      </c>
      <c r="L834" s="3">
        <f>Raw_Data!L834</f>
        <v>152.08000000000001</v>
      </c>
      <c r="M834" s="3">
        <f>Raw_Data!M834</f>
        <v>101.26</v>
      </c>
      <c r="N834" s="3">
        <f>Raw_Data!N834</f>
        <v>50.82</v>
      </c>
      <c r="O834" t="str">
        <f t="shared" ref="O834:O897" si="39">TEXT(B834,"yyyy-mm")</f>
        <v>2025-11</v>
      </c>
      <c r="P834" s="5">
        <f t="shared" ref="P834:P897" si="40">IFERROR(N834/L834,0)</f>
        <v>0.33416622830089426</v>
      </c>
      <c r="Q834" s="3">
        <f t="shared" ref="Q834:Q897" si="41">IFERROR(L834,0)</f>
        <v>152.08000000000001</v>
      </c>
    </row>
    <row r="835" spans="1:17" x14ac:dyDescent="0.35">
      <c r="A835" t="str">
        <f>Raw_Data!A835</f>
        <v>ORD-0607</v>
      </c>
      <c r="B835" s="2">
        <f>Raw_Data!B835</f>
        <v>45970</v>
      </c>
      <c r="C835" t="str">
        <f>Raw_Data!C835</f>
        <v>South</v>
      </c>
      <c r="D835" t="str">
        <f>Raw_Data!D835</f>
        <v>Chennai</v>
      </c>
      <c r="E835" t="str">
        <f>Raw_Data!E835</f>
        <v>Office Supplies</v>
      </c>
      <c r="F835" t="str">
        <f>Raw_Data!F835</f>
        <v>Notebook Pack</v>
      </c>
      <c r="G835" t="str">
        <f>Raw_Data!G835</f>
        <v>Consumer</v>
      </c>
      <c r="H835" t="str">
        <f>Raw_Data!H835</f>
        <v>Online</v>
      </c>
      <c r="I835">
        <f>Raw_Data!I835</f>
        <v>2</v>
      </c>
      <c r="J835" s="3">
        <f>Raw_Data!J835</f>
        <v>10.68</v>
      </c>
      <c r="K835" s="4">
        <f>Raw_Data!K835</f>
        <v>0.15</v>
      </c>
      <c r="L835" s="3">
        <f>Raw_Data!L835</f>
        <v>18.16</v>
      </c>
      <c r="M835" s="3">
        <f>Raw_Data!M835</f>
        <v>15.37</v>
      </c>
      <c r="N835" s="3">
        <f>Raw_Data!N835</f>
        <v>2.79</v>
      </c>
      <c r="O835" t="str">
        <f t="shared" si="39"/>
        <v>2025-11</v>
      </c>
      <c r="P835" s="5">
        <f t="shared" si="40"/>
        <v>0.15363436123348018</v>
      </c>
      <c r="Q835" s="3">
        <f t="shared" si="41"/>
        <v>18.16</v>
      </c>
    </row>
    <row r="836" spans="1:17" x14ac:dyDescent="0.35">
      <c r="A836" t="str">
        <f>Raw_Data!A836</f>
        <v>ORD-0064</v>
      </c>
      <c r="B836" s="2">
        <f>Raw_Data!B836</f>
        <v>45970</v>
      </c>
      <c r="C836" t="str">
        <f>Raw_Data!C836</f>
        <v>South</v>
      </c>
      <c r="D836" t="str">
        <f>Raw_Data!D836</f>
        <v>Chennai</v>
      </c>
      <c r="E836" t="str">
        <f>Raw_Data!E836</f>
        <v>Home &amp; Kitchen</v>
      </c>
      <c r="F836" t="str">
        <f>Raw_Data!F836</f>
        <v>Coffee Maker</v>
      </c>
      <c r="G836" t="str">
        <f>Raw_Data!G836</f>
        <v>Small Business</v>
      </c>
      <c r="H836" t="str">
        <f>Raw_Data!H836</f>
        <v>In-Store</v>
      </c>
      <c r="I836">
        <f>Raw_Data!I836</f>
        <v>1</v>
      </c>
      <c r="J836" s="3">
        <f>Raw_Data!J836</f>
        <v>73.66</v>
      </c>
      <c r="K836" s="4">
        <f>Raw_Data!K836</f>
        <v>0.05</v>
      </c>
      <c r="L836" s="3">
        <f>Raw_Data!L836</f>
        <v>69.98</v>
      </c>
      <c r="M836" s="3">
        <f>Raw_Data!M836</f>
        <v>39.380000000000003</v>
      </c>
      <c r="N836" s="3">
        <f>Raw_Data!N836</f>
        <v>30.6</v>
      </c>
      <c r="O836" t="str">
        <f t="shared" si="39"/>
        <v>2025-11</v>
      </c>
      <c r="P836" s="5">
        <f t="shared" si="40"/>
        <v>0.43726779079737066</v>
      </c>
      <c r="Q836" s="3">
        <f t="shared" si="41"/>
        <v>69.98</v>
      </c>
    </row>
    <row r="837" spans="1:17" x14ac:dyDescent="0.35">
      <c r="A837" t="str">
        <f>Raw_Data!A837</f>
        <v>ORD-0530</v>
      </c>
      <c r="B837" s="2">
        <f>Raw_Data!B837</f>
        <v>45971</v>
      </c>
      <c r="C837" t="str">
        <f>Raw_Data!C837</f>
        <v>South</v>
      </c>
      <c r="D837" t="str">
        <f>Raw_Data!D837</f>
        <v>Chennai</v>
      </c>
      <c r="E837" t="str">
        <f>Raw_Data!E837</f>
        <v>Technology</v>
      </c>
      <c r="F837" t="str">
        <f>Raw_Data!F837</f>
        <v>Wireless Mouse</v>
      </c>
      <c r="G837" t="str">
        <f>Raw_Data!G837</f>
        <v>Corporate</v>
      </c>
      <c r="H837" t="str">
        <f>Raw_Data!H837</f>
        <v>Marketplace</v>
      </c>
      <c r="I837">
        <f>Raw_Data!I837</f>
        <v>8</v>
      </c>
      <c r="J837" s="3">
        <f>Raw_Data!J837</f>
        <v>18.18</v>
      </c>
      <c r="K837" s="4">
        <f>Raw_Data!K837</f>
        <v>0</v>
      </c>
      <c r="L837" s="3">
        <f>Raw_Data!L837</f>
        <v>145.44</v>
      </c>
      <c r="M837" s="3">
        <f>Raw_Data!M837</f>
        <v>108.11</v>
      </c>
      <c r="N837" s="3">
        <f>Raw_Data!N837</f>
        <v>37.33</v>
      </c>
      <c r="O837" t="str">
        <f t="shared" si="39"/>
        <v>2025-11</v>
      </c>
      <c r="P837" s="5">
        <f t="shared" si="40"/>
        <v>0.25666941694169415</v>
      </c>
      <c r="Q837" s="3">
        <f t="shared" si="41"/>
        <v>145.44</v>
      </c>
    </row>
    <row r="838" spans="1:17" x14ac:dyDescent="0.35">
      <c r="A838" t="str">
        <f>Raw_Data!A838</f>
        <v>ORD-0629</v>
      </c>
      <c r="B838" s="2">
        <f>Raw_Data!B838</f>
        <v>45971</v>
      </c>
      <c r="C838" t="str">
        <f>Raw_Data!C838</f>
        <v>East</v>
      </c>
      <c r="D838" t="str">
        <f>Raw_Data!D838</f>
        <v>Bhubaneswar</v>
      </c>
      <c r="E838" t="str">
        <f>Raw_Data!E838</f>
        <v>Office Supplies</v>
      </c>
      <c r="F838" t="str">
        <f>Raw_Data!F838</f>
        <v>Notebook Pack</v>
      </c>
      <c r="G838" t="str">
        <f>Raw_Data!G838</f>
        <v>Consumer</v>
      </c>
      <c r="H838" t="str">
        <f>Raw_Data!H838</f>
        <v>Online</v>
      </c>
      <c r="I838">
        <f>Raw_Data!I838</f>
        <v>10</v>
      </c>
      <c r="J838" s="3">
        <f>Raw_Data!J838</f>
        <v>13.9</v>
      </c>
      <c r="K838" s="4">
        <f>Raw_Data!K838</f>
        <v>0</v>
      </c>
      <c r="L838" s="3">
        <f>Raw_Data!L838</f>
        <v>139</v>
      </c>
      <c r="M838" s="3">
        <f>Raw_Data!M838</f>
        <v>88.18</v>
      </c>
      <c r="N838" s="3">
        <f>Raw_Data!N838</f>
        <v>50.82</v>
      </c>
      <c r="O838" t="str">
        <f t="shared" si="39"/>
        <v>2025-11</v>
      </c>
      <c r="P838" s="5">
        <f t="shared" si="40"/>
        <v>0.36561151079136689</v>
      </c>
      <c r="Q838" s="3">
        <f t="shared" si="41"/>
        <v>139</v>
      </c>
    </row>
    <row r="839" spans="1:17" x14ac:dyDescent="0.35">
      <c r="A839" t="str">
        <f>Raw_Data!A839</f>
        <v>ORD-0174</v>
      </c>
      <c r="B839" s="2">
        <f>Raw_Data!B839</f>
        <v>45972</v>
      </c>
      <c r="C839" t="str">
        <f>Raw_Data!C839</f>
        <v>East</v>
      </c>
      <c r="D839" t="str">
        <f>Raw_Data!D839</f>
        <v>Kolkata</v>
      </c>
      <c r="E839" t="str">
        <f>Raw_Data!E839</f>
        <v>Technology</v>
      </c>
      <c r="F839" t="str">
        <f>Raw_Data!F839</f>
        <v>Keyboard</v>
      </c>
      <c r="G839" t="str">
        <f>Raw_Data!G839</f>
        <v>Corporate</v>
      </c>
      <c r="H839" t="str">
        <f>Raw_Data!H839</f>
        <v>Online</v>
      </c>
      <c r="I839">
        <f>Raw_Data!I839</f>
        <v>10</v>
      </c>
      <c r="J839" s="3">
        <f>Raw_Data!J839</f>
        <v>37.75</v>
      </c>
      <c r="K839" s="4">
        <f>Raw_Data!K839</f>
        <v>0</v>
      </c>
      <c r="L839" s="3">
        <f>Raw_Data!L839</f>
        <v>377.5</v>
      </c>
      <c r="M839" s="3">
        <f>Raw_Data!M839</f>
        <v>200.59</v>
      </c>
      <c r="N839" s="3">
        <f>Raw_Data!N839</f>
        <v>176.91</v>
      </c>
      <c r="O839" t="str">
        <f t="shared" si="39"/>
        <v>2025-11</v>
      </c>
      <c r="P839" s="5">
        <f t="shared" si="40"/>
        <v>0.46863576158940395</v>
      </c>
      <c r="Q839" s="3">
        <f t="shared" si="41"/>
        <v>377.5</v>
      </c>
    </row>
    <row r="840" spans="1:17" x14ac:dyDescent="0.35">
      <c r="A840" t="str">
        <f>Raw_Data!A840</f>
        <v>ORD-0362</v>
      </c>
      <c r="B840" s="2">
        <f>Raw_Data!B840</f>
        <v>45972</v>
      </c>
      <c r="C840" t="str">
        <f>Raw_Data!C840</f>
        <v>North</v>
      </c>
      <c r="D840" t="str">
        <f>Raw_Data!D840</f>
        <v>Jaipur</v>
      </c>
      <c r="E840" t="str">
        <f>Raw_Data!E840</f>
        <v>Home &amp; Kitchen</v>
      </c>
      <c r="F840" t="str">
        <f>Raw_Data!F840</f>
        <v>Lunch Box</v>
      </c>
      <c r="G840" t="str">
        <f>Raw_Data!G840</f>
        <v>Corporate</v>
      </c>
      <c r="H840" t="str">
        <f>Raw_Data!H840</f>
        <v>Online</v>
      </c>
      <c r="I840">
        <f>Raw_Data!I840</f>
        <v>7</v>
      </c>
      <c r="J840" s="3">
        <f>Raw_Data!J840</f>
        <v>20</v>
      </c>
      <c r="K840" s="4">
        <f>Raw_Data!K840</f>
        <v>0.1</v>
      </c>
      <c r="L840" s="3">
        <f>Raw_Data!L840</f>
        <v>126</v>
      </c>
      <c r="M840" s="3">
        <f>Raw_Data!M840</f>
        <v>83.3</v>
      </c>
      <c r="N840" s="3">
        <f>Raw_Data!N840</f>
        <v>42.7</v>
      </c>
      <c r="O840" t="str">
        <f t="shared" si="39"/>
        <v>2025-11</v>
      </c>
      <c r="P840" s="5">
        <f t="shared" si="40"/>
        <v>0.33888888888888891</v>
      </c>
      <c r="Q840" s="3">
        <f t="shared" si="41"/>
        <v>126</v>
      </c>
    </row>
    <row r="841" spans="1:17" x14ac:dyDescent="0.35">
      <c r="A841" t="str">
        <f>Raw_Data!A841</f>
        <v>ORD-0114</v>
      </c>
      <c r="B841" s="2">
        <f>Raw_Data!B841</f>
        <v>45972</v>
      </c>
      <c r="C841" t="str">
        <f>Raw_Data!C841</f>
        <v>West</v>
      </c>
      <c r="D841" t="str">
        <f>Raw_Data!D841</f>
        <v>Ahmedabad</v>
      </c>
      <c r="E841" t="str">
        <f>Raw_Data!E841</f>
        <v>Technology</v>
      </c>
      <c r="F841" t="str">
        <f>Raw_Data!F841</f>
        <v>Headphones</v>
      </c>
      <c r="G841" t="str">
        <f>Raw_Data!G841</f>
        <v>Small Business</v>
      </c>
      <c r="H841" t="str">
        <f>Raw_Data!H841</f>
        <v>In-Store</v>
      </c>
      <c r="I841">
        <f>Raw_Data!I841</f>
        <v>8</v>
      </c>
      <c r="J841" s="3">
        <f>Raw_Data!J841</f>
        <v>59.13</v>
      </c>
      <c r="K841" s="4">
        <f>Raw_Data!K841</f>
        <v>0</v>
      </c>
      <c r="L841" s="3">
        <f>Raw_Data!L841</f>
        <v>473.04</v>
      </c>
      <c r="M841" s="3">
        <f>Raw_Data!M841</f>
        <v>235.69</v>
      </c>
      <c r="N841" s="3">
        <f>Raw_Data!N841</f>
        <v>237.35</v>
      </c>
      <c r="O841" t="str">
        <f t="shared" si="39"/>
        <v>2025-11</v>
      </c>
      <c r="P841" s="5">
        <f t="shared" si="40"/>
        <v>0.50175460848976827</v>
      </c>
      <c r="Q841" s="3">
        <f t="shared" si="41"/>
        <v>473.04</v>
      </c>
    </row>
    <row r="842" spans="1:17" x14ac:dyDescent="0.35">
      <c r="A842" t="str">
        <f>Raw_Data!A842</f>
        <v>ORD-0415</v>
      </c>
      <c r="B842" s="2">
        <f>Raw_Data!B842</f>
        <v>45973</v>
      </c>
      <c r="C842" t="str">
        <f>Raw_Data!C842</f>
        <v>West</v>
      </c>
      <c r="D842" t="str">
        <f>Raw_Data!D842</f>
        <v>Mumbai</v>
      </c>
      <c r="E842" t="str">
        <f>Raw_Data!E842</f>
        <v>Furniture</v>
      </c>
      <c r="F842" t="str">
        <f>Raw_Data!F842</f>
        <v>Desk Lamp</v>
      </c>
      <c r="G842" t="str">
        <f>Raw_Data!G842</f>
        <v>Corporate</v>
      </c>
      <c r="H842" t="str">
        <f>Raw_Data!H842</f>
        <v>Marketplace</v>
      </c>
      <c r="I842">
        <f>Raw_Data!I842</f>
        <v>2</v>
      </c>
      <c r="J842" s="3">
        <f>Raw_Data!J842</f>
        <v>34.71</v>
      </c>
      <c r="K842" s="4">
        <f>Raw_Data!K842</f>
        <v>0.15</v>
      </c>
      <c r="L842" s="3">
        <f>Raw_Data!L842</f>
        <v>59.01</v>
      </c>
      <c r="M842" s="3">
        <f>Raw_Data!M842</f>
        <v>51.07</v>
      </c>
      <c r="N842" s="3">
        <f>Raw_Data!N842</f>
        <v>7.94</v>
      </c>
      <c r="O842" t="str">
        <f t="shared" si="39"/>
        <v>2025-11</v>
      </c>
      <c r="P842" s="5">
        <f t="shared" si="40"/>
        <v>0.13455346551431963</v>
      </c>
      <c r="Q842" s="3">
        <f t="shared" si="41"/>
        <v>59.01</v>
      </c>
    </row>
    <row r="843" spans="1:17" x14ac:dyDescent="0.35">
      <c r="A843" t="str">
        <f>Raw_Data!A843</f>
        <v>ORD-0151</v>
      </c>
      <c r="B843" s="2">
        <f>Raw_Data!B843</f>
        <v>45973</v>
      </c>
      <c r="C843" t="str">
        <f>Raw_Data!C843</f>
        <v>West</v>
      </c>
      <c r="D843" t="str">
        <f>Raw_Data!D843</f>
        <v>Mumbai</v>
      </c>
      <c r="E843" t="str">
        <f>Raw_Data!E843</f>
        <v>Technology</v>
      </c>
      <c r="F843" t="str">
        <f>Raw_Data!F843</f>
        <v>Wireless Mouse</v>
      </c>
      <c r="G843" t="str">
        <f>Raw_Data!G843</f>
        <v>Consumer</v>
      </c>
      <c r="H843" t="str">
        <f>Raw_Data!H843</f>
        <v>In-Store</v>
      </c>
      <c r="I843">
        <f>Raw_Data!I843</f>
        <v>1</v>
      </c>
      <c r="J843" s="3">
        <f>Raw_Data!J843</f>
        <v>16.91</v>
      </c>
      <c r="K843" s="4">
        <f>Raw_Data!K843</f>
        <v>0</v>
      </c>
      <c r="L843" s="3">
        <f>Raw_Data!L843</f>
        <v>16.91</v>
      </c>
      <c r="M843" s="3">
        <f>Raw_Data!M843</f>
        <v>10.9</v>
      </c>
      <c r="N843" s="3">
        <f>Raw_Data!N843</f>
        <v>6.01</v>
      </c>
      <c r="O843" t="str">
        <f t="shared" si="39"/>
        <v>2025-11</v>
      </c>
      <c r="P843" s="5">
        <f t="shared" si="40"/>
        <v>0.35541099940863391</v>
      </c>
      <c r="Q843" s="3">
        <f t="shared" si="41"/>
        <v>16.91</v>
      </c>
    </row>
    <row r="844" spans="1:17" x14ac:dyDescent="0.35">
      <c r="A844" t="str">
        <f>Raw_Data!A844</f>
        <v>ORD-0680</v>
      </c>
      <c r="B844" s="2">
        <f>Raw_Data!B844</f>
        <v>45973</v>
      </c>
      <c r="C844" t="str">
        <f>Raw_Data!C844</f>
        <v>East</v>
      </c>
      <c r="D844" t="str">
        <f>Raw_Data!D844</f>
        <v>Guwahati</v>
      </c>
      <c r="E844" t="str">
        <f>Raw_Data!E844</f>
        <v>Furniture</v>
      </c>
      <c r="F844" t="str">
        <f>Raw_Data!F844</f>
        <v>Bookshelf</v>
      </c>
      <c r="G844" t="str">
        <f>Raw_Data!G844</f>
        <v>Small Business</v>
      </c>
      <c r="H844" t="str">
        <f>Raw_Data!H844</f>
        <v>Marketplace</v>
      </c>
      <c r="I844">
        <f>Raw_Data!I844</f>
        <v>6</v>
      </c>
      <c r="J844" s="3">
        <f>Raw_Data!J844</f>
        <v>95.86</v>
      </c>
      <c r="K844" s="4">
        <f>Raw_Data!K844</f>
        <v>0.15</v>
      </c>
      <c r="L844" s="3">
        <f>Raw_Data!L844</f>
        <v>488.89</v>
      </c>
      <c r="M844" s="3">
        <f>Raw_Data!M844</f>
        <v>283.86</v>
      </c>
      <c r="N844" s="3">
        <f>Raw_Data!N844</f>
        <v>205.03</v>
      </c>
      <c r="O844" t="str">
        <f t="shared" si="39"/>
        <v>2025-11</v>
      </c>
      <c r="P844" s="5">
        <f t="shared" si="40"/>
        <v>0.41937859232138108</v>
      </c>
      <c r="Q844" s="3">
        <f t="shared" si="41"/>
        <v>488.89</v>
      </c>
    </row>
    <row r="845" spans="1:17" x14ac:dyDescent="0.35">
      <c r="A845" t="str">
        <f>Raw_Data!A845</f>
        <v>ORD-0370</v>
      </c>
      <c r="B845" s="2">
        <f>Raw_Data!B845</f>
        <v>45974</v>
      </c>
      <c r="C845" t="str">
        <f>Raw_Data!C845</f>
        <v>South</v>
      </c>
      <c r="D845" t="str">
        <f>Raw_Data!D845</f>
        <v>Bengaluru</v>
      </c>
      <c r="E845" t="str">
        <f>Raw_Data!E845</f>
        <v>Technology</v>
      </c>
      <c r="F845" t="str">
        <f>Raw_Data!F845</f>
        <v>Headphones</v>
      </c>
      <c r="G845" t="str">
        <f>Raw_Data!G845</f>
        <v>Small Business</v>
      </c>
      <c r="H845" t="str">
        <f>Raw_Data!H845</f>
        <v>Marketplace</v>
      </c>
      <c r="I845">
        <f>Raw_Data!I845</f>
        <v>2</v>
      </c>
      <c r="J845" s="3">
        <f>Raw_Data!J845</f>
        <v>61.86</v>
      </c>
      <c r="K845" s="4">
        <f>Raw_Data!K845</f>
        <v>0.1</v>
      </c>
      <c r="L845" s="3">
        <f>Raw_Data!L845</f>
        <v>111.35</v>
      </c>
      <c r="M845" s="3">
        <f>Raw_Data!M845</f>
        <v>66.760000000000005</v>
      </c>
      <c r="N845" s="3">
        <f>Raw_Data!N845</f>
        <v>44.59</v>
      </c>
      <c r="O845" t="str">
        <f t="shared" si="39"/>
        <v>2025-11</v>
      </c>
      <c r="P845" s="5">
        <f t="shared" si="40"/>
        <v>0.40044903457566239</v>
      </c>
      <c r="Q845" s="3">
        <f t="shared" si="41"/>
        <v>111.35</v>
      </c>
    </row>
    <row r="846" spans="1:17" x14ac:dyDescent="0.35">
      <c r="A846" t="str">
        <f>Raw_Data!A846</f>
        <v>ORD-0975</v>
      </c>
      <c r="B846" s="2">
        <f>Raw_Data!B846</f>
        <v>45974</v>
      </c>
      <c r="C846" t="str">
        <f>Raw_Data!C846</f>
        <v>North</v>
      </c>
      <c r="D846" t="str">
        <f>Raw_Data!D846</f>
        <v>Chandigarh</v>
      </c>
      <c r="E846" t="str">
        <f>Raw_Data!E846</f>
        <v>Technology</v>
      </c>
      <c r="F846" t="str">
        <f>Raw_Data!F846</f>
        <v>Keyboard</v>
      </c>
      <c r="G846" t="str">
        <f>Raw_Data!G846</f>
        <v>Corporate</v>
      </c>
      <c r="H846" t="str">
        <f>Raw_Data!H846</f>
        <v>In-Store</v>
      </c>
      <c r="I846">
        <f>Raw_Data!I846</f>
        <v>7</v>
      </c>
      <c r="J846" s="3">
        <f>Raw_Data!J846</f>
        <v>29.26</v>
      </c>
      <c r="K846" s="4">
        <f>Raw_Data!K846</f>
        <v>0.15</v>
      </c>
      <c r="L846" s="3">
        <f>Raw_Data!L846</f>
        <v>174.1</v>
      </c>
      <c r="M846" s="3">
        <f>Raw_Data!M846</f>
        <v>135.49</v>
      </c>
      <c r="N846" s="3">
        <f>Raw_Data!N846</f>
        <v>38.61</v>
      </c>
      <c r="O846" t="str">
        <f t="shared" si="39"/>
        <v>2025-11</v>
      </c>
      <c r="P846" s="5">
        <f t="shared" si="40"/>
        <v>0.22176909821941412</v>
      </c>
      <c r="Q846" s="3">
        <f t="shared" si="41"/>
        <v>174.1</v>
      </c>
    </row>
    <row r="847" spans="1:17" x14ac:dyDescent="0.35">
      <c r="A847" t="str">
        <f>Raw_Data!A847</f>
        <v>ORD-0941</v>
      </c>
      <c r="B847" s="2">
        <f>Raw_Data!B847</f>
        <v>45974</v>
      </c>
      <c r="C847" t="str">
        <f>Raw_Data!C847</f>
        <v>South</v>
      </c>
      <c r="D847" t="str">
        <f>Raw_Data!D847</f>
        <v>Bengaluru</v>
      </c>
      <c r="E847" t="str">
        <f>Raw_Data!E847</f>
        <v>Furniture</v>
      </c>
      <c r="F847" t="str">
        <f>Raw_Data!F847</f>
        <v>Bookshelf</v>
      </c>
      <c r="G847" t="str">
        <f>Raw_Data!G847</f>
        <v>Consumer</v>
      </c>
      <c r="H847" t="str">
        <f>Raw_Data!H847</f>
        <v>Online</v>
      </c>
      <c r="I847">
        <f>Raw_Data!I847</f>
        <v>12</v>
      </c>
      <c r="J847" s="3">
        <f>Raw_Data!J847</f>
        <v>111.76</v>
      </c>
      <c r="K847" s="4">
        <f>Raw_Data!K847</f>
        <v>0</v>
      </c>
      <c r="L847" s="3">
        <f>Raw_Data!L847</f>
        <v>1341.12</v>
      </c>
      <c r="M847" s="3">
        <f>Raw_Data!M847</f>
        <v>858.41</v>
      </c>
      <c r="N847" s="3">
        <f>Raw_Data!N847</f>
        <v>482.71</v>
      </c>
      <c r="O847" t="str">
        <f t="shared" si="39"/>
        <v>2025-11</v>
      </c>
      <c r="P847" s="5">
        <f t="shared" si="40"/>
        <v>0.35993050584586017</v>
      </c>
      <c r="Q847" s="3">
        <f t="shared" si="41"/>
        <v>1341.12</v>
      </c>
    </row>
    <row r="848" spans="1:17" x14ac:dyDescent="0.35">
      <c r="A848" t="str">
        <f>Raw_Data!A848</f>
        <v>ORD-0027</v>
      </c>
      <c r="B848" s="2">
        <f>Raw_Data!B848</f>
        <v>45975</v>
      </c>
      <c r="C848" t="str">
        <f>Raw_Data!C848</f>
        <v>East</v>
      </c>
      <c r="D848" t="str">
        <f>Raw_Data!D848</f>
        <v>Guwahati</v>
      </c>
      <c r="E848" t="str">
        <f>Raw_Data!E848</f>
        <v>Technology</v>
      </c>
      <c r="F848" t="str">
        <f>Raw_Data!F848</f>
        <v>USB Hub</v>
      </c>
      <c r="G848" t="str">
        <f>Raw_Data!G848</f>
        <v>Consumer</v>
      </c>
      <c r="H848" t="str">
        <f>Raw_Data!H848</f>
        <v>Marketplace</v>
      </c>
      <c r="I848">
        <f>Raw_Data!I848</f>
        <v>11</v>
      </c>
      <c r="J848" s="3">
        <f>Raw_Data!J848</f>
        <v>25.3</v>
      </c>
      <c r="K848" s="4">
        <f>Raw_Data!K848</f>
        <v>0.15</v>
      </c>
      <c r="L848" s="3">
        <f>Raw_Data!L848</f>
        <v>236.56</v>
      </c>
      <c r="M848" s="3">
        <f>Raw_Data!M848</f>
        <v>160</v>
      </c>
      <c r="N848" s="3">
        <f>Raw_Data!N848</f>
        <v>76.56</v>
      </c>
      <c r="O848" t="str">
        <f t="shared" si="39"/>
        <v>2025-11</v>
      </c>
      <c r="P848" s="5">
        <f t="shared" si="40"/>
        <v>0.32363882313155223</v>
      </c>
      <c r="Q848" s="3">
        <f t="shared" si="41"/>
        <v>236.56</v>
      </c>
    </row>
    <row r="849" spans="1:17" x14ac:dyDescent="0.35">
      <c r="A849" t="str">
        <f>Raw_Data!A849</f>
        <v>ORD-0312</v>
      </c>
      <c r="B849" s="2">
        <f>Raw_Data!B849</f>
        <v>45975</v>
      </c>
      <c r="C849" t="str">
        <f>Raw_Data!C849</f>
        <v>North</v>
      </c>
      <c r="D849" t="str">
        <f>Raw_Data!D849</f>
        <v>Delhi</v>
      </c>
      <c r="E849" t="str">
        <f>Raw_Data!E849</f>
        <v>Office Supplies</v>
      </c>
      <c r="F849" t="str">
        <f>Raw_Data!F849</f>
        <v>Desk Organizer</v>
      </c>
      <c r="G849" t="str">
        <f>Raw_Data!G849</f>
        <v>Small Business</v>
      </c>
      <c r="H849" t="str">
        <f>Raw_Data!H849</f>
        <v>In-Store</v>
      </c>
      <c r="I849">
        <f>Raw_Data!I849</f>
        <v>8</v>
      </c>
      <c r="J849" s="3">
        <f>Raw_Data!J849</f>
        <v>20.88</v>
      </c>
      <c r="K849" s="4">
        <f>Raw_Data!K849</f>
        <v>0.15</v>
      </c>
      <c r="L849" s="3">
        <f>Raw_Data!L849</f>
        <v>141.97999999999999</v>
      </c>
      <c r="M849" s="3">
        <f>Raw_Data!M849</f>
        <v>104.18</v>
      </c>
      <c r="N849" s="3">
        <f>Raw_Data!N849</f>
        <v>37.799999999999997</v>
      </c>
      <c r="O849" t="str">
        <f t="shared" si="39"/>
        <v>2025-11</v>
      </c>
      <c r="P849" s="5">
        <f t="shared" si="40"/>
        <v>0.26623468094097757</v>
      </c>
      <c r="Q849" s="3">
        <f t="shared" si="41"/>
        <v>141.97999999999999</v>
      </c>
    </row>
    <row r="850" spans="1:17" x14ac:dyDescent="0.35">
      <c r="A850" t="str">
        <f>Raw_Data!A850</f>
        <v>ORD-0743</v>
      </c>
      <c r="B850" s="2">
        <f>Raw_Data!B850</f>
        <v>45976</v>
      </c>
      <c r="C850" t="str">
        <f>Raw_Data!C850</f>
        <v>South</v>
      </c>
      <c r="D850" t="str">
        <f>Raw_Data!D850</f>
        <v>Chennai</v>
      </c>
      <c r="E850" t="str">
        <f>Raw_Data!E850</f>
        <v>Furniture</v>
      </c>
      <c r="F850" t="str">
        <f>Raw_Data!F850</f>
        <v>Standing Desk</v>
      </c>
      <c r="G850" t="str">
        <f>Raw_Data!G850</f>
        <v>Small Business</v>
      </c>
      <c r="H850" t="str">
        <f>Raw_Data!H850</f>
        <v>In-Store</v>
      </c>
      <c r="I850">
        <f>Raw_Data!I850</f>
        <v>12</v>
      </c>
      <c r="J850" s="3">
        <f>Raw_Data!J850</f>
        <v>260.7</v>
      </c>
      <c r="K850" s="4">
        <f>Raw_Data!K850</f>
        <v>0</v>
      </c>
      <c r="L850" s="3">
        <f>Raw_Data!L850</f>
        <v>3128.4</v>
      </c>
      <c r="M850" s="3">
        <f>Raw_Data!M850</f>
        <v>1771.94</v>
      </c>
      <c r="N850" s="3">
        <f>Raw_Data!N850</f>
        <v>1356.46</v>
      </c>
      <c r="O850" t="str">
        <f t="shared" si="39"/>
        <v>2025-11</v>
      </c>
      <c r="P850" s="5">
        <f t="shared" si="40"/>
        <v>0.43359544815241019</v>
      </c>
      <c r="Q850" s="3">
        <f t="shared" si="41"/>
        <v>3128.4</v>
      </c>
    </row>
    <row r="851" spans="1:17" x14ac:dyDescent="0.35">
      <c r="A851" t="str">
        <f>Raw_Data!A851</f>
        <v>ORD-0724</v>
      </c>
      <c r="B851" s="2">
        <f>Raw_Data!B851</f>
        <v>45976</v>
      </c>
      <c r="C851" t="str">
        <f>Raw_Data!C851</f>
        <v>North</v>
      </c>
      <c r="D851" t="str">
        <f>Raw_Data!D851</f>
        <v>Chandigarh</v>
      </c>
      <c r="E851" t="str">
        <f>Raw_Data!E851</f>
        <v>Home &amp; Kitchen</v>
      </c>
      <c r="F851" t="str">
        <f>Raw_Data!F851</f>
        <v>Coffee Maker</v>
      </c>
      <c r="G851" t="str">
        <f>Raw_Data!G851</f>
        <v>Corporate</v>
      </c>
      <c r="H851" t="str">
        <f>Raw_Data!H851</f>
        <v>In-Store</v>
      </c>
      <c r="I851">
        <f>Raw_Data!I851</f>
        <v>12</v>
      </c>
      <c r="J851" s="3">
        <f>Raw_Data!J851</f>
        <v>86.4</v>
      </c>
      <c r="K851" s="4">
        <f>Raw_Data!K851</f>
        <v>0.15</v>
      </c>
      <c r="L851" s="3">
        <f>Raw_Data!L851</f>
        <v>881.28</v>
      </c>
      <c r="M851" s="3">
        <f>Raw_Data!M851</f>
        <v>537.89</v>
      </c>
      <c r="N851" s="3">
        <f>Raw_Data!N851</f>
        <v>343.39</v>
      </c>
      <c r="O851" t="str">
        <f t="shared" si="39"/>
        <v>2025-11</v>
      </c>
      <c r="P851" s="5">
        <f t="shared" si="40"/>
        <v>0.38964914669571532</v>
      </c>
      <c r="Q851" s="3">
        <f t="shared" si="41"/>
        <v>881.28</v>
      </c>
    </row>
    <row r="852" spans="1:17" x14ac:dyDescent="0.35">
      <c r="A852" t="str">
        <f>Raw_Data!A852</f>
        <v>ORD-0988</v>
      </c>
      <c r="B852" s="2">
        <f>Raw_Data!B852</f>
        <v>45977</v>
      </c>
      <c r="C852" t="str">
        <f>Raw_Data!C852</f>
        <v>North</v>
      </c>
      <c r="D852" t="str">
        <f>Raw_Data!D852</f>
        <v>Delhi</v>
      </c>
      <c r="E852" t="str">
        <f>Raw_Data!E852</f>
        <v>Furniture</v>
      </c>
      <c r="F852" t="str">
        <f>Raw_Data!F852</f>
        <v>Bookshelf</v>
      </c>
      <c r="G852" t="str">
        <f>Raw_Data!G852</f>
        <v>Corporate</v>
      </c>
      <c r="H852" t="str">
        <f>Raw_Data!H852</f>
        <v>Marketplace</v>
      </c>
      <c r="I852">
        <f>Raw_Data!I852</f>
        <v>2</v>
      </c>
      <c r="J852" s="3">
        <f>Raw_Data!J852</f>
        <v>119.76</v>
      </c>
      <c r="K852" s="4">
        <f>Raw_Data!K852</f>
        <v>0.15</v>
      </c>
      <c r="L852" s="3">
        <f>Raw_Data!L852</f>
        <v>203.59</v>
      </c>
      <c r="M852" s="3">
        <f>Raw_Data!M852</f>
        <v>147.31</v>
      </c>
      <c r="N852" s="3">
        <f>Raw_Data!N852</f>
        <v>56.28</v>
      </c>
      <c r="O852" t="str">
        <f t="shared" si="39"/>
        <v>2025-11</v>
      </c>
      <c r="P852" s="5">
        <f t="shared" si="40"/>
        <v>0.27643793899503905</v>
      </c>
      <c r="Q852" s="3">
        <f t="shared" si="41"/>
        <v>203.59</v>
      </c>
    </row>
    <row r="853" spans="1:17" x14ac:dyDescent="0.35">
      <c r="A853" t="str">
        <f>Raw_Data!A853</f>
        <v>ORD-0814</v>
      </c>
      <c r="B853" s="2">
        <f>Raw_Data!B853</f>
        <v>45977</v>
      </c>
      <c r="C853" t="str">
        <f>Raw_Data!C853</f>
        <v>South</v>
      </c>
      <c r="D853" t="str">
        <f>Raw_Data!D853</f>
        <v>Hyderabad</v>
      </c>
      <c r="E853" t="str">
        <f>Raw_Data!E853</f>
        <v>Home &amp; Kitchen</v>
      </c>
      <c r="F853" t="str">
        <f>Raw_Data!F853</f>
        <v>Water Bottle</v>
      </c>
      <c r="G853" t="str">
        <f>Raw_Data!G853</f>
        <v>Corporate</v>
      </c>
      <c r="H853" t="str">
        <f>Raw_Data!H853</f>
        <v>In-Store</v>
      </c>
      <c r="I853">
        <f>Raw_Data!I853</f>
        <v>2</v>
      </c>
      <c r="J853" s="3">
        <f>Raw_Data!J853</f>
        <v>14.41</v>
      </c>
      <c r="K853" s="4">
        <f>Raw_Data!K853</f>
        <v>0</v>
      </c>
      <c r="L853" s="3">
        <f>Raw_Data!L853</f>
        <v>28.82</v>
      </c>
      <c r="M853" s="3">
        <f>Raw_Data!M853</f>
        <v>20.71</v>
      </c>
      <c r="N853" s="3">
        <f>Raw_Data!N853</f>
        <v>8.11</v>
      </c>
      <c r="O853" t="str">
        <f t="shared" si="39"/>
        <v>2025-11</v>
      </c>
      <c r="P853" s="5">
        <f t="shared" si="40"/>
        <v>0.28140180430256762</v>
      </c>
      <c r="Q853" s="3">
        <f t="shared" si="41"/>
        <v>28.82</v>
      </c>
    </row>
    <row r="854" spans="1:17" x14ac:dyDescent="0.35">
      <c r="A854" t="str">
        <f>Raw_Data!A854</f>
        <v>ORD-0421</v>
      </c>
      <c r="B854" s="2">
        <f>Raw_Data!B854</f>
        <v>45978</v>
      </c>
      <c r="C854" t="str">
        <f>Raw_Data!C854</f>
        <v>West</v>
      </c>
      <c r="D854" t="str">
        <f>Raw_Data!D854</f>
        <v>Mumbai</v>
      </c>
      <c r="E854" t="str">
        <f>Raw_Data!E854</f>
        <v>Technology</v>
      </c>
      <c r="F854" t="str">
        <f>Raw_Data!F854</f>
        <v>Wireless Mouse</v>
      </c>
      <c r="G854" t="str">
        <f>Raw_Data!G854</f>
        <v>Corporate</v>
      </c>
      <c r="H854" t="str">
        <f>Raw_Data!H854</f>
        <v>Online</v>
      </c>
      <c r="I854">
        <f>Raw_Data!I854</f>
        <v>1</v>
      </c>
      <c r="J854" s="3">
        <f>Raw_Data!J854</f>
        <v>20.65</v>
      </c>
      <c r="K854" s="4">
        <f>Raw_Data!K854</f>
        <v>0</v>
      </c>
      <c r="L854" s="3">
        <f>Raw_Data!L854</f>
        <v>20.65</v>
      </c>
      <c r="M854" s="3">
        <f>Raw_Data!M854</f>
        <v>14.95</v>
      </c>
      <c r="N854" s="3">
        <f>Raw_Data!N854</f>
        <v>5.7</v>
      </c>
      <c r="O854" t="str">
        <f t="shared" si="39"/>
        <v>2025-11</v>
      </c>
      <c r="P854" s="5">
        <f t="shared" si="40"/>
        <v>0.27602905569007269</v>
      </c>
      <c r="Q854" s="3">
        <f t="shared" si="41"/>
        <v>20.65</v>
      </c>
    </row>
    <row r="855" spans="1:17" x14ac:dyDescent="0.35">
      <c r="A855" t="str">
        <f>Raw_Data!A855</f>
        <v>ORD-0738</v>
      </c>
      <c r="B855" s="2">
        <f>Raw_Data!B855</f>
        <v>45978</v>
      </c>
      <c r="C855" t="str">
        <f>Raw_Data!C855</f>
        <v>North</v>
      </c>
      <c r="D855" t="str">
        <f>Raw_Data!D855</f>
        <v>Delhi</v>
      </c>
      <c r="E855" t="str">
        <f>Raw_Data!E855</f>
        <v>Office Supplies</v>
      </c>
      <c r="F855" t="str">
        <f>Raw_Data!F855</f>
        <v>Notebook Pack</v>
      </c>
      <c r="G855" t="str">
        <f>Raw_Data!G855</f>
        <v>Consumer</v>
      </c>
      <c r="H855" t="str">
        <f>Raw_Data!H855</f>
        <v>Online</v>
      </c>
      <c r="I855">
        <f>Raw_Data!I855</f>
        <v>5</v>
      </c>
      <c r="J855" s="3">
        <f>Raw_Data!J855</f>
        <v>13.43</v>
      </c>
      <c r="K855" s="4">
        <f>Raw_Data!K855</f>
        <v>0</v>
      </c>
      <c r="L855" s="3">
        <f>Raw_Data!L855</f>
        <v>67.150000000000006</v>
      </c>
      <c r="M855" s="3">
        <f>Raw_Data!M855</f>
        <v>41.78</v>
      </c>
      <c r="N855" s="3">
        <f>Raw_Data!N855</f>
        <v>25.37</v>
      </c>
      <c r="O855" t="str">
        <f t="shared" si="39"/>
        <v>2025-11</v>
      </c>
      <c r="P855" s="5">
        <f t="shared" si="40"/>
        <v>0.3778108711839166</v>
      </c>
      <c r="Q855" s="3">
        <f t="shared" si="41"/>
        <v>67.150000000000006</v>
      </c>
    </row>
    <row r="856" spans="1:17" x14ac:dyDescent="0.35">
      <c r="A856" t="str">
        <f>Raw_Data!A856</f>
        <v>ORD-0982</v>
      </c>
      <c r="B856" s="2">
        <f>Raw_Data!B856</f>
        <v>45978</v>
      </c>
      <c r="C856" t="str">
        <f>Raw_Data!C856</f>
        <v>South</v>
      </c>
      <c r="D856" t="str">
        <f>Raw_Data!D856</f>
        <v>Hyderabad</v>
      </c>
      <c r="E856" t="str">
        <f>Raw_Data!E856</f>
        <v>Technology</v>
      </c>
      <c r="F856" t="str">
        <f>Raw_Data!F856</f>
        <v>Keyboard</v>
      </c>
      <c r="G856" t="str">
        <f>Raw_Data!G856</f>
        <v>Corporate</v>
      </c>
      <c r="H856" t="str">
        <f>Raw_Data!H856</f>
        <v>Marketplace</v>
      </c>
      <c r="I856">
        <f>Raw_Data!I856</f>
        <v>4</v>
      </c>
      <c r="J856" s="3">
        <f>Raw_Data!J856</f>
        <v>36.24</v>
      </c>
      <c r="K856" s="4">
        <f>Raw_Data!K856</f>
        <v>0</v>
      </c>
      <c r="L856" s="3">
        <f>Raw_Data!L856</f>
        <v>144.96</v>
      </c>
      <c r="M856" s="3">
        <f>Raw_Data!M856</f>
        <v>103.02</v>
      </c>
      <c r="N856" s="3">
        <f>Raw_Data!N856</f>
        <v>41.94</v>
      </c>
      <c r="O856" t="str">
        <f t="shared" si="39"/>
        <v>2025-11</v>
      </c>
      <c r="P856" s="5">
        <f t="shared" si="40"/>
        <v>0.28932119205298013</v>
      </c>
      <c r="Q856" s="3">
        <f t="shared" si="41"/>
        <v>144.96</v>
      </c>
    </row>
    <row r="857" spans="1:17" x14ac:dyDescent="0.35">
      <c r="A857" t="str">
        <f>Raw_Data!A857</f>
        <v>ORD-0848</v>
      </c>
      <c r="B857" s="2">
        <f>Raw_Data!B857</f>
        <v>45978</v>
      </c>
      <c r="C857" t="str">
        <f>Raw_Data!C857</f>
        <v>South</v>
      </c>
      <c r="D857" t="str">
        <f>Raw_Data!D857</f>
        <v>Chennai</v>
      </c>
      <c r="E857" t="str">
        <f>Raw_Data!E857</f>
        <v>Office Supplies</v>
      </c>
      <c r="F857" t="str">
        <f>Raw_Data!F857</f>
        <v>Pen Set</v>
      </c>
      <c r="G857" t="str">
        <f>Raw_Data!G857</f>
        <v>Consumer</v>
      </c>
      <c r="H857" t="str">
        <f>Raw_Data!H857</f>
        <v>In-Store</v>
      </c>
      <c r="I857">
        <f>Raw_Data!I857</f>
        <v>9</v>
      </c>
      <c r="J857" s="3">
        <f>Raw_Data!J857</f>
        <v>7.91</v>
      </c>
      <c r="K857" s="4">
        <f>Raw_Data!K857</f>
        <v>0.1</v>
      </c>
      <c r="L857" s="3">
        <f>Raw_Data!L857</f>
        <v>64.069999999999993</v>
      </c>
      <c r="M857" s="3">
        <f>Raw_Data!M857</f>
        <v>36.75</v>
      </c>
      <c r="N857" s="3">
        <f>Raw_Data!N857</f>
        <v>27.32</v>
      </c>
      <c r="O857" t="str">
        <f t="shared" si="39"/>
        <v>2025-11</v>
      </c>
      <c r="P857" s="5">
        <f t="shared" si="40"/>
        <v>0.426408615576713</v>
      </c>
      <c r="Q857" s="3">
        <f t="shared" si="41"/>
        <v>64.069999999999993</v>
      </c>
    </row>
    <row r="858" spans="1:17" x14ac:dyDescent="0.35">
      <c r="A858" t="str">
        <f>Raw_Data!A858</f>
        <v>ORD-0958</v>
      </c>
      <c r="B858" s="2">
        <f>Raw_Data!B858</f>
        <v>45979</v>
      </c>
      <c r="C858" t="str">
        <f>Raw_Data!C858</f>
        <v>West</v>
      </c>
      <c r="D858" t="str">
        <f>Raw_Data!D858</f>
        <v>Mumbai</v>
      </c>
      <c r="E858" t="str">
        <f>Raw_Data!E858</f>
        <v>Technology</v>
      </c>
      <c r="F858" t="str">
        <f>Raw_Data!F858</f>
        <v>Wireless Mouse</v>
      </c>
      <c r="G858" t="str">
        <f>Raw_Data!G858</f>
        <v>Consumer</v>
      </c>
      <c r="H858" t="str">
        <f>Raw_Data!H858</f>
        <v>Online</v>
      </c>
      <c r="I858">
        <f>Raw_Data!I858</f>
        <v>1</v>
      </c>
      <c r="J858" s="3">
        <f>Raw_Data!J858</f>
        <v>15.95</v>
      </c>
      <c r="K858" s="4">
        <f>Raw_Data!K858</f>
        <v>0.05</v>
      </c>
      <c r="L858" s="3">
        <f>Raw_Data!L858</f>
        <v>15.15</v>
      </c>
      <c r="M858" s="3">
        <f>Raw_Data!M858</f>
        <v>8.15</v>
      </c>
      <c r="N858" s="3">
        <f>Raw_Data!N858</f>
        <v>7</v>
      </c>
      <c r="O858" t="str">
        <f t="shared" si="39"/>
        <v>2025-11</v>
      </c>
      <c r="P858" s="5">
        <f t="shared" si="40"/>
        <v>0.46204620462046203</v>
      </c>
      <c r="Q858" s="3">
        <f t="shared" si="41"/>
        <v>15.15</v>
      </c>
    </row>
    <row r="859" spans="1:17" x14ac:dyDescent="0.35">
      <c r="A859" t="str">
        <f>Raw_Data!A859</f>
        <v>ORD-0635</v>
      </c>
      <c r="B859" s="2">
        <f>Raw_Data!B859</f>
        <v>45979</v>
      </c>
      <c r="C859" t="str">
        <f>Raw_Data!C859</f>
        <v>West</v>
      </c>
      <c r="D859" t="str">
        <f>Raw_Data!D859</f>
        <v>Pune</v>
      </c>
      <c r="E859" t="str">
        <f>Raw_Data!E859</f>
        <v>Technology</v>
      </c>
      <c r="F859" t="str">
        <f>Raw_Data!F859</f>
        <v>Headphones</v>
      </c>
      <c r="G859" t="str">
        <f>Raw_Data!G859</f>
        <v>Small Business</v>
      </c>
      <c r="H859" t="str">
        <f>Raw_Data!H859</f>
        <v>In-Store</v>
      </c>
      <c r="I859">
        <f>Raw_Data!I859</f>
        <v>7</v>
      </c>
      <c r="J859" s="3">
        <f>Raw_Data!J859</f>
        <v>65.41</v>
      </c>
      <c r="K859" s="4">
        <f>Raw_Data!K859</f>
        <v>0.15</v>
      </c>
      <c r="L859" s="3">
        <f>Raw_Data!L859</f>
        <v>389.19</v>
      </c>
      <c r="M859" s="3">
        <f>Raw_Data!M859</f>
        <v>347.76</v>
      </c>
      <c r="N859" s="3">
        <f>Raw_Data!N859</f>
        <v>41.43</v>
      </c>
      <c r="O859" t="str">
        <f t="shared" si="39"/>
        <v>2025-11</v>
      </c>
      <c r="P859" s="5">
        <f t="shared" si="40"/>
        <v>0.10645186155862175</v>
      </c>
      <c r="Q859" s="3">
        <f t="shared" si="41"/>
        <v>389.19</v>
      </c>
    </row>
    <row r="860" spans="1:17" x14ac:dyDescent="0.35">
      <c r="A860" t="str">
        <f>Raw_Data!A860</f>
        <v>ORD-0539</v>
      </c>
      <c r="B860" s="2">
        <f>Raw_Data!B860</f>
        <v>45979</v>
      </c>
      <c r="C860" t="str">
        <f>Raw_Data!C860</f>
        <v>North</v>
      </c>
      <c r="D860" t="str">
        <f>Raw_Data!D860</f>
        <v>Jaipur</v>
      </c>
      <c r="E860" t="str">
        <f>Raw_Data!E860</f>
        <v>Office Supplies</v>
      </c>
      <c r="F860" t="str">
        <f>Raw_Data!F860</f>
        <v>Notebook Pack</v>
      </c>
      <c r="G860" t="str">
        <f>Raw_Data!G860</f>
        <v>Corporate</v>
      </c>
      <c r="H860" t="str">
        <f>Raw_Data!H860</f>
        <v>Marketplace</v>
      </c>
      <c r="I860">
        <f>Raw_Data!I860</f>
        <v>3</v>
      </c>
      <c r="J860" s="3">
        <f>Raw_Data!J860</f>
        <v>10.82</v>
      </c>
      <c r="K860" s="4">
        <f>Raw_Data!K860</f>
        <v>0.05</v>
      </c>
      <c r="L860" s="3">
        <f>Raw_Data!L860</f>
        <v>30.84</v>
      </c>
      <c r="M860" s="3">
        <f>Raw_Data!M860</f>
        <v>15.94</v>
      </c>
      <c r="N860" s="3">
        <f>Raw_Data!N860</f>
        <v>14.9</v>
      </c>
      <c r="O860" t="str">
        <f t="shared" si="39"/>
        <v>2025-11</v>
      </c>
      <c r="P860" s="5">
        <f t="shared" si="40"/>
        <v>0.48313878080415046</v>
      </c>
      <c r="Q860" s="3">
        <f t="shared" si="41"/>
        <v>30.84</v>
      </c>
    </row>
    <row r="861" spans="1:17" x14ac:dyDescent="0.35">
      <c r="A861" t="str">
        <f>Raw_Data!A861</f>
        <v>ORD-0060</v>
      </c>
      <c r="B861" s="2">
        <f>Raw_Data!B861</f>
        <v>45979</v>
      </c>
      <c r="C861" t="str">
        <f>Raw_Data!C861</f>
        <v>North</v>
      </c>
      <c r="D861" t="str">
        <f>Raw_Data!D861</f>
        <v>Chandigarh</v>
      </c>
      <c r="E861" t="str">
        <f>Raw_Data!E861</f>
        <v>Office Supplies</v>
      </c>
      <c r="F861" t="str">
        <f>Raw_Data!F861</f>
        <v>Notebook Pack</v>
      </c>
      <c r="G861" t="str">
        <f>Raw_Data!G861</f>
        <v>Small Business</v>
      </c>
      <c r="H861" t="str">
        <f>Raw_Data!H861</f>
        <v>Marketplace</v>
      </c>
      <c r="I861">
        <f>Raw_Data!I861</f>
        <v>12</v>
      </c>
      <c r="J861" s="3">
        <f>Raw_Data!J861</f>
        <v>13.44</v>
      </c>
      <c r="K861" s="4">
        <f>Raw_Data!K861</f>
        <v>0.15</v>
      </c>
      <c r="L861" s="3">
        <f>Raw_Data!L861</f>
        <v>137.09</v>
      </c>
      <c r="M861" s="3">
        <f>Raw_Data!M861</f>
        <v>116.39</v>
      </c>
      <c r="N861" s="3">
        <f>Raw_Data!N861</f>
        <v>20.7</v>
      </c>
      <c r="O861" t="str">
        <f t="shared" si="39"/>
        <v>2025-11</v>
      </c>
      <c r="P861" s="5">
        <f t="shared" si="40"/>
        <v>0.15099569625793274</v>
      </c>
      <c r="Q861" s="3">
        <f t="shared" si="41"/>
        <v>137.09</v>
      </c>
    </row>
    <row r="862" spans="1:17" x14ac:dyDescent="0.35">
      <c r="A862" t="str">
        <f>Raw_Data!A862</f>
        <v>ORD-0273</v>
      </c>
      <c r="B862" s="2">
        <f>Raw_Data!B862</f>
        <v>45981</v>
      </c>
      <c r="C862" t="str">
        <f>Raw_Data!C862</f>
        <v>East</v>
      </c>
      <c r="D862" t="str">
        <f>Raw_Data!D862</f>
        <v>Bhubaneswar</v>
      </c>
      <c r="E862" t="str">
        <f>Raw_Data!E862</f>
        <v>Furniture</v>
      </c>
      <c r="F862" t="str">
        <f>Raw_Data!F862</f>
        <v>Standing Desk</v>
      </c>
      <c r="G862" t="str">
        <f>Raw_Data!G862</f>
        <v>Corporate</v>
      </c>
      <c r="H862" t="str">
        <f>Raw_Data!H862</f>
        <v>In-Store</v>
      </c>
      <c r="I862">
        <f>Raw_Data!I862</f>
        <v>7</v>
      </c>
      <c r="J862" s="3">
        <f>Raw_Data!J862</f>
        <v>262.13</v>
      </c>
      <c r="K862" s="4">
        <f>Raw_Data!K862</f>
        <v>0</v>
      </c>
      <c r="L862" s="3">
        <f>Raw_Data!L862</f>
        <v>1834.91</v>
      </c>
      <c r="M862" s="3">
        <f>Raw_Data!M862</f>
        <v>1102.52</v>
      </c>
      <c r="N862" s="3">
        <f>Raw_Data!N862</f>
        <v>732.39</v>
      </c>
      <c r="O862" t="str">
        <f t="shared" si="39"/>
        <v>2025-11</v>
      </c>
      <c r="P862" s="5">
        <f t="shared" si="40"/>
        <v>0.39914219226011083</v>
      </c>
      <c r="Q862" s="3">
        <f t="shared" si="41"/>
        <v>1834.91</v>
      </c>
    </row>
    <row r="863" spans="1:17" x14ac:dyDescent="0.35">
      <c r="A863" t="str">
        <f>Raw_Data!A863</f>
        <v>ORD-0951</v>
      </c>
      <c r="B863" s="2">
        <f>Raw_Data!B863</f>
        <v>45982</v>
      </c>
      <c r="C863" t="str">
        <f>Raw_Data!C863</f>
        <v>West</v>
      </c>
      <c r="D863" t="str">
        <f>Raw_Data!D863</f>
        <v>Mumbai</v>
      </c>
      <c r="E863" t="str">
        <f>Raw_Data!E863</f>
        <v>Office Supplies</v>
      </c>
      <c r="F863" t="str">
        <f>Raw_Data!F863</f>
        <v>Printer Paper</v>
      </c>
      <c r="G863" t="str">
        <f>Raw_Data!G863</f>
        <v>Consumer</v>
      </c>
      <c r="H863" t="str">
        <f>Raw_Data!H863</f>
        <v>In-Store</v>
      </c>
      <c r="I863">
        <f>Raw_Data!I863</f>
        <v>4</v>
      </c>
      <c r="J863" s="3">
        <f>Raw_Data!J863</f>
        <v>14.45</v>
      </c>
      <c r="K863" s="4">
        <f>Raw_Data!K863</f>
        <v>0</v>
      </c>
      <c r="L863" s="3">
        <f>Raw_Data!L863</f>
        <v>57.8</v>
      </c>
      <c r="M863" s="3">
        <f>Raw_Data!M863</f>
        <v>37.83</v>
      </c>
      <c r="N863" s="3">
        <f>Raw_Data!N863</f>
        <v>19.97</v>
      </c>
      <c r="O863" t="str">
        <f t="shared" si="39"/>
        <v>2025-11</v>
      </c>
      <c r="P863" s="5">
        <f t="shared" si="40"/>
        <v>0.34550173010380625</v>
      </c>
      <c r="Q863" s="3">
        <f t="shared" si="41"/>
        <v>57.8</v>
      </c>
    </row>
    <row r="864" spans="1:17" x14ac:dyDescent="0.35">
      <c r="A864" t="str">
        <f>Raw_Data!A864</f>
        <v>ORD-0628</v>
      </c>
      <c r="B864" s="2">
        <f>Raw_Data!B864</f>
        <v>45982</v>
      </c>
      <c r="C864" t="str">
        <f>Raw_Data!C864</f>
        <v>East</v>
      </c>
      <c r="D864" t="str">
        <f>Raw_Data!D864</f>
        <v>Guwahati</v>
      </c>
      <c r="E864" t="str">
        <f>Raw_Data!E864</f>
        <v>Technology</v>
      </c>
      <c r="F864" t="str">
        <f>Raw_Data!F864</f>
        <v>Wireless Mouse</v>
      </c>
      <c r="G864" t="str">
        <f>Raw_Data!G864</f>
        <v>Small Business</v>
      </c>
      <c r="H864" t="str">
        <f>Raw_Data!H864</f>
        <v>In-Store</v>
      </c>
      <c r="I864">
        <f>Raw_Data!I864</f>
        <v>7</v>
      </c>
      <c r="J864" s="3">
        <f>Raw_Data!J864</f>
        <v>20.93</v>
      </c>
      <c r="K864" s="4">
        <f>Raw_Data!K864</f>
        <v>0.05</v>
      </c>
      <c r="L864" s="3">
        <f>Raw_Data!L864</f>
        <v>139.18</v>
      </c>
      <c r="M864" s="3">
        <f>Raw_Data!M864</f>
        <v>93.66</v>
      </c>
      <c r="N864" s="3">
        <f>Raw_Data!N864</f>
        <v>45.52</v>
      </c>
      <c r="O864" t="str">
        <f t="shared" si="39"/>
        <v>2025-11</v>
      </c>
      <c r="P864" s="5">
        <f t="shared" si="40"/>
        <v>0.32705848541457105</v>
      </c>
      <c r="Q864" s="3">
        <f t="shared" si="41"/>
        <v>139.18</v>
      </c>
    </row>
    <row r="865" spans="1:17" x14ac:dyDescent="0.35">
      <c r="A865" t="str">
        <f>Raw_Data!A865</f>
        <v>ORD-0116</v>
      </c>
      <c r="B865" s="2">
        <f>Raw_Data!B865</f>
        <v>45982</v>
      </c>
      <c r="C865" t="str">
        <f>Raw_Data!C865</f>
        <v>West</v>
      </c>
      <c r="D865" t="str">
        <f>Raw_Data!D865</f>
        <v>Mumbai</v>
      </c>
      <c r="E865" t="str">
        <f>Raw_Data!E865</f>
        <v>Furniture</v>
      </c>
      <c r="F865" t="str">
        <f>Raw_Data!F865</f>
        <v>Standing Desk</v>
      </c>
      <c r="G865" t="str">
        <f>Raw_Data!G865</f>
        <v>Consumer</v>
      </c>
      <c r="H865" t="str">
        <f>Raw_Data!H865</f>
        <v>Marketplace</v>
      </c>
      <c r="I865">
        <f>Raw_Data!I865</f>
        <v>10</v>
      </c>
      <c r="J865" s="3">
        <f>Raw_Data!J865</f>
        <v>269.27999999999997</v>
      </c>
      <c r="K865" s="4">
        <f>Raw_Data!K865</f>
        <v>0.1</v>
      </c>
      <c r="L865" s="3">
        <f>Raw_Data!L865</f>
        <v>2423.52</v>
      </c>
      <c r="M865" s="3">
        <f>Raw_Data!M865</f>
        <v>1700.95</v>
      </c>
      <c r="N865" s="3">
        <f>Raw_Data!N865</f>
        <v>722.57</v>
      </c>
      <c r="O865" t="str">
        <f t="shared" si="39"/>
        <v>2025-11</v>
      </c>
      <c r="P865" s="5">
        <f t="shared" si="40"/>
        <v>0.29814897339407148</v>
      </c>
      <c r="Q865" s="3">
        <f t="shared" si="41"/>
        <v>2423.52</v>
      </c>
    </row>
    <row r="866" spans="1:17" x14ac:dyDescent="0.35">
      <c r="A866" t="str">
        <f>Raw_Data!A866</f>
        <v>ORD-0858</v>
      </c>
      <c r="B866" s="2">
        <f>Raw_Data!B866</f>
        <v>45982</v>
      </c>
      <c r="C866" t="str">
        <f>Raw_Data!C866</f>
        <v>South</v>
      </c>
      <c r="D866" t="str">
        <f>Raw_Data!D866</f>
        <v>Bengaluru</v>
      </c>
      <c r="E866" t="str">
        <f>Raw_Data!E866</f>
        <v>Office Supplies</v>
      </c>
      <c r="F866" t="str">
        <f>Raw_Data!F866</f>
        <v>Pen Set</v>
      </c>
      <c r="G866" t="str">
        <f>Raw_Data!G866</f>
        <v>Consumer</v>
      </c>
      <c r="H866" t="str">
        <f>Raw_Data!H866</f>
        <v>Marketplace</v>
      </c>
      <c r="I866">
        <f>Raw_Data!I866</f>
        <v>3</v>
      </c>
      <c r="J866" s="3">
        <f>Raw_Data!J866</f>
        <v>7.06</v>
      </c>
      <c r="K866" s="4">
        <f>Raw_Data!K866</f>
        <v>0.15</v>
      </c>
      <c r="L866" s="3">
        <f>Raw_Data!L866</f>
        <v>18</v>
      </c>
      <c r="M866" s="3">
        <f>Raw_Data!M866</f>
        <v>13.65</v>
      </c>
      <c r="N866" s="3">
        <f>Raw_Data!N866</f>
        <v>4.3499999999999996</v>
      </c>
      <c r="O866" t="str">
        <f t="shared" si="39"/>
        <v>2025-11</v>
      </c>
      <c r="P866" s="5">
        <f t="shared" si="40"/>
        <v>0.24166666666666664</v>
      </c>
      <c r="Q866" s="3">
        <f t="shared" si="41"/>
        <v>18</v>
      </c>
    </row>
    <row r="867" spans="1:17" x14ac:dyDescent="0.35">
      <c r="A867" t="str">
        <f>Raw_Data!A867</f>
        <v>ORD-0845</v>
      </c>
      <c r="B867" s="2">
        <f>Raw_Data!B867</f>
        <v>45983</v>
      </c>
      <c r="C867" t="str">
        <f>Raw_Data!C867</f>
        <v>North</v>
      </c>
      <c r="D867" t="str">
        <f>Raw_Data!D867</f>
        <v>Delhi</v>
      </c>
      <c r="E867" t="str">
        <f>Raw_Data!E867</f>
        <v>Technology</v>
      </c>
      <c r="F867" t="str">
        <f>Raw_Data!F867</f>
        <v>USB Hub</v>
      </c>
      <c r="G867" t="str">
        <f>Raw_Data!G867</f>
        <v>Small Business</v>
      </c>
      <c r="H867" t="str">
        <f>Raw_Data!H867</f>
        <v>Online</v>
      </c>
      <c r="I867">
        <f>Raw_Data!I867</f>
        <v>12</v>
      </c>
      <c r="J867" s="3">
        <f>Raw_Data!J867</f>
        <v>22.99</v>
      </c>
      <c r="K867" s="4">
        <f>Raw_Data!K867</f>
        <v>0</v>
      </c>
      <c r="L867" s="3">
        <f>Raw_Data!L867</f>
        <v>275.88</v>
      </c>
      <c r="M867" s="3">
        <f>Raw_Data!M867</f>
        <v>181.93</v>
      </c>
      <c r="N867" s="3">
        <f>Raw_Data!N867</f>
        <v>93.95</v>
      </c>
      <c r="O867" t="str">
        <f t="shared" si="39"/>
        <v>2025-11</v>
      </c>
      <c r="P867" s="5">
        <f t="shared" si="40"/>
        <v>0.34054661447005946</v>
      </c>
      <c r="Q867" s="3">
        <f t="shared" si="41"/>
        <v>275.88</v>
      </c>
    </row>
    <row r="868" spans="1:17" x14ac:dyDescent="0.35">
      <c r="A868" t="str">
        <f>Raw_Data!A868</f>
        <v>ORD-0062</v>
      </c>
      <c r="B868" s="2">
        <f>Raw_Data!B868</f>
        <v>45983</v>
      </c>
      <c r="C868" t="str">
        <f>Raw_Data!C868</f>
        <v>East</v>
      </c>
      <c r="D868" t="str">
        <f>Raw_Data!D868</f>
        <v>Bhubaneswar</v>
      </c>
      <c r="E868" t="str">
        <f>Raw_Data!E868</f>
        <v>Home &amp; Kitchen</v>
      </c>
      <c r="F868" t="str">
        <f>Raw_Data!F868</f>
        <v>Storage Box</v>
      </c>
      <c r="G868" t="str">
        <f>Raw_Data!G868</f>
        <v>Corporate</v>
      </c>
      <c r="H868" t="str">
        <f>Raw_Data!H868</f>
        <v>Marketplace</v>
      </c>
      <c r="I868">
        <f>Raw_Data!I868</f>
        <v>7</v>
      </c>
      <c r="J868" s="3">
        <f>Raw_Data!J868</f>
        <v>12.76</v>
      </c>
      <c r="K868" s="4">
        <f>Raw_Data!K868</f>
        <v>0.15</v>
      </c>
      <c r="L868" s="3">
        <f>Raw_Data!L868</f>
        <v>75.92</v>
      </c>
      <c r="M868" s="3">
        <f>Raw_Data!M868</f>
        <v>68.739999999999995</v>
      </c>
      <c r="N868" s="3">
        <f>Raw_Data!N868</f>
        <v>7.18</v>
      </c>
      <c r="O868" t="str">
        <f t="shared" si="39"/>
        <v>2025-11</v>
      </c>
      <c r="P868" s="5">
        <f t="shared" si="40"/>
        <v>9.4573234984193885E-2</v>
      </c>
      <c r="Q868" s="3">
        <f t="shared" si="41"/>
        <v>75.92</v>
      </c>
    </row>
    <row r="869" spans="1:17" x14ac:dyDescent="0.35">
      <c r="A869" t="str">
        <f>Raw_Data!A869</f>
        <v>ORD-0332</v>
      </c>
      <c r="B869" s="2">
        <f>Raw_Data!B869</f>
        <v>45984</v>
      </c>
      <c r="C869" t="str">
        <f>Raw_Data!C869</f>
        <v>West</v>
      </c>
      <c r="D869" t="str">
        <f>Raw_Data!D869</f>
        <v>Pune</v>
      </c>
      <c r="E869" t="str">
        <f>Raw_Data!E869</f>
        <v>Furniture</v>
      </c>
      <c r="F869" t="str">
        <f>Raw_Data!F869</f>
        <v>Office Chair</v>
      </c>
      <c r="G869" t="str">
        <f>Raw_Data!G869</f>
        <v>Small Business</v>
      </c>
      <c r="H869" t="str">
        <f>Raw_Data!H869</f>
        <v>Marketplace</v>
      </c>
      <c r="I869">
        <f>Raw_Data!I869</f>
        <v>8</v>
      </c>
      <c r="J869" s="3">
        <f>Raw_Data!J869</f>
        <v>166.07</v>
      </c>
      <c r="K869" s="4">
        <f>Raw_Data!K869</f>
        <v>0.05</v>
      </c>
      <c r="L869" s="3">
        <f>Raw_Data!L869</f>
        <v>1262.1300000000001</v>
      </c>
      <c r="M869" s="3">
        <f>Raw_Data!M869</f>
        <v>950.54</v>
      </c>
      <c r="N869" s="3">
        <f>Raw_Data!N869</f>
        <v>311.58999999999997</v>
      </c>
      <c r="O869" t="str">
        <f t="shared" si="39"/>
        <v>2025-11</v>
      </c>
      <c r="P869" s="5">
        <f t="shared" si="40"/>
        <v>0.24687631226577289</v>
      </c>
      <c r="Q869" s="3">
        <f t="shared" si="41"/>
        <v>1262.1300000000001</v>
      </c>
    </row>
    <row r="870" spans="1:17" x14ac:dyDescent="0.35">
      <c r="A870" t="str">
        <f>Raw_Data!A870</f>
        <v>ORD-0230</v>
      </c>
      <c r="B870" s="2">
        <f>Raw_Data!B870</f>
        <v>45984</v>
      </c>
      <c r="C870" t="str">
        <f>Raw_Data!C870</f>
        <v>North</v>
      </c>
      <c r="D870" t="str">
        <f>Raw_Data!D870</f>
        <v>Chandigarh</v>
      </c>
      <c r="E870" t="str">
        <f>Raw_Data!E870</f>
        <v>Home &amp; Kitchen</v>
      </c>
      <c r="F870" t="str">
        <f>Raw_Data!F870</f>
        <v>Lunch Box</v>
      </c>
      <c r="G870" t="str">
        <f>Raw_Data!G870</f>
        <v>Corporate</v>
      </c>
      <c r="H870" t="str">
        <f>Raw_Data!H870</f>
        <v>Marketplace</v>
      </c>
      <c r="I870">
        <f>Raw_Data!I870</f>
        <v>1</v>
      </c>
      <c r="J870" s="3">
        <f>Raw_Data!J870</f>
        <v>17.05</v>
      </c>
      <c r="K870" s="4">
        <f>Raw_Data!K870</f>
        <v>0.15</v>
      </c>
      <c r="L870" s="3">
        <f>Raw_Data!L870</f>
        <v>14.49</v>
      </c>
      <c r="M870" s="3">
        <f>Raw_Data!M870</f>
        <v>10.29</v>
      </c>
      <c r="N870" s="3">
        <f>Raw_Data!N870</f>
        <v>4.2</v>
      </c>
      <c r="O870" t="str">
        <f t="shared" si="39"/>
        <v>2025-11</v>
      </c>
      <c r="P870" s="5">
        <f t="shared" si="40"/>
        <v>0.28985507246376813</v>
      </c>
      <c r="Q870" s="3">
        <f t="shared" si="41"/>
        <v>14.49</v>
      </c>
    </row>
    <row r="871" spans="1:17" x14ac:dyDescent="0.35">
      <c r="A871" t="str">
        <f>Raw_Data!A871</f>
        <v>ORD-0001</v>
      </c>
      <c r="B871" s="2">
        <f>Raw_Data!B871</f>
        <v>45985</v>
      </c>
      <c r="C871" t="str">
        <f>Raw_Data!C871</f>
        <v>North</v>
      </c>
      <c r="D871" t="str">
        <f>Raw_Data!D871</f>
        <v>Jaipur</v>
      </c>
      <c r="E871" t="str">
        <f>Raw_Data!E871</f>
        <v>Technology</v>
      </c>
      <c r="F871" t="str">
        <f>Raw_Data!F871</f>
        <v>Wireless Mouse</v>
      </c>
      <c r="G871" t="str">
        <f>Raw_Data!G871</f>
        <v>Corporate</v>
      </c>
      <c r="H871" t="str">
        <f>Raw_Data!H871</f>
        <v>Marketplace</v>
      </c>
      <c r="I871">
        <f>Raw_Data!I871</f>
        <v>12</v>
      </c>
      <c r="J871" s="3">
        <f>Raw_Data!J871</f>
        <v>17.03</v>
      </c>
      <c r="K871" s="4">
        <f>Raw_Data!K871</f>
        <v>0</v>
      </c>
      <c r="L871" s="3">
        <f>Raw_Data!L871</f>
        <v>204.36</v>
      </c>
      <c r="M871" s="3">
        <f>Raw_Data!M871</f>
        <v>106.65</v>
      </c>
      <c r="N871" s="3">
        <f>Raw_Data!N871</f>
        <v>97.71</v>
      </c>
      <c r="O871" t="str">
        <f t="shared" si="39"/>
        <v>2025-11</v>
      </c>
      <c r="P871" s="5">
        <f t="shared" si="40"/>
        <v>0.47812683499706393</v>
      </c>
      <c r="Q871" s="3">
        <f t="shared" si="41"/>
        <v>204.36</v>
      </c>
    </row>
    <row r="872" spans="1:17" x14ac:dyDescent="0.35">
      <c r="A872" t="str">
        <f>Raw_Data!A872</f>
        <v>ORD-0557</v>
      </c>
      <c r="B872" s="2">
        <f>Raw_Data!B872</f>
        <v>45985</v>
      </c>
      <c r="C872" t="str">
        <f>Raw_Data!C872</f>
        <v>West</v>
      </c>
      <c r="D872" t="str">
        <f>Raw_Data!D872</f>
        <v>Pune</v>
      </c>
      <c r="E872" t="str">
        <f>Raw_Data!E872</f>
        <v>Office Supplies</v>
      </c>
      <c r="F872" t="str">
        <f>Raw_Data!F872</f>
        <v>Desk Organizer</v>
      </c>
      <c r="G872" t="str">
        <f>Raw_Data!G872</f>
        <v>Corporate</v>
      </c>
      <c r="H872" t="str">
        <f>Raw_Data!H872</f>
        <v>Online</v>
      </c>
      <c r="I872">
        <f>Raw_Data!I872</f>
        <v>4</v>
      </c>
      <c r="J872" s="3">
        <f>Raw_Data!J872</f>
        <v>19.27</v>
      </c>
      <c r="K872" s="4">
        <f>Raw_Data!K872</f>
        <v>0.05</v>
      </c>
      <c r="L872" s="3">
        <f>Raw_Data!L872</f>
        <v>73.23</v>
      </c>
      <c r="M872" s="3">
        <f>Raw_Data!M872</f>
        <v>49.31</v>
      </c>
      <c r="N872" s="3">
        <f>Raw_Data!N872</f>
        <v>23.92</v>
      </c>
      <c r="O872" t="str">
        <f t="shared" si="39"/>
        <v>2025-11</v>
      </c>
      <c r="P872" s="5">
        <f t="shared" si="40"/>
        <v>0.32664208657653965</v>
      </c>
      <c r="Q872" s="3">
        <f t="shared" si="41"/>
        <v>73.23</v>
      </c>
    </row>
    <row r="873" spans="1:17" x14ac:dyDescent="0.35">
      <c r="A873" t="str">
        <f>Raw_Data!A873</f>
        <v>ORD-0039</v>
      </c>
      <c r="B873" s="2">
        <f>Raw_Data!B873</f>
        <v>45986</v>
      </c>
      <c r="C873" t="str">
        <f>Raw_Data!C873</f>
        <v>East</v>
      </c>
      <c r="D873" t="str">
        <f>Raw_Data!D873</f>
        <v>Guwahati</v>
      </c>
      <c r="E873" t="str">
        <f>Raw_Data!E873</f>
        <v>Home &amp; Kitchen</v>
      </c>
      <c r="F873" t="str">
        <f>Raw_Data!F873</f>
        <v>Coffee Maker</v>
      </c>
      <c r="G873" t="str">
        <f>Raw_Data!G873</f>
        <v>Consumer</v>
      </c>
      <c r="H873" t="str">
        <f>Raw_Data!H873</f>
        <v>Online</v>
      </c>
      <c r="I873">
        <f>Raw_Data!I873</f>
        <v>1</v>
      </c>
      <c r="J873" s="3">
        <f>Raw_Data!J873</f>
        <v>64.11</v>
      </c>
      <c r="K873" s="4">
        <f>Raw_Data!K873</f>
        <v>0.05</v>
      </c>
      <c r="L873" s="3">
        <f>Raw_Data!L873</f>
        <v>60.9</v>
      </c>
      <c r="M873" s="3">
        <f>Raw_Data!M873</f>
        <v>34.21</v>
      </c>
      <c r="N873" s="3">
        <f>Raw_Data!N873</f>
        <v>26.69</v>
      </c>
      <c r="O873" t="str">
        <f t="shared" si="39"/>
        <v>2025-11</v>
      </c>
      <c r="P873" s="5">
        <f t="shared" si="40"/>
        <v>0.43825944170771758</v>
      </c>
      <c r="Q873" s="3">
        <f t="shared" si="41"/>
        <v>60.9</v>
      </c>
    </row>
    <row r="874" spans="1:17" x14ac:dyDescent="0.35">
      <c r="A874" t="str">
        <f>Raw_Data!A874</f>
        <v>ORD-0419</v>
      </c>
      <c r="B874" s="2">
        <f>Raw_Data!B874</f>
        <v>45986</v>
      </c>
      <c r="C874" t="str">
        <f>Raw_Data!C874</f>
        <v>West</v>
      </c>
      <c r="D874" t="str">
        <f>Raw_Data!D874</f>
        <v>Pune</v>
      </c>
      <c r="E874" t="str">
        <f>Raw_Data!E874</f>
        <v>Home &amp; Kitchen</v>
      </c>
      <c r="F874" t="str">
        <f>Raw_Data!F874</f>
        <v>Coffee Maker</v>
      </c>
      <c r="G874" t="str">
        <f>Raw_Data!G874</f>
        <v>Small Business</v>
      </c>
      <c r="H874" t="str">
        <f>Raw_Data!H874</f>
        <v>In-Store</v>
      </c>
      <c r="I874">
        <f>Raw_Data!I874</f>
        <v>6</v>
      </c>
      <c r="J874" s="3">
        <f>Raw_Data!J874</f>
        <v>64.58</v>
      </c>
      <c r="K874" s="4">
        <f>Raw_Data!K874</f>
        <v>0.05</v>
      </c>
      <c r="L874" s="3">
        <f>Raw_Data!L874</f>
        <v>368.11</v>
      </c>
      <c r="M874" s="3">
        <f>Raw_Data!M874</f>
        <v>288.04000000000002</v>
      </c>
      <c r="N874" s="3">
        <f>Raw_Data!N874</f>
        <v>80.069999999999993</v>
      </c>
      <c r="O874" t="str">
        <f t="shared" si="39"/>
        <v>2025-11</v>
      </c>
      <c r="P874" s="5">
        <f t="shared" si="40"/>
        <v>0.21751650321914642</v>
      </c>
      <c r="Q874" s="3">
        <f t="shared" si="41"/>
        <v>368.11</v>
      </c>
    </row>
    <row r="875" spans="1:17" x14ac:dyDescent="0.35">
      <c r="A875" t="str">
        <f>Raw_Data!A875</f>
        <v>ORD-0645</v>
      </c>
      <c r="B875" s="2">
        <f>Raw_Data!B875</f>
        <v>45986</v>
      </c>
      <c r="C875" t="str">
        <f>Raw_Data!C875</f>
        <v>West</v>
      </c>
      <c r="D875" t="str">
        <f>Raw_Data!D875</f>
        <v>Mumbai</v>
      </c>
      <c r="E875" t="str">
        <f>Raw_Data!E875</f>
        <v>Office Supplies</v>
      </c>
      <c r="F875" t="str">
        <f>Raw_Data!F875</f>
        <v>Pen Set</v>
      </c>
      <c r="G875" t="str">
        <f>Raw_Data!G875</f>
        <v>Corporate</v>
      </c>
      <c r="H875" t="str">
        <f>Raw_Data!H875</f>
        <v>Marketplace</v>
      </c>
      <c r="I875">
        <f>Raw_Data!I875</f>
        <v>5</v>
      </c>
      <c r="J875" s="3">
        <f>Raw_Data!J875</f>
        <v>7.35</v>
      </c>
      <c r="K875" s="4">
        <f>Raw_Data!K875</f>
        <v>0</v>
      </c>
      <c r="L875" s="3">
        <f>Raw_Data!L875</f>
        <v>36.75</v>
      </c>
      <c r="M875" s="3">
        <f>Raw_Data!M875</f>
        <v>23.58</v>
      </c>
      <c r="N875" s="3">
        <f>Raw_Data!N875</f>
        <v>13.17</v>
      </c>
      <c r="O875" t="str">
        <f t="shared" si="39"/>
        <v>2025-11</v>
      </c>
      <c r="P875" s="5">
        <f t="shared" si="40"/>
        <v>0.35836734693877553</v>
      </c>
      <c r="Q875" s="3">
        <f t="shared" si="41"/>
        <v>36.75</v>
      </c>
    </row>
    <row r="876" spans="1:17" x14ac:dyDescent="0.35">
      <c r="A876" t="str">
        <f>Raw_Data!A876</f>
        <v>ORD-0494</v>
      </c>
      <c r="B876" s="2">
        <f>Raw_Data!B876</f>
        <v>45986</v>
      </c>
      <c r="C876" t="str">
        <f>Raw_Data!C876</f>
        <v>East</v>
      </c>
      <c r="D876" t="str">
        <f>Raw_Data!D876</f>
        <v>Guwahati</v>
      </c>
      <c r="E876" t="str">
        <f>Raw_Data!E876</f>
        <v>Home &amp; Kitchen</v>
      </c>
      <c r="F876" t="str">
        <f>Raw_Data!F876</f>
        <v>Lunch Box</v>
      </c>
      <c r="G876" t="str">
        <f>Raw_Data!G876</f>
        <v>Consumer</v>
      </c>
      <c r="H876" t="str">
        <f>Raw_Data!H876</f>
        <v>Marketplace</v>
      </c>
      <c r="I876">
        <f>Raw_Data!I876</f>
        <v>9</v>
      </c>
      <c r="J876" s="3">
        <f>Raw_Data!J876</f>
        <v>21.37</v>
      </c>
      <c r="K876" s="4">
        <f>Raw_Data!K876</f>
        <v>0.15</v>
      </c>
      <c r="L876" s="3">
        <f>Raw_Data!L876</f>
        <v>163.47999999999999</v>
      </c>
      <c r="M876" s="3">
        <f>Raw_Data!M876</f>
        <v>107.09</v>
      </c>
      <c r="N876" s="3">
        <f>Raw_Data!N876</f>
        <v>56.39</v>
      </c>
      <c r="O876" t="str">
        <f t="shared" si="39"/>
        <v>2025-11</v>
      </c>
      <c r="P876" s="5">
        <f t="shared" si="40"/>
        <v>0.34493516026425253</v>
      </c>
      <c r="Q876" s="3">
        <f t="shared" si="41"/>
        <v>163.47999999999999</v>
      </c>
    </row>
    <row r="877" spans="1:17" x14ac:dyDescent="0.35">
      <c r="A877" t="str">
        <f>Raw_Data!A877</f>
        <v>ORD-0110</v>
      </c>
      <c r="B877" s="2">
        <f>Raw_Data!B877</f>
        <v>45986</v>
      </c>
      <c r="C877" t="str">
        <f>Raw_Data!C877</f>
        <v>South</v>
      </c>
      <c r="D877" t="str">
        <f>Raw_Data!D877</f>
        <v>Bengaluru</v>
      </c>
      <c r="E877" t="str">
        <f>Raw_Data!E877</f>
        <v>Technology</v>
      </c>
      <c r="F877" t="str">
        <f>Raw_Data!F877</f>
        <v>Wireless Mouse</v>
      </c>
      <c r="G877" t="str">
        <f>Raw_Data!G877</f>
        <v>Consumer</v>
      </c>
      <c r="H877" t="str">
        <f>Raw_Data!H877</f>
        <v>Marketplace</v>
      </c>
      <c r="I877">
        <f>Raw_Data!I877</f>
        <v>6</v>
      </c>
      <c r="J877" s="3">
        <f>Raw_Data!J877</f>
        <v>16.829999999999998</v>
      </c>
      <c r="K877" s="4">
        <f>Raw_Data!K877</f>
        <v>0</v>
      </c>
      <c r="L877" s="3">
        <f>Raw_Data!L877</f>
        <v>100.98</v>
      </c>
      <c r="M877" s="3">
        <f>Raw_Data!M877</f>
        <v>72.31</v>
      </c>
      <c r="N877" s="3">
        <f>Raw_Data!N877</f>
        <v>28.67</v>
      </c>
      <c r="O877" t="str">
        <f t="shared" si="39"/>
        <v>2025-11</v>
      </c>
      <c r="P877" s="5">
        <f t="shared" si="40"/>
        <v>0.28391760744701922</v>
      </c>
      <c r="Q877" s="3">
        <f t="shared" si="41"/>
        <v>100.98</v>
      </c>
    </row>
    <row r="878" spans="1:17" x14ac:dyDescent="0.35">
      <c r="A878" t="str">
        <f>Raw_Data!A878</f>
        <v>ORD-0868</v>
      </c>
      <c r="B878" s="2">
        <f>Raw_Data!B878</f>
        <v>45987</v>
      </c>
      <c r="C878" t="str">
        <f>Raw_Data!C878</f>
        <v>South</v>
      </c>
      <c r="D878" t="str">
        <f>Raw_Data!D878</f>
        <v>Chennai</v>
      </c>
      <c r="E878" t="str">
        <f>Raw_Data!E878</f>
        <v>Home &amp; Kitchen</v>
      </c>
      <c r="F878" t="str">
        <f>Raw_Data!F878</f>
        <v>Lunch Box</v>
      </c>
      <c r="G878" t="str">
        <f>Raw_Data!G878</f>
        <v>Small Business</v>
      </c>
      <c r="H878" t="str">
        <f>Raw_Data!H878</f>
        <v>Online</v>
      </c>
      <c r="I878">
        <f>Raw_Data!I878</f>
        <v>12</v>
      </c>
      <c r="J878" s="3">
        <f>Raw_Data!J878</f>
        <v>21.1</v>
      </c>
      <c r="K878" s="4">
        <f>Raw_Data!K878</f>
        <v>0</v>
      </c>
      <c r="L878" s="3">
        <f>Raw_Data!L878</f>
        <v>253.2</v>
      </c>
      <c r="M878" s="3">
        <f>Raw_Data!M878</f>
        <v>160.91999999999999</v>
      </c>
      <c r="N878" s="3">
        <f>Raw_Data!N878</f>
        <v>92.28</v>
      </c>
      <c r="O878" t="str">
        <f t="shared" si="39"/>
        <v>2025-11</v>
      </c>
      <c r="P878" s="5">
        <f t="shared" si="40"/>
        <v>0.36445497630331758</v>
      </c>
      <c r="Q878" s="3">
        <f t="shared" si="41"/>
        <v>253.2</v>
      </c>
    </row>
    <row r="879" spans="1:17" x14ac:dyDescent="0.35">
      <c r="A879" t="str">
        <f>Raw_Data!A879</f>
        <v>ORD-0694</v>
      </c>
      <c r="B879" s="2">
        <f>Raw_Data!B879</f>
        <v>45987</v>
      </c>
      <c r="C879" t="str">
        <f>Raw_Data!C879</f>
        <v>East</v>
      </c>
      <c r="D879" t="str">
        <f>Raw_Data!D879</f>
        <v>Bhubaneswar</v>
      </c>
      <c r="E879" t="str">
        <f>Raw_Data!E879</f>
        <v>Technology</v>
      </c>
      <c r="F879" t="str">
        <f>Raw_Data!F879</f>
        <v>USB Hub</v>
      </c>
      <c r="G879" t="str">
        <f>Raw_Data!G879</f>
        <v>Consumer</v>
      </c>
      <c r="H879" t="str">
        <f>Raw_Data!H879</f>
        <v>In-Store</v>
      </c>
      <c r="I879">
        <f>Raw_Data!I879</f>
        <v>1</v>
      </c>
      <c r="J879" s="3">
        <f>Raw_Data!J879</f>
        <v>20.86</v>
      </c>
      <c r="K879" s="4">
        <f>Raw_Data!K879</f>
        <v>0</v>
      </c>
      <c r="L879" s="3">
        <f>Raw_Data!L879</f>
        <v>20.86</v>
      </c>
      <c r="M879" s="3">
        <f>Raw_Data!M879</f>
        <v>11.98</v>
      </c>
      <c r="N879" s="3">
        <f>Raw_Data!N879</f>
        <v>8.8800000000000008</v>
      </c>
      <c r="O879" t="str">
        <f t="shared" si="39"/>
        <v>2025-11</v>
      </c>
      <c r="P879" s="5">
        <f t="shared" si="40"/>
        <v>0.42569511025886869</v>
      </c>
      <c r="Q879" s="3">
        <f t="shared" si="41"/>
        <v>20.86</v>
      </c>
    </row>
    <row r="880" spans="1:17" x14ac:dyDescent="0.35">
      <c r="A880" t="str">
        <f>Raw_Data!A880</f>
        <v>ORD-0702</v>
      </c>
      <c r="B880" s="2">
        <f>Raw_Data!B880</f>
        <v>45987</v>
      </c>
      <c r="C880" t="str">
        <f>Raw_Data!C880</f>
        <v>West</v>
      </c>
      <c r="D880" t="str">
        <f>Raw_Data!D880</f>
        <v>Pune</v>
      </c>
      <c r="E880" t="str">
        <f>Raw_Data!E880</f>
        <v>Home &amp; Kitchen</v>
      </c>
      <c r="F880" t="str">
        <f>Raw_Data!F880</f>
        <v>Water Bottle</v>
      </c>
      <c r="G880" t="str">
        <f>Raw_Data!G880</f>
        <v>Small Business</v>
      </c>
      <c r="H880" t="str">
        <f>Raw_Data!H880</f>
        <v>Marketplace</v>
      </c>
      <c r="I880">
        <f>Raw_Data!I880</f>
        <v>5</v>
      </c>
      <c r="J880" s="3">
        <f>Raw_Data!J880</f>
        <v>18.45</v>
      </c>
      <c r="K880" s="4">
        <f>Raw_Data!K880</f>
        <v>0.1</v>
      </c>
      <c r="L880" s="3">
        <f>Raw_Data!L880</f>
        <v>83.03</v>
      </c>
      <c r="M880" s="3">
        <f>Raw_Data!M880</f>
        <v>57.32</v>
      </c>
      <c r="N880" s="3">
        <f>Raw_Data!N880</f>
        <v>25.71</v>
      </c>
      <c r="O880" t="str">
        <f t="shared" si="39"/>
        <v>2025-11</v>
      </c>
      <c r="P880" s="5">
        <f t="shared" si="40"/>
        <v>0.30964711550042157</v>
      </c>
      <c r="Q880" s="3">
        <f t="shared" si="41"/>
        <v>83.03</v>
      </c>
    </row>
    <row r="881" spans="1:17" x14ac:dyDescent="0.35">
      <c r="A881" t="str">
        <f>Raw_Data!A881</f>
        <v>ORD-0136</v>
      </c>
      <c r="B881" s="2">
        <f>Raw_Data!B881</f>
        <v>45988</v>
      </c>
      <c r="C881" t="str">
        <f>Raw_Data!C881</f>
        <v>South</v>
      </c>
      <c r="D881" t="str">
        <f>Raw_Data!D881</f>
        <v>Chennai</v>
      </c>
      <c r="E881" t="str">
        <f>Raw_Data!E881</f>
        <v>Technology</v>
      </c>
      <c r="F881" t="str">
        <f>Raw_Data!F881</f>
        <v>USB Hub</v>
      </c>
      <c r="G881" t="str">
        <f>Raw_Data!G881</f>
        <v>Small Business</v>
      </c>
      <c r="H881" t="str">
        <f>Raw_Data!H881</f>
        <v>Marketplace</v>
      </c>
      <c r="I881">
        <f>Raw_Data!I881</f>
        <v>8</v>
      </c>
      <c r="J881" s="3">
        <f>Raw_Data!J881</f>
        <v>25.27</v>
      </c>
      <c r="K881" s="4">
        <f>Raw_Data!K881</f>
        <v>0</v>
      </c>
      <c r="L881" s="3">
        <f>Raw_Data!L881</f>
        <v>202.16</v>
      </c>
      <c r="M881" s="3">
        <f>Raw_Data!M881</f>
        <v>124.31</v>
      </c>
      <c r="N881" s="3">
        <f>Raw_Data!N881</f>
        <v>77.849999999999994</v>
      </c>
      <c r="O881" t="str">
        <f t="shared" si="39"/>
        <v>2025-11</v>
      </c>
      <c r="P881" s="5">
        <f t="shared" si="40"/>
        <v>0.38509101701622472</v>
      </c>
      <c r="Q881" s="3">
        <f t="shared" si="41"/>
        <v>202.16</v>
      </c>
    </row>
    <row r="882" spans="1:17" x14ac:dyDescent="0.35">
      <c r="A882" t="str">
        <f>Raw_Data!A882</f>
        <v>ORD-0636</v>
      </c>
      <c r="B882" s="2">
        <f>Raw_Data!B882</f>
        <v>45988</v>
      </c>
      <c r="C882" t="str">
        <f>Raw_Data!C882</f>
        <v>East</v>
      </c>
      <c r="D882" t="str">
        <f>Raw_Data!D882</f>
        <v>Bhubaneswar</v>
      </c>
      <c r="E882" t="str">
        <f>Raw_Data!E882</f>
        <v>Technology</v>
      </c>
      <c r="F882" t="str">
        <f>Raw_Data!F882</f>
        <v>Headphones</v>
      </c>
      <c r="G882" t="str">
        <f>Raw_Data!G882</f>
        <v>Small Business</v>
      </c>
      <c r="H882" t="str">
        <f>Raw_Data!H882</f>
        <v>Marketplace</v>
      </c>
      <c r="I882">
        <f>Raw_Data!I882</f>
        <v>4</v>
      </c>
      <c r="J882" s="3">
        <f>Raw_Data!J882</f>
        <v>47.96</v>
      </c>
      <c r="K882" s="4">
        <f>Raw_Data!K882</f>
        <v>0</v>
      </c>
      <c r="L882" s="3">
        <f>Raw_Data!L882</f>
        <v>191.84</v>
      </c>
      <c r="M882" s="3">
        <f>Raw_Data!M882</f>
        <v>140.13999999999999</v>
      </c>
      <c r="N882" s="3">
        <f>Raw_Data!N882</f>
        <v>51.7</v>
      </c>
      <c r="O882" t="str">
        <f t="shared" si="39"/>
        <v>2025-11</v>
      </c>
      <c r="P882" s="5">
        <f t="shared" si="40"/>
        <v>0.26949541284403672</v>
      </c>
      <c r="Q882" s="3">
        <f t="shared" si="41"/>
        <v>191.84</v>
      </c>
    </row>
    <row r="883" spans="1:17" x14ac:dyDescent="0.35">
      <c r="A883" t="str">
        <f>Raw_Data!A883</f>
        <v>ORD-0285</v>
      </c>
      <c r="B883" s="2">
        <f>Raw_Data!B883</f>
        <v>45988</v>
      </c>
      <c r="C883" t="str">
        <f>Raw_Data!C883</f>
        <v>North</v>
      </c>
      <c r="D883" t="str">
        <f>Raw_Data!D883</f>
        <v>Chandigarh</v>
      </c>
      <c r="E883" t="str">
        <f>Raw_Data!E883</f>
        <v>Technology</v>
      </c>
      <c r="F883" t="str">
        <f>Raw_Data!F883</f>
        <v>Keyboard</v>
      </c>
      <c r="G883" t="str">
        <f>Raw_Data!G883</f>
        <v>Corporate</v>
      </c>
      <c r="H883" t="str">
        <f>Raw_Data!H883</f>
        <v>Online</v>
      </c>
      <c r="I883">
        <f>Raw_Data!I883</f>
        <v>8</v>
      </c>
      <c r="J883" s="3">
        <f>Raw_Data!J883</f>
        <v>31.52</v>
      </c>
      <c r="K883" s="4">
        <f>Raw_Data!K883</f>
        <v>0</v>
      </c>
      <c r="L883" s="3">
        <f>Raw_Data!L883</f>
        <v>252.16</v>
      </c>
      <c r="M883" s="3">
        <f>Raw_Data!M883</f>
        <v>158.83000000000001</v>
      </c>
      <c r="N883" s="3">
        <f>Raw_Data!N883</f>
        <v>93.33</v>
      </c>
      <c r="O883" t="str">
        <f t="shared" si="39"/>
        <v>2025-11</v>
      </c>
      <c r="P883" s="5">
        <f t="shared" si="40"/>
        <v>0.37012214467005078</v>
      </c>
      <c r="Q883" s="3">
        <f t="shared" si="41"/>
        <v>252.16</v>
      </c>
    </row>
    <row r="884" spans="1:17" x14ac:dyDescent="0.35">
      <c r="A884" t="str">
        <f>Raw_Data!A884</f>
        <v>ORD-0467</v>
      </c>
      <c r="B884" s="2">
        <f>Raw_Data!B884</f>
        <v>45988</v>
      </c>
      <c r="C884" t="str">
        <f>Raw_Data!C884</f>
        <v>West</v>
      </c>
      <c r="D884" t="str">
        <f>Raw_Data!D884</f>
        <v>Mumbai</v>
      </c>
      <c r="E884" t="str">
        <f>Raw_Data!E884</f>
        <v>Home &amp; Kitchen</v>
      </c>
      <c r="F884" t="str">
        <f>Raw_Data!F884</f>
        <v>Coffee Maker</v>
      </c>
      <c r="G884" t="str">
        <f>Raw_Data!G884</f>
        <v>Small Business</v>
      </c>
      <c r="H884" t="str">
        <f>Raw_Data!H884</f>
        <v>Online</v>
      </c>
      <c r="I884">
        <f>Raw_Data!I884</f>
        <v>8</v>
      </c>
      <c r="J884" s="3">
        <f>Raw_Data!J884</f>
        <v>80.88</v>
      </c>
      <c r="K884" s="4">
        <f>Raw_Data!K884</f>
        <v>0.05</v>
      </c>
      <c r="L884" s="3">
        <f>Raw_Data!L884</f>
        <v>614.69000000000005</v>
      </c>
      <c r="M884" s="3">
        <f>Raw_Data!M884</f>
        <v>455.75</v>
      </c>
      <c r="N884" s="3">
        <f>Raw_Data!N884</f>
        <v>158.94</v>
      </c>
      <c r="O884" t="str">
        <f t="shared" si="39"/>
        <v>2025-11</v>
      </c>
      <c r="P884" s="5">
        <f t="shared" si="40"/>
        <v>0.25856936016528653</v>
      </c>
      <c r="Q884" s="3">
        <f t="shared" si="41"/>
        <v>614.69000000000005</v>
      </c>
    </row>
    <row r="885" spans="1:17" x14ac:dyDescent="0.35">
      <c r="A885" t="str">
        <f>Raw_Data!A885</f>
        <v>ORD-0201</v>
      </c>
      <c r="B885" s="2">
        <f>Raw_Data!B885</f>
        <v>45989</v>
      </c>
      <c r="C885" t="str">
        <f>Raw_Data!C885</f>
        <v>South</v>
      </c>
      <c r="D885" t="str">
        <f>Raw_Data!D885</f>
        <v>Hyderabad</v>
      </c>
      <c r="E885" t="str">
        <f>Raw_Data!E885</f>
        <v>Furniture</v>
      </c>
      <c r="F885" t="str">
        <f>Raw_Data!F885</f>
        <v>Desk Lamp</v>
      </c>
      <c r="G885" t="str">
        <f>Raw_Data!G885</f>
        <v>Consumer</v>
      </c>
      <c r="H885" t="str">
        <f>Raw_Data!H885</f>
        <v>Marketplace</v>
      </c>
      <c r="I885">
        <f>Raw_Data!I885</f>
        <v>1</v>
      </c>
      <c r="J885" s="3">
        <f>Raw_Data!J885</f>
        <v>42.1</v>
      </c>
      <c r="K885" s="4">
        <f>Raw_Data!K885</f>
        <v>0.05</v>
      </c>
      <c r="L885" s="3">
        <f>Raw_Data!L885</f>
        <v>39.99</v>
      </c>
      <c r="M885" s="3">
        <f>Raw_Data!M885</f>
        <v>27.38</v>
      </c>
      <c r="N885" s="3">
        <f>Raw_Data!N885</f>
        <v>12.61</v>
      </c>
      <c r="O885" t="str">
        <f t="shared" si="39"/>
        <v>2025-11</v>
      </c>
      <c r="P885" s="5">
        <f t="shared" si="40"/>
        <v>0.31532883220805197</v>
      </c>
      <c r="Q885" s="3">
        <f t="shared" si="41"/>
        <v>39.99</v>
      </c>
    </row>
    <row r="886" spans="1:17" x14ac:dyDescent="0.35">
      <c r="A886" t="str">
        <f>Raw_Data!A886</f>
        <v>ORD-0850</v>
      </c>
      <c r="B886" s="2">
        <f>Raw_Data!B886</f>
        <v>45990</v>
      </c>
      <c r="C886" t="str">
        <f>Raw_Data!C886</f>
        <v>West</v>
      </c>
      <c r="D886" t="str">
        <f>Raw_Data!D886</f>
        <v>Ahmedabad</v>
      </c>
      <c r="E886" t="str">
        <f>Raw_Data!E886</f>
        <v>Furniture</v>
      </c>
      <c r="F886" t="str">
        <f>Raw_Data!F886</f>
        <v>Office Chair</v>
      </c>
      <c r="G886" t="str">
        <f>Raw_Data!G886</f>
        <v>Consumer</v>
      </c>
      <c r="H886" t="str">
        <f>Raw_Data!H886</f>
        <v>Marketplace</v>
      </c>
      <c r="I886">
        <f>Raw_Data!I886</f>
        <v>2</v>
      </c>
      <c r="J886" s="3">
        <f>Raw_Data!J886</f>
        <v>168.19</v>
      </c>
      <c r="K886" s="4">
        <f>Raw_Data!K886</f>
        <v>0.1</v>
      </c>
      <c r="L886" s="3">
        <f>Raw_Data!L886</f>
        <v>302.74</v>
      </c>
      <c r="M886" s="3">
        <f>Raw_Data!M886</f>
        <v>191.89</v>
      </c>
      <c r="N886" s="3">
        <f>Raw_Data!N886</f>
        <v>110.85</v>
      </c>
      <c r="O886" t="str">
        <f t="shared" si="39"/>
        <v>2025-11</v>
      </c>
      <c r="P886" s="5">
        <f t="shared" si="40"/>
        <v>0.3661557772345907</v>
      </c>
      <c r="Q886" s="3">
        <f t="shared" si="41"/>
        <v>302.74</v>
      </c>
    </row>
    <row r="887" spans="1:17" x14ac:dyDescent="0.35">
      <c r="A887" t="str">
        <f>Raw_Data!A887</f>
        <v>ORD-0003</v>
      </c>
      <c r="B887" s="2">
        <f>Raw_Data!B887</f>
        <v>45990</v>
      </c>
      <c r="C887" t="str">
        <f>Raw_Data!C887</f>
        <v>South</v>
      </c>
      <c r="D887" t="str">
        <f>Raw_Data!D887</f>
        <v>Chennai</v>
      </c>
      <c r="E887" t="str">
        <f>Raw_Data!E887</f>
        <v>Home &amp; Kitchen</v>
      </c>
      <c r="F887" t="str">
        <f>Raw_Data!F887</f>
        <v>Storage Box</v>
      </c>
      <c r="G887" t="str">
        <f>Raw_Data!G887</f>
        <v>Corporate</v>
      </c>
      <c r="H887" t="str">
        <f>Raw_Data!H887</f>
        <v>In-Store</v>
      </c>
      <c r="I887">
        <f>Raw_Data!I887</f>
        <v>8</v>
      </c>
      <c r="J887" s="3">
        <f>Raw_Data!J887</f>
        <v>14.79</v>
      </c>
      <c r="K887" s="4">
        <f>Raw_Data!K887</f>
        <v>0</v>
      </c>
      <c r="L887" s="3">
        <f>Raw_Data!L887</f>
        <v>118.32</v>
      </c>
      <c r="M887" s="3">
        <f>Raw_Data!M887</f>
        <v>83.73</v>
      </c>
      <c r="N887" s="3">
        <f>Raw_Data!N887</f>
        <v>34.590000000000003</v>
      </c>
      <c r="O887" t="str">
        <f t="shared" si="39"/>
        <v>2025-11</v>
      </c>
      <c r="P887" s="5">
        <f t="shared" si="40"/>
        <v>0.29234279918864103</v>
      </c>
      <c r="Q887" s="3">
        <f t="shared" si="41"/>
        <v>118.32</v>
      </c>
    </row>
    <row r="888" spans="1:17" x14ac:dyDescent="0.35">
      <c r="A888" t="str">
        <f>Raw_Data!A888</f>
        <v>ORD-0057</v>
      </c>
      <c r="B888" s="2">
        <f>Raw_Data!B888</f>
        <v>45991</v>
      </c>
      <c r="C888" t="str">
        <f>Raw_Data!C888</f>
        <v>South</v>
      </c>
      <c r="D888" t="str">
        <f>Raw_Data!D888</f>
        <v>Hyderabad</v>
      </c>
      <c r="E888" t="str">
        <f>Raw_Data!E888</f>
        <v>Technology</v>
      </c>
      <c r="F888" t="str">
        <f>Raw_Data!F888</f>
        <v>Wireless Mouse</v>
      </c>
      <c r="G888" t="str">
        <f>Raw_Data!G888</f>
        <v>Consumer</v>
      </c>
      <c r="H888" t="str">
        <f>Raw_Data!H888</f>
        <v>In-Store</v>
      </c>
      <c r="I888">
        <f>Raw_Data!I888</f>
        <v>4</v>
      </c>
      <c r="J888" s="3">
        <f>Raw_Data!J888</f>
        <v>16.559999999999999</v>
      </c>
      <c r="K888" s="4">
        <f>Raw_Data!K888</f>
        <v>0</v>
      </c>
      <c r="L888" s="3">
        <f>Raw_Data!L888</f>
        <v>66.239999999999995</v>
      </c>
      <c r="M888" s="3">
        <f>Raw_Data!M888</f>
        <v>44.14</v>
      </c>
      <c r="N888" s="3">
        <f>Raw_Data!N888</f>
        <v>22.1</v>
      </c>
      <c r="O888" t="str">
        <f t="shared" si="39"/>
        <v>2025-11</v>
      </c>
      <c r="P888" s="5">
        <f t="shared" si="40"/>
        <v>0.33363526570048313</v>
      </c>
      <c r="Q888" s="3">
        <f t="shared" si="41"/>
        <v>66.239999999999995</v>
      </c>
    </row>
    <row r="889" spans="1:17" x14ac:dyDescent="0.35">
      <c r="A889" t="str">
        <f>Raw_Data!A889</f>
        <v>ORD-0247</v>
      </c>
      <c r="B889" s="2">
        <f>Raw_Data!B889</f>
        <v>45991</v>
      </c>
      <c r="C889" t="str">
        <f>Raw_Data!C889</f>
        <v>South</v>
      </c>
      <c r="D889" t="str">
        <f>Raw_Data!D889</f>
        <v>Chennai</v>
      </c>
      <c r="E889" t="str">
        <f>Raw_Data!E889</f>
        <v>Office Supplies</v>
      </c>
      <c r="F889" t="str">
        <f>Raw_Data!F889</f>
        <v>Desk Organizer</v>
      </c>
      <c r="G889" t="str">
        <f>Raw_Data!G889</f>
        <v>Small Business</v>
      </c>
      <c r="H889" t="str">
        <f>Raw_Data!H889</f>
        <v>In-Store</v>
      </c>
      <c r="I889">
        <f>Raw_Data!I889</f>
        <v>6</v>
      </c>
      <c r="J889" s="3">
        <f>Raw_Data!J889</f>
        <v>22.28</v>
      </c>
      <c r="K889" s="4">
        <f>Raw_Data!K889</f>
        <v>0</v>
      </c>
      <c r="L889" s="3">
        <f>Raw_Data!L889</f>
        <v>133.68</v>
      </c>
      <c r="M889" s="3">
        <f>Raw_Data!M889</f>
        <v>83.38</v>
      </c>
      <c r="N889" s="3">
        <f>Raw_Data!N889</f>
        <v>50.3</v>
      </c>
      <c r="O889" t="str">
        <f t="shared" si="39"/>
        <v>2025-11</v>
      </c>
      <c r="P889" s="5">
        <f t="shared" si="40"/>
        <v>0.37627169359664869</v>
      </c>
      <c r="Q889" s="3">
        <f t="shared" si="41"/>
        <v>133.68</v>
      </c>
    </row>
    <row r="890" spans="1:17" x14ac:dyDescent="0.35">
      <c r="A890" t="str">
        <f>Raw_Data!A890</f>
        <v>ORD-0895</v>
      </c>
      <c r="B890" s="2">
        <f>Raw_Data!B890</f>
        <v>45991</v>
      </c>
      <c r="C890" t="str">
        <f>Raw_Data!C890</f>
        <v>South</v>
      </c>
      <c r="D890" t="str">
        <f>Raw_Data!D890</f>
        <v>Hyderabad</v>
      </c>
      <c r="E890" t="str">
        <f>Raw_Data!E890</f>
        <v>Technology</v>
      </c>
      <c r="F890" t="str">
        <f>Raw_Data!F890</f>
        <v>Headphones</v>
      </c>
      <c r="G890" t="str">
        <f>Raw_Data!G890</f>
        <v>Small Business</v>
      </c>
      <c r="H890" t="str">
        <f>Raw_Data!H890</f>
        <v>In-Store</v>
      </c>
      <c r="I890">
        <f>Raw_Data!I890</f>
        <v>12</v>
      </c>
      <c r="J890" s="3">
        <f>Raw_Data!J890</f>
        <v>63.23</v>
      </c>
      <c r="K890" s="4">
        <f>Raw_Data!K890</f>
        <v>0</v>
      </c>
      <c r="L890" s="3">
        <f>Raw_Data!L890</f>
        <v>758.76</v>
      </c>
      <c r="M890" s="3">
        <f>Raw_Data!M890</f>
        <v>518.61</v>
      </c>
      <c r="N890" s="3">
        <f>Raw_Data!N890</f>
        <v>240.15</v>
      </c>
      <c r="O890" t="str">
        <f t="shared" si="39"/>
        <v>2025-11</v>
      </c>
      <c r="P890" s="5">
        <f t="shared" si="40"/>
        <v>0.31650324213189945</v>
      </c>
      <c r="Q890" s="3">
        <f t="shared" si="41"/>
        <v>758.76</v>
      </c>
    </row>
    <row r="891" spans="1:17" x14ac:dyDescent="0.35">
      <c r="A891" t="str">
        <f>Raw_Data!A891</f>
        <v>ORD-0605</v>
      </c>
      <c r="B891" s="2">
        <f>Raw_Data!B891</f>
        <v>45992</v>
      </c>
      <c r="C891" t="str">
        <f>Raw_Data!C891</f>
        <v>South</v>
      </c>
      <c r="D891" t="str">
        <f>Raw_Data!D891</f>
        <v>Bengaluru</v>
      </c>
      <c r="E891" t="str">
        <f>Raw_Data!E891</f>
        <v>Home &amp; Kitchen</v>
      </c>
      <c r="F891" t="str">
        <f>Raw_Data!F891</f>
        <v>Storage Box</v>
      </c>
      <c r="G891" t="str">
        <f>Raw_Data!G891</f>
        <v>Small Business</v>
      </c>
      <c r="H891" t="str">
        <f>Raw_Data!H891</f>
        <v>Marketplace</v>
      </c>
      <c r="I891">
        <f>Raw_Data!I891</f>
        <v>12</v>
      </c>
      <c r="J891" s="3">
        <f>Raw_Data!J891</f>
        <v>14.74</v>
      </c>
      <c r="K891" s="4">
        <f>Raw_Data!K891</f>
        <v>0</v>
      </c>
      <c r="L891" s="3">
        <f>Raw_Data!L891</f>
        <v>176.88</v>
      </c>
      <c r="M891" s="3">
        <f>Raw_Data!M891</f>
        <v>86.86</v>
      </c>
      <c r="N891" s="3">
        <f>Raw_Data!N891</f>
        <v>90.02</v>
      </c>
      <c r="O891" t="str">
        <f t="shared" si="39"/>
        <v>2025-12</v>
      </c>
      <c r="P891" s="5">
        <f t="shared" si="40"/>
        <v>0.50893260967887832</v>
      </c>
      <c r="Q891" s="3">
        <f t="shared" si="41"/>
        <v>176.88</v>
      </c>
    </row>
    <row r="892" spans="1:17" x14ac:dyDescent="0.35">
      <c r="A892" t="str">
        <f>Raw_Data!A892</f>
        <v>ORD-0341</v>
      </c>
      <c r="B892" s="2">
        <f>Raw_Data!B892</f>
        <v>45993</v>
      </c>
      <c r="C892" t="str">
        <f>Raw_Data!C892</f>
        <v>West</v>
      </c>
      <c r="D892" t="str">
        <f>Raw_Data!D892</f>
        <v>Pune</v>
      </c>
      <c r="E892" t="str">
        <f>Raw_Data!E892</f>
        <v>Home &amp; Kitchen</v>
      </c>
      <c r="F892" t="str">
        <f>Raw_Data!F892</f>
        <v>Lunch Box</v>
      </c>
      <c r="G892" t="str">
        <f>Raw_Data!G892</f>
        <v>Consumer</v>
      </c>
      <c r="H892" t="str">
        <f>Raw_Data!H892</f>
        <v>In-Store</v>
      </c>
      <c r="I892">
        <f>Raw_Data!I892</f>
        <v>1</v>
      </c>
      <c r="J892" s="3">
        <f>Raw_Data!J892</f>
        <v>18.21</v>
      </c>
      <c r="K892" s="4">
        <f>Raw_Data!K892</f>
        <v>0.1</v>
      </c>
      <c r="L892" s="3">
        <f>Raw_Data!L892</f>
        <v>16.39</v>
      </c>
      <c r="M892" s="3">
        <f>Raw_Data!M892</f>
        <v>9.5299999999999994</v>
      </c>
      <c r="N892" s="3">
        <f>Raw_Data!N892</f>
        <v>6.86</v>
      </c>
      <c r="O892" t="str">
        <f t="shared" si="39"/>
        <v>2025-12</v>
      </c>
      <c r="P892" s="5">
        <f t="shared" si="40"/>
        <v>0.41854789505796219</v>
      </c>
      <c r="Q892" s="3">
        <f t="shared" si="41"/>
        <v>16.39</v>
      </c>
    </row>
    <row r="893" spans="1:17" x14ac:dyDescent="0.35">
      <c r="A893" t="str">
        <f>Raw_Data!A893</f>
        <v>ORD-0296</v>
      </c>
      <c r="B893" s="2">
        <f>Raw_Data!B893</f>
        <v>45993</v>
      </c>
      <c r="C893" t="str">
        <f>Raw_Data!C893</f>
        <v>North</v>
      </c>
      <c r="D893" t="str">
        <f>Raw_Data!D893</f>
        <v>Delhi</v>
      </c>
      <c r="E893" t="str">
        <f>Raw_Data!E893</f>
        <v>Home &amp; Kitchen</v>
      </c>
      <c r="F893" t="str">
        <f>Raw_Data!F893</f>
        <v>Storage Box</v>
      </c>
      <c r="G893" t="str">
        <f>Raw_Data!G893</f>
        <v>Corporate</v>
      </c>
      <c r="H893" t="str">
        <f>Raw_Data!H893</f>
        <v>In-Store</v>
      </c>
      <c r="I893">
        <f>Raw_Data!I893</f>
        <v>6</v>
      </c>
      <c r="J893" s="3">
        <f>Raw_Data!J893</f>
        <v>13.12</v>
      </c>
      <c r="K893" s="4">
        <f>Raw_Data!K893</f>
        <v>0.05</v>
      </c>
      <c r="L893" s="3">
        <f>Raw_Data!L893</f>
        <v>74.78</v>
      </c>
      <c r="M893" s="3">
        <f>Raw_Data!M893</f>
        <v>44.19</v>
      </c>
      <c r="N893" s="3">
        <f>Raw_Data!N893</f>
        <v>30.59</v>
      </c>
      <c r="O893" t="str">
        <f t="shared" si="39"/>
        <v>2025-12</v>
      </c>
      <c r="P893" s="5">
        <f t="shared" si="40"/>
        <v>0.40906659534634926</v>
      </c>
      <c r="Q893" s="3">
        <f t="shared" si="41"/>
        <v>74.78</v>
      </c>
    </row>
    <row r="894" spans="1:17" x14ac:dyDescent="0.35">
      <c r="A894" t="str">
        <f>Raw_Data!A894</f>
        <v>ORD-0512</v>
      </c>
      <c r="B894" s="2">
        <f>Raw_Data!B894</f>
        <v>45993</v>
      </c>
      <c r="C894" t="str">
        <f>Raw_Data!C894</f>
        <v>West</v>
      </c>
      <c r="D894" t="str">
        <f>Raw_Data!D894</f>
        <v>Pune</v>
      </c>
      <c r="E894" t="str">
        <f>Raw_Data!E894</f>
        <v>Technology</v>
      </c>
      <c r="F894" t="str">
        <f>Raw_Data!F894</f>
        <v>Headphones</v>
      </c>
      <c r="G894" t="str">
        <f>Raw_Data!G894</f>
        <v>Corporate</v>
      </c>
      <c r="H894" t="str">
        <f>Raw_Data!H894</f>
        <v>Online</v>
      </c>
      <c r="I894">
        <f>Raw_Data!I894</f>
        <v>3</v>
      </c>
      <c r="J894" s="3">
        <f>Raw_Data!J894</f>
        <v>65.760000000000005</v>
      </c>
      <c r="K894" s="4">
        <f>Raw_Data!K894</f>
        <v>0.15</v>
      </c>
      <c r="L894" s="3">
        <f>Raw_Data!L894</f>
        <v>167.69</v>
      </c>
      <c r="M894" s="3">
        <f>Raw_Data!M894</f>
        <v>143.32</v>
      </c>
      <c r="N894" s="3">
        <f>Raw_Data!N894</f>
        <v>24.37</v>
      </c>
      <c r="O894" t="str">
        <f t="shared" si="39"/>
        <v>2025-12</v>
      </c>
      <c r="P894" s="5">
        <f t="shared" si="40"/>
        <v>0.14532768799570636</v>
      </c>
      <c r="Q894" s="3">
        <f t="shared" si="41"/>
        <v>167.69</v>
      </c>
    </row>
    <row r="895" spans="1:17" x14ac:dyDescent="0.35">
      <c r="A895" t="str">
        <f>Raw_Data!A895</f>
        <v>ORD-0439</v>
      </c>
      <c r="B895" s="2">
        <f>Raw_Data!B895</f>
        <v>45993</v>
      </c>
      <c r="C895" t="str">
        <f>Raw_Data!C895</f>
        <v>East</v>
      </c>
      <c r="D895" t="str">
        <f>Raw_Data!D895</f>
        <v>Bhubaneswar</v>
      </c>
      <c r="E895" t="str">
        <f>Raw_Data!E895</f>
        <v>Office Supplies</v>
      </c>
      <c r="F895" t="str">
        <f>Raw_Data!F895</f>
        <v>Desk Organizer</v>
      </c>
      <c r="G895" t="str">
        <f>Raw_Data!G895</f>
        <v>Small Business</v>
      </c>
      <c r="H895" t="str">
        <f>Raw_Data!H895</f>
        <v>Marketplace</v>
      </c>
      <c r="I895">
        <f>Raw_Data!I895</f>
        <v>7</v>
      </c>
      <c r="J895" s="3">
        <f>Raw_Data!J895</f>
        <v>20.51</v>
      </c>
      <c r="K895" s="4">
        <f>Raw_Data!K895</f>
        <v>0</v>
      </c>
      <c r="L895" s="3">
        <f>Raw_Data!L895</f>
        <v>143.57</v>
      </c>
      <c r="M895" s="3">
        <f>Raw_Data!M895</f>
        <v>87.26</v>
      </c>
      <c r="N895" s="3">
        <f>Raw_Data!N895</f>
        <v>56.31</v>
      </c>
      <c r="O895" t="str">
        <f t="shared" si="39"/>
        <v>2025-12</v>
      </c>
      <c r="P895" s="5">
        <f t="shared" si="40"/>
        <v>0.39221285783938153</v>
      </c>
      <c r="Q895" s="3">
        <f t="shared" si="41"/>
        <v>143.57</v>
      </c>
    </row>
    <row r="896" spans="1:17" x14ac:dyDescent="0.35">
      <c r="A896" t="str">
        <f>Raw_Data!A896</f>
        <v>ORD-0379</v>
      </c>
      <c r="B896" s="2">
        <f>Raw_Data!B896</f>
        <v>45993</v>
      </c>
      <c r="C896" t="str">
        <f>Raw_Data!C896</f>
        <v>South</v>
      </c>
      <c r="D896" t="str">
        <f>Raw_Data!D896</f>
        <v>Hyderabad</v>
      </c>
      <c r="E896" t="str">
        <f>Raw_Data!E896</f>
        <v>Furniture</v>
      </c>
      <c r="F896" t="str">
        <f>Raw_Data!F896</f>
        <v>Office Chair</v>
      </c>
      <c r="G896" t="str">
        <f>Raw_Data!G896</f>
        <v>Corporate</v>
      </c>
      <c r="H896" t="str">
        <f>Raw_Data!H896</f>
        <v>In-Store</v>
      </c>
      <c r="I896">
        <f>Raw_Data!I896</f>
        <v>12</v>
      </c>
      <c r="J896" s="3">
        <f>Raw_Data!J896</f>
        <v>167.32</v>
      </c>
      <c r="K896" s="4">
        <f>Raw_Data!K896</f>
        <v>0.15</v>
      </c>
      <c r="L896" s="3">
        <f>Raw_Data!L896</f>
        <v>1706.66</v>
      </c>
      <c r="M896" s="3">
        <f>Raw_Data!M896</f>
        <v>1426.09</v>
      </c>
      <c r="N896" s="3">
        <f>Raw_Data!N896</f>
        <v>280.57</v>
      </c>
      <c r="O896" t="str">
        <f t="shared" si="39"/>
        <v>2025-12</v>
      </c>
      <c r="P896" s="5">
        <f t="shared" si="40"/>
        <v>0.16439712655127559</v>
      </c>
      <c r="Q896" s="3">
        <f t="shared" si="41"/>
        <v>1706.66</v>
      </c>
    </row>
    <row r="897" spans="1:17" x14ac:dyDescent="0.35">
      <c r="A897" t="str">
        <f>Raw_Data!A897</f>
        <v>ORD-0813</v>
      </c>
      <c r="B897" s="2">
        <f>Raw_Data!B897</f>
        <v>45993</v>
      </c>
      <c r="C897" t="str">
        <f>Raw_Data!C897</f>
        <v>East</v>
      </c>
      <c r="D897" t="str">
        <f>Raw_Data!D897</f>
        <v>Guwahati</v>
      </c>
      <c r="E897" t="str">
        <f>Raw_Data!E897</f>
        <v>Technology</v>
      </c>
      <c r="F897" t="str">
        <f>Raw_Data!F897</f>
        <v>Headphones</v>
      </c>
      <c r="G897" t="str">
        <f>Raw_Data!G897</f>
        <v>Corporate</v>
      </c>
      <c r="H897" t="str">
        <f>Raw_Data!H897</f>
        <v>Online</v>
      </c>
      <c r="I897">
        <f>Raw_Data!I897</f>
        <v>4</v>
      </c>
      <c r="J897" s="3">
        <f>Raw_Data!J897</f>
        <v>52.62</v>
      </c>
      <c r="K897" s="4">
        <f>Raw_Data!K897</f>
        <v>0</v>
      </c>
      <c r="L897" s="3">
        <f>Raw_Data!L897</f>
        <v>210.48</v>
      </c>
      <c r="M897" s="3">
        <f>Raw_Data!M897</f>
        <v>124.37</v>
      </c>
      <c r="N897" s="3">
        <f>Raw_Data!N897</f>
        <v>86.11</v>
      </c>
      <c r="O897" t="str">
        <f t="shared" si="39"/>
        <v>2025-12</v>
      </c>
      <c r="P897" s="5">
        <f t="shared" si="40"/>
        <v>0.40911250475104527</v>
      </c>
      <c r="Q897" s="3">
        <f t="shared" si="41"/>
        <v>210.48</v>
      </c>
    </row>
    <row r="898" spans="1:17" x14ac:dyDescent="0.35">
      <c r="A898" t="str">
        <f>Raw_Data!A898</f>
        <v>ORD-0159</v>
      </c>
      <c r="B898" s="2">
        <f>Raw_Data!B898</f>
        <v>45993</v>
      </c>
      <c r="C898" t="str">
        <f>Raw_Data!C898</f>
        <v>West</v>
      </c>
      <c r="D898" t="str">
        <f>Raw_Data!D898</f>
        <v>Mumbai</v>
      </c>
      <c r="E898" t="str">
        <f>Raw_Data!E898</f>
        <v>Furniture</v>
      </c>
      <c r="F898" t="str">
        <f>Raw_Data!F898</f>
        <v>Bookshelf</v>
      </c>
      <c r="G898" t="str">
        <f>Raw_Data!G898</f>
        <v>Small Business</v>
      </c>
      <c r="H898" t="str">
        <f>Raw_Data!H898</f>
        <v>In-Store</v>
      </c>
      <c r="I898">
        <f>Raw_Data!I898</f>
        <v>2</v>
      </c>
      <c r="J898" s="3">
        <f>Raw_Data!J898</f>
        <v>124.27</v>
      </c>
      <c r="K898" s="4">
        <f>Raw_Data!K898</f>
        <v>0.1</v>
      </c>
      <c r="L898" s="3">
        <f>Raw_Data!L898</f>
        <v>223.69</v>
      </c>
      <c r="M898" s="3">
        <f>Raw_Data!M898</f>
        <v>185.62</v>
      </c>
      <c r="N898" s="3">
        <f>Raw_Data!N898</f>
        <v>38.07</v>
      </c>
      <c r="O898" t="str">
        <f t="shared" ref="O898:O961" si="42">TEXT(B898,"yyyy-mm")</f>
        <v>2025-12</v>
      </c>
      <c r="P898" s="5">
        <f t="shared" ref="P898:P961" si="43">IFERROR(N898/L898,0)</f>
        <v>0.17019088917698602</v>
      </c>
      <c r="Q898" s="3">
        <f t="shared" ref="Q898:Q961" si="44">IFERROR(L898,0)</f>
        <v>223.69</v>
      </c>
    </row>
    <row r="899" spans="1:17" x14ac:dyDescent="0.35">
      <c r="A899" t="str">
        <f>Raw_Data!A899</f>
        <v>ORD-0894</v>
      </c>
      <c r="B899" s="2">
        <f>Raw_Data!B899</f>
        <v>45993</v>
      </c>
      <c r="C899" t="str">
        <f>Raw_Data!C899</f>
        <v>South</v>
      </c>
      <c r="D899" t="str">
        <f>Raw_Data!D899</f>
        <v>Bengaluru</v>
      </c>
      <c r="E899" t="str">
        <f>Raw_Data!E899</f>
        <v>Office Supplies</v>
      </c>
      <c r="F899" t="str">
        <f>Raw_Data!F899</f>
        <v>Pen Set</v>
      </c>
      <c r="G899" t="str">
        <f>Raw_Data!G899</f>
        <v>Consumer</v>
      </c>
      <c r="H899" t="str">
        <f>Raw_Data!H899</f>
        <v>Marketplace</v>
      </c>
      <c r="I899">
        <f>Raw_Data!I899</f>
        <v>8</v>
      </c>
      <c r="J899" s="3">
        <f>Raw_Data!J899</f>
        <v>8.75</v>
      </c>
      <c r="K899" s="4">
        <f>Raw_Data!K899</f>
        <v>0.05</v>
      </c>
      <c r="L899" s="3">
        <f>Raw_Data!L899</f>
        <v>66.5</v>
      </c>
      <c r="M899" s="3">
        <f>Raw_Data!M899</f>
        <v>52.44</v>
      </c>
      <c r="N899" s="3">
        <f>Raw_Data!N899</f>
        <v>14.06</v>
      </c>
      <c r="O899" t="str">
        <f t="shared" si="42"/>
        <v>2025-12</v>
      </c>
      <c r="P899" s="5">
        <f t="shared" si="43"/>
        <v>0.21142857142857144</v>
      </c>
      <c r="Q899" s="3">
        <f t="shared" si="44"/>
        <v>66.5</v>
      </c>
    </row>
    <row r="900" spans="1:17" x14ac:dyDescent="0.35">
      <c r="A900" t="str">
        <f>Raw_Data!A900</f>
        <v>ORD-0637</v>
      </c>
      <c r="B900" s="2">
        <f>Raw_Data!B900</f>
        <v>45993</v>
      </c>
      <c r="C900" t="str">
        <f>Raw_Data!C900</f>
        <v>West</v>
      </c>
      <c r="D900" t="str">
        <f>Raw_Data!D900</f>
        <v>Ahmedabad</v>
      </c>
      <c r="E900" t="str">
        <f>Raw_Data!E900</f>
        <v>Furniture</v>
      </c>
      <c r="F900" t="str">
        <f>Raw_Data!F900</f>
        <v>Standing Desk</v>
      </c>
      <c r="G900" t="str">
        <f>Raw_Data!G900</f>
        <v>Small Business</v>
      </c>
      <c r="H900" t="str">
        <f>Raw_Data!H900</f>
        <v>In-Store</v>
      </c>
      <c r="I900">
        <f>Raw_Data!I900</f>
        <v>10</v>
      </c>
      <c r="J900" s="3">
        <f>Raw_Data!J900</f>
        <v>281.58999999999997</v>
      </c>
      <c r="K900" s="4">
        <f>Raw_Data!K900</f>
        <v>0.15</v>
      </c>
      <c r="L900" s="3">
        <f>Raw_Data!L900</f>
        <v>2393.5100000000002</v>
      </c>
      <c r="M900" s="3">
        <f>Raw_Data!M900</f>
        <v>2062.85</v>
      </c>
      <c r="N900" s="3">
        <f>Raw_Data!N900</f>
        <v>330.66</v>
      </c>
      <c r="O900" t="str">
        <f t="shared" si="42"/>
        <v>2025-12</v>
      </c>
      <c r="P900" s="5">
        <f t="shared" si="43"/>
        <v>0.13814857677636608</v>
      </c>
      <c r="Q900" s="3">
        <f t="shared" si="44"/>
        <v>2393.5100000000002</v>
      </c>
    </row>
    <row r="901" spans="1:17" x14ac:dyDescent="0.35">
      <c r="A901" t="str">
        <f>Raw_Data!A901</f>
        <v>ORD-0117</v>
      </c>
      <c r="B901" s="2">
        <f>Raw_Data!B901</f>
        <v>45993</v>
      </c>
      <c r="C901" t="str">
        <f>Raw_Data!C901</f>
        <v>West</v>
      </c>
      <c r="D901" t="str">
        <f>Raw_Data!D901</f>
        <v>Ahmedabad</v>
      </c>
      <c r="E901" t="str">
        <f>Raw_Data!E901</f>
        <v>Office Supplies</v>
      </c>
      <c r="F901" t="str">
        <f>Raw_Data!F901</f>
        <v>Printer Paper</v>
      </c>
      <c r="G901" t="str">
        <f>Raw_Data!G901</f>
        <v>Small Business</v>
      </c>
      <c r="H901" t="str">
        <f>Raw_Data!H901</f>
        <v>In-Store</v>
      </c>
      <c r="I901">
        <f>Raw_Data!I901</f>
        <v>8</v>
      </c>
      <c r="J901" s="3">
        <f>Raw_Data!J901</f>
        <v>17.41</v>
      </c>
      <c r="K901" s="4">
        <f>Raw_Data!K901</f>
        <v>0.1</v>
      </c>
      <c r="L901" s="3">
        <f>Raw_Data!L901</f>
        <v>125.35</v>
      </c>
      <c r="M901" s="3">
        <f>Raw_Data!M901</f>
        <v>81.02</v>
      </c>
      <c r="N901" s="3">
        <f>Raw_Data!N901</f>
        <v>44.33</v>
      </c>
      <c r="O901" t="str">
        <f t="shared" si="42"/>
        <v>2025-12</v>
      </c>
      <c r="P901" s="5">
        <f t="shared" si="43"/>
        <v>0.35364978061428004</v>
      </c>
      <c r="Q901" s="3">
        <f t="shared" si="44"/>
        <v>125.35</v>
      </c>
    </row>
    <row r="902" spans="1:17" x14ac:dyDescent="0.35">
      <c r="A902" t="str">
        <f>Raw_Data!A902</f>
        <v>ORD-0417</v>
      </c>
      <c r="B902" s="2">
        <f>Raw_Data!B902</f>
        <v>45993</v>
      </c>
      <c r="C902" t="str">
        <f>Raw_Data!C902</f>
        <v>West</v>
      </c>
      <c r="D902" t="str">
        <f>Raw_Data!D902</f>
        <v>Ahmedabad</v>
      </c>
      <c r="E902" t="str">
        <f>Raw_Data!E902</f>
        <v>Office Supplies</v>
      </c>
      <c r="F902" t="str">
        <f>Raw_Data!F902</f>
        <v>Notebook Pack</v>
      </c>
      <c r="G902" t="str">
        <f>Raw_Data!G902</f>
        <v>Small Business</v>
      </c>
      <c r="H902" t="str">
        <f>Raw_Data!H902</f>
        <v>Marketplace</v>
      </c>
      <c r="I902">
        <f>Raw_Data!I902</f>
        <v>5</v>
      </c>
      <c r="J902" s="3">
        <f>Raw_Data!J902</f>
        <v>12.8</v>
      </c>
      <c r="K902" s="4">
        <f>Raw_Data!K902</f>
        <v>0</v>
      </c>
      <c r="L902" s="3">
        <f>Raw_Data!L902</f>
        <v>64</v>
      </c>
      <c r="M902" s="3">
        <f>Raw_Data!M902</f>
        <v>36.82</v>
      </c>
      <c r="N902" s="3">
        <f>Raw_Data!N902</f>
        <v>27.18</v>
      </c>
      <c r="O902" t="str">
        <f t="shared" si="42"/>
        <v>2025-12</v>
      </c>
      <c r="P902" s="5">
        <f t="shared" si="43"/>
        <v>0.4246875</v>
      </c>
      <c r="Q902" s="3">
        <f t="shared" si="44"/>
        <v>64</v>
      </c>
    </row>
    <row r="903" spans="1:17" x14ac:dyDescent="0.35">
      <c r="A903" t="str">
        <f>Raw_Data!A903</f>
        <v>ORD-0356</v>
      </c>
      <c r="B903" s="2">
        <f>Raw_Data!B903</f>
        <v>45994</v>
      </c>
      <c r="C903" t="str">
        <f>Raw_Data!C903</f>
        <v>South</v>
      </c>
      <c r="D903" t="str">
        <f>Raw_Data!D903</f>
        <v>Hyderabad</v>
      </c>
      <c r="E903" t="str">
        <f>Raw_Data!E903</f>
        <v>Office Supplies</v>
      </c>
      <c r="F903" t="str">
        <f>Raw_Data!F903</f>
        <v>Desk Organizer</v>
      </c>
      <c r="G903" t="str">
        <f>Raw_Data!G903</f>
        <v>Corporate</v>
      </c>
      <c r="H903" t="str">
        <f>Raw_Data!H903</f>
        <v>In-Store</v>
      </c>
      <c r="I903">
        <f>Raw_Data!I903</f>
        <v>2</v>
      </c>
      <c r="J903" s="3">
        <f>Raw_Data!J903</f>
        <v>21.31</v>
      </c>
      <c r="K903" s="4">
        <f>Raw_Data!K903</f>
        <v>0.05</v>
      </c>
      <c r="L903" s="3">
        <f>Raw_Data!L903</f>
        <v>40.49</v>
      </c>
      <c r="M903" s="3">
        <f>Raw_Data!M903</f>
        <v>29.73</v>
      </c>
      <c r="N903" s="3">
        <f>Raw_Data!N903</f>
        <v>10.76</v>
      </c>
      <c r="O903" t="str">
        <f t="shared" si="42"/>
        <v>2025-12</v>
      </c>
      <c r="P903" s="5">
        <f t="shared" si="43"/>
        <v>0.26574462830328477</v>
      </c>
      <c r="Q903" s="3">
        <f t="shared" si="44"/>
        <v>40.49</v>
      </c>
    </row>
    <row r="904" spans="1:17" x14ac:dyDescent="0.35">
      <c r="A904" t="str">
        <f>Raw_Data!A904</f>
        <v>ORD-0291</v>
      </c>
      <c r="B904" s="2">
        <f>Raw_Data!B904</f>
        <v>45994</v>
      </c>
      <c r="C904" t="str">
        <f>Raw_Data!C904</f>
        <v>East</v>
      </c>
      <c r="D904" t="str">
        <f>Raw_Data!D904</f>
        <v>Guwahati</v>
      </c>
      <c r="E904" t="str">
        <f>Raw_Data!E904</f>
        <v>Office Supplies</v>
      </c>
      <c r="F904" t="str">
        <f>Raw_Data!F904</f>
        <v>Notebook Pack</v>
      </c>
      <c r="G904" t="str">
        <f>Raw_Data!G904</f>
        <v>Corporate</v>
      </c>
      <c r="H904" t="str">
        <f>Raw_Data!H904</f>
        <v>Marketplace</v>
      </c>
      <c r="I904">
        <f>Raw_Data!I904</f>
        <v>1</v>
      </c>
      <c r="J904" s="3">
        <f>Raw_Data!J904</f>
        <v>13.17</v>
      </c>
      <c r="K904" s="4">
        <f>Raw_Data!K904</f>
        <v>0</v>
      </c>
      <c r="L904" s="3">
        <f>Raw_Data!L904</f>
        <v>13.17</v>
      </c>
      <c r="M904" s="3">
        <f>Raw_Data!M904</f>
        <v>6.97</v>
      </c>
      <c r="N904" s="3">
        <f>Raw_Data!N904</f>
        <v>6.2</v>
      </c>
      <c r="O904" t="str">
        <f t="shared" si="42"/>
        <v>2025-12</v>
      </c>
      <c r="P904" s="5">
        <f t="shared" si="43"/>
        <v>0.47076689445709946</v>
      </c>
      <c r="Q904" s="3">
        <f t="shared" si="44"/>
        <v>13.17</v>
      </c>
    </row>
    <row r="905" spans="1:17" x14ac:dyDescent="0.35">
      <c r="A905" t="str">
        <f>Raw_Data!A905</f>
        <v>ORD-0910</v>
      </c>
      <c r="B905" s="2">
        <f>Raw_Data!B905</f>
        <v>45994</v>
      </c>
      <c r="C905" t="str">
        <f>Raw_Data!C905</f>
        <v>South</v>
      </c>
      <c r="D905" t="str">
        <f>Raw_Data!D905</f>
        <v>Bengaluru</v>
      </c>
      <c r="E905" t="str">
        <f>Raw_Data!E905</f>
        <v>Office Supplies</v>
      </c>
      <c r="F905" t="str">
        <f>Raw_Data!F905</f>
        <v>Printer Paper</v>
      </c>
      <c r="G905" t="str">
        <f>Raw_Data!G905</f>
        <v>Consumer</v>
      </c>
      <c r="H905" t="str">
        <f>Raw_Data!H905</f>
        <v>In-Store</v>
      </c>
      <c r="I905">
        <f>Raw_Data!I905</f>
        <v>3</v>
      </c>
      <c r="J905" s="3">
        <f>Raw_Data!J905</f>
        <v>14.41</v>
      </c>
      <c r="K905" s="4">
        <f>Raw_Data!K905</f>
        <v>0.1</v>
      </c>
      <c r="L905" s="3">
        <f>Raw_Data!L905</f>
        <v>38.909999999999997</v>
      </c>
      <c r="M905" s="3">
        <f>Raw_Data!M905</f>
        <v>25.66</v>
      </c>
      <c r="N905" s="3">
        <f>Raw_Data!N905</f>
        <v>13.25</v>
      </c>
      <c r="O905" t="str">
        <f t="shared" si="42"/>
        <v>2025-12</v>
      </c>
      <c r="P905" s="5">
        <f t="shared" si="43"/>
        <v>0.3405294268825495</v>
      </c>
      <c r="Q905" s="3">
        <f t="shared" si="44"/>
        <v>38.909999999999997</v>
      </c>
    </row>
    <row r="906" spans="1:17" x14ac:dyDescent="0.35">
      <c r="A906" t="str">
        <f>Raw_Data!A906</f>
        <v>ORD-0905</v>
      </c>
      <c r="B906" s="2">
        <f>Raw_Data!B906</f>
        <v>45994</v>
      </c>
      <c r="C906" t="str">
        <f>Raw_Data!C906</f>
        <v>East</v>
      </c>
      <c r="D906" t="str">
        <f>Raw_Data!D906</f>
        <v>Bhubaneswar</v>
      </c>
      <c r="E906" t="str">
        <f>Raw_Data!E906</f>
        <v>Technology</v>
      </c>
      <c r="F906" t="str">
        <f>Raw_Data!F906</f>
        <v>Keyboard</v>
      </c>
      <c r="G906" t="str">
        <f>Raw_Data!G906</f>
        <v>Corporate</v>
      </c>
      <c r="H906" t="str">
        <f>Raw_Data!H906</f>
        <v>Marketplace</v>
      </c>
      <c r="I906">
        <f>Raw_Data!I906</f>
        <v>5</v>
      </c>
      <c r="J906" s="3">
        <f>Raw_Data!J906</f>
        <v>27.72</v>
      </c>
      <c r="K906" s="4">
        <f>Raw_Data!K906</f>
        <v>0.15</v>
      </c>
      <c r="L906" s="3">
        <f>Raw_Data!L906</f>
        <v>117.81</v>
      </c>
      <c r="M906" s="3">
        <f>Raw_Data!M906</f>
        <v>104.14</v>
      </c>
      <c r="N906" s="3">
        <f>Raw_Data!N906</f>
        <v>13.67</v>
      </c>
      <c r="O906" t="str">
        <f t="shared" si="42"/>
        <v>2025-12</v>
      </c>
      <c r="P906" s="5">
        <f t="shared" si="43"/>
        <v>0.11603429250488073</v>
      </c>
      <c r="Q906" s="3">
        <f t="shared" si="44"/>
        <v>117.81</v>
      </c>
    </row>
    <row r="907" spans="1:17" x14ac:dyDescent="0.35">
      <c r="A907" t="str">
        <f>Raw_Data!A907</f>
        <v>ORD-0883</v>
      </c>
      <c r="B907" s="2">
        <f>Raw_Data!B907</f>
        <v>45995</v>
      </c>
      <c r="C907" t="str">
        <f>Raw_Data!C907</f>
        <v>East</v>
      </c>
      <c r="D907" t="str">
        <f>Raw_Data!D907</f>
        <v>Kolkata</v>
      </c>
      <c r="E907" t="str">
        <f>Raw_Data!E907</f>
        <v>Technology</v>
      </c>
      <c r="F907" t="str">
        <f>Raw_Data!F907</f>
        <v>Wireless Mouse</v>
      </c>
      <c r="G907" t="str">
        <f>Raw_Data!G907</f>
        <v>Small Business</v>
      </c>
      <c r="H907" t="str">
        <f>Raw_Data!H907</f>
        <v>In-Store</v>
      </c>
      <c r="I907">
        <f>Raw_Data!I907</f>
        <v>7</v>
      </c>
      <c r="J907" s="3">
        <f>Raw_Data!J907</f>
        <v>21.56</v>
      </c>
      <c r="K907" s="4">
        <f>Raw_Data!K907</f>
        <v>0</v>
      </c>
      <c r="L907" s="3">
        <f>Raw_Data!L907</f>
        <v>150.91999999999999</v>
      </c>
      <c r="M907" s="3">
        <f>Raw_Data!M907</f>
        <v>79.7</v>
      </c>
      <c r="N907" s="3">
        <f>Raw_Data!N907</f>
        <v>71.22</v>
      </c>
      <c r="O907" t="str">
        <f t="shared" si="42"/>
        <v>2025-12</v>
      </c>
      <c r="P907" s="5">
        <f t="shared" si="43"/>
        <v>0.47190564537503316</v>
      </c>
      <c r="Q907" s="3">
        <f t="shared" si="44"/>
        <v>150.91999999999999</v>
      </c>
    </row>
    <row r="908" spans="1:17" x14ac:dyDescent="0.35">
      <c r="A908" t="str">
        <f>Raw_Data!A908</f>
        <v>ORD-0099</v>
      </c>
      <c r="B908" s="2">
        <f>Raw_Data!B908</f>
        <v>45995</v>
      </c>
      <c r="C908" t="str">
        <f>Raw_Data!C908</f>
        <v>West</v>
      </c>
      <c r="D908" t="str">
        <f>Raw_Data!D908</f>
        <v>Ahmedabad</v>
      </c>
      <c r="E908" t="str">
        <f>Raw_Data!E908</f>
        <v>Home &amp; Kitchen</v>
      </c>
      <c r="F908" t="str">
        <f>Raw_Data!F908</f>
        <v>Coffee Maker</v>
      </c>
      <c r="G908" t="str">
        <f>Raw_Data!G908</f>
        <v>Small Business</v>
      </c>
      <c r="H908" t="str">
        <f>Raw_Data!H908</f>
        <v>Online</v>
      </c>
      <c r="I908">
        <f>Raw_Data!I908</f>
        <v>1</v>
      </c>
      <c r="J908" s="3">
        <f>Raw_Data!J908</f>
        <v>75.459999999999994</v>
      </c>
      <c r="K908" s="4">
        <f>Raw_Data!K908</f>
        <v>0</v>
      </c>
      <c r="L908" s="3">
        <f>Raw_Data!L908</f>
        <v>75.459999999999994</v>
      </c>
      <c r="M908" s="3">
        <f>Raw_Data!M908</f>
        <v>56.84</v>
      </c>
      <c r="N908" s="3">
        <f>Raw_Data!N908</f>
        <v>18.62</v>
      </c>
      <c r="O908" t="str">
        <f t="shared" si="42"/>
        <v>2025-12</v>
      </c>
      <c r="P908" s="5">
        <f t="shared" si="43"/>
        <v>0.24675324675324678</v>
      </c>
      <c r="Q908" s="3">
        <f t="shared" si="44"/>
        <v>75.459999999999994</v>
      </c>
    </row>
    <row r="909" spans="1:17" x14ac:dyDescent="0.35">
      <c r="A909" t="str">
        <f>Raw_Data!A909</f>
        <v>ORD-0678</v>
      </c>
      <c r="B909" s="2">
        <f>Raw_Data!B909</f>
        <v>45995</v>
      </c>
      <c r="C909" t="str">
        <f>Raw_Data!C909</f>
        <v>West</v>
      </c>
      <c r="D909" t="str">
        <f>Raw_Data!D909</f>
        <v>Ahmedabad</v>
      </c>
      <c r="E909" t="str">
        <f>Raw_Data!E909</f>
        <v>Furniture</v>
      </c>
      <c r="F909" t="str">
        <f>Raw_Data!F909</f>
        <v>Desk Lamp</v>
      </c>
      <c r="G909" t="str">
        <f>Raw_Data!G909</f>
        <v>Consumer</v>
      </c>
      <c r="H909" t="str">
        <f>Raw_Data!H909</f>
        <v>Marketplace</v>
      </c>
      <c r="I909">
        <f>Raw_Data!I909</f>
        <v>8</v>
      </c>
      <c r="J909" s="3">
        <f>Raw_Data!J909</f>
        <v>38.03</v>
      </c>
      <c r="K909" s="4">
        <f>Raw_Data!K909</f>
        <v>0.05</v>
      </c>
      <c r="L909" s="3">
        <f>Raw_Data!L909</f>
        <v>289.02999999999997</v>
      </c>
      <c r="M909" s="3">
        <f>Raw_Data!M909</f>
        <v>211.36</v>
      </c>
      <c r="N909" s="3">
        <f>Raw_Data!N909</f>
        <v>77.67</v>
      </c>
      <c r="O909" t="str">
        <f t="shared" si="42"/>
        <v>2025-12</v>
      </c>
      <c r="P909" s="5">
        <f t="shared" si="43"/>
        <v>0.26872642978237554</v>
      </c>
      <c r="Q909" s="3">
        <f t="shared" si="44"/>
        <v>289.02999999999997</v>
      </c>
    </row>
    <row r="910" spans="1:17" x14ac:dyDescent="0.35">
      <c r="A910" t="str">
        <f>Raw_Data!A910</f>
        <v>ORD-0756</v>
      </c>
      <c r="B910" s="2">
        <f>Raw_Data!B910</f>
        <v>45996</v>
      </c>
      <c r="C910" t="str">
        <f>Raw_Data!C910</f>
        <v>East</v>
      </c>
      <c r="D910" t="str">
        <f>Raw_Data!D910</f>
        <v>Bhubaneswar</v>
      </c>
      <c r="E910" t="str">
        <f>Raw_Data!E910</f>
        <v>Furniture</v>
      </c>
      <c r="F910" t="str">
        <f>Raw_Data!F910</f>
        <v>Standing Desk</v>
      </c>
      <c r="G910" t="str">
        <f>Raw_Data!G910</f>
        <v>Small Business</v>
      </c>
      <c r="H910" t="str">
        <f>Raw_Data!H910</f>
        <v>Online</v>
      </c>
      <c r="I910">
        <f>Raw_Data!I910</f>
        <v>7</v>
      </c>
      <c r="J910" s="3">
        <f>Raw_Data!J910</f>
        <v>301.61</v>
      </c>
      <c r="K910" s="4">
        <f>Raw_Data!K910</f>
        <v>0.15</v>
      </c>
      <c r="L910" s="3">
        <f>Raw_Data!L910</f>
        <v>1794.58</v>
      </c>
      <c r="M910" s="3">
        <f>Raw_Data!M910</f>
        <v>1566.7</v>
      </c>
      <c r="N910" s="3">
        <f>Raw_Data!N910</f>
        <v>227.88</v>
      </c>
      <c r="O910" t="str">
        <f t="shared" si="42"/>
        <v>2025-12</v>
      </c>
      <c r="P910" s="5">
        <f t="shared" si="43"/>
        <v>0.12698235798905594</v>
      </c>
      <c r="Q910" s="3">
        <f t="shared" si="44"/>
        <v>1794.58</v>
      </c>
    </row>
    <row r="911" spans="1:17" x14ac:dyDescent="0.35">
      <c r="A911" t="str">
        <f>Raw_Data!A911</f>
        <v>ORD-0412</v>
      </c>
      <c r="B911" s="2">
        <f>Raw_Data!B911</f>
        <v>45996</v>
      </c>
      <c r="C911" t="str">
        <f>Raw_Data!C911</f>
        <v>East</v>
      </c>
      <c r="D911" t="str">
        <f>Raw_Data!D911</f>
        <v>Bhubaneswar</v>
      </c>
      <c r="E911" t="str">
        <f>Raw_Data!E911</f>
        <v>Technology</v>
      </c>
      <c r="F911" t="str">
        <f>Raw_Data!F911</f>
        <v>USB Hub</v>
      </c>
      <c r="G911" t="str">
        <f>Raw_Data!G911</f>
        <v>Corporate</v>
      </c>
      <c r="H911" t="str">
        <f>Raw_Data!H911</f>
        <v>Online</v>
      </c>
      <c r="I911">
        <f>Raw_Data!I911</f>
        <v>3</v>
      </c>
      <c r="J911" s="3">
        <f>Raw_Data!J911</f>
        <v>24.88</v>
      </c>
      <c r="K911" s="4">
        <f>Raw_Data!K911</f>
        <v>0</v>
      </c>
      <c r="L911" s="3">
        <f>Raw_Data!L911</f>
        <v>74.64</v>
      </c>
      <c r="M911" s="3">
        <f>Raw_Data!M911</f>
        <v>52.55</v>
      </c>
      <c r="N911" s="3">
        <f>Raw_Data!N911</f>
        <v>22.09</v>
      </c>
      <c r="O911" t="str">
        <f t="shared" si="42"/>
        <v>2025-12</v>
      </c>
      <c r="P911" s="5">
        <f t="shared" si="43"/>
        <v>0.29595391211146838</v>
      </c>
      <c r="Q911" s="3">
        <f t="shared" si="44"/>
        <v>74.64</v>
      </c>
    </row>
    <row r="912" spans="1:17" x14ac:dyDescent="0.35">
      <c r="A912" t="str">
        <f>Raw_Data!A912</f>
        <v>ORD-0061</v>
      </c>
      <c r="B912" s="2">
        <f>Raw_Data!B912</f>
        <v>45996</v>
      </c>
      <c r="C912" t="str">
        <f>Raw_Data!C912</f>
        <v>West</v>
      </c>
      <c r="D912" t="str">
        <f>Raw_Data!D912</f>
        <v>Pune</v>
      </c>
      <c r="E912" t="str">
        <f>Raw_Data!E912</f>
        <v>Furniture</v>
      </c>
      <c r="F912" t="str">
        <f>Raw_Data!F912</f>
        <v>Office Chair</v>
      </c>
      <c r="G912" t="str">
        <f>Raw_Data!G912</f>
        <v>Consumer</v>
      </c>
      <c r="H912" t="str">
        <f>Raw_Data!H912</f>
        <v>In-Store</v>
      </c>
      <c r="I912">
        <f>Raw_Data!I912</f>
        <v>9</v>
      </c>
      <c r="J912" s="3">
        <f>Raw_Data!J912</f>
        <v>156.11000000000001</v>
      </c>
      <c r="K912" s="4">
        <f>Raw_Data!K912</f>
        <v>0</v>
      </c>
      <c r="L912" s="3">
        <f>Raw_Data!L912</f>
        <v>1404.99</v>
      </c>
      <c r="M912" s="3">
        <f>Raw_Data!M912</f>
        <v>1032.49</v>
      </c>
      <c r="N912" s="3">
        <f>Raw_Data!N912</f>
        <v>372.5</v>
      </c>
      <c r="O912" t="str">
        <f t="shared" si="42"/>
        <v>2025-12</v>
      </c>
      <c r="P912" s="5">
        <f t="shared" si="43"/>
        <v>0.26512644218108311</v>
      </c>
      <c r="Q912" s="3">
        <f t="shared" si="44"/>
        <v>1404.99</v>
      </c>
    </row>
    <row r="913" spans="1:17" x14ac:dyDescent="0.35">
      <c r="A913" t="str">
        <f>Raw_Data!A913</f>
        <v>ORD-0090</v>
      </c>
      <c r="B913" s="2">
        <f>Raw_Data!B913</f>
        <v>45997</v>
      </c>
      <c r="C913" t="str">
        <f>Raw_Data!C913</f>
        <v>North</v>
      </c>
      <c r="D913" t="str">
        <f>Raw_Data!D913</f>
        <v>Jaipur</v>
      </c>
      <c r="E913" t="str">
        <f>Raw_Data!E913</f>
        <v>Office Supplies</v>
      </c>
      <c r="F913" t="str">
        <f>Raw_Data!F913</f>
        <v>Printer Paper</v>
      </c>
      <c r="G913" t="str">
        <f>Raw_Data!G913</f>
        <v>Small Business</v>
      </c>
      <c r="H913" t="str">
        <f>Raw_Data!H913</f>
        <v>Online</v>
      </c>
      <c r="I913">
        <f>Raw_Data!I913</f>
        <v>1</v>
      </c>
      <c r="J913" s="3">
        <f>Raw_Data!J913</f>
        <v>13.41</v>
      </c>
      <c r="K913" s="4">
        <f>Raw_Data!K913</f>
        <v>0.15</v>
      </c>
      <c r="L913" s="3">
        <f>Raw_Data!L913</f>
        <v>11.4</v>
      </c>
      <c r="M913" s="3">
        <f>Raw_Data!M913</f>
        <v>7.77</v>
      </c>
      <c r="N913" s="3">
        <f>Raw_Data!N913</f>
        <v>3.63</v>
      </c>
      <c r="O913" t="str">
        <f t="shared" si="42"/>
        <v>2025-12</v>
      </c>
      <c r="P913" s="5">
        <f t="shared" si="43"/>
        <v>0.31842105263157894</v>
      </c>
      <c r="Q913" s="3">
        <f t="shared" si="44"/>
        <v>11.4</v>
      </c>
    </row>
    <row r="914" spans="1:17" x14ac:dyDescent="0.35">
      <c r="A914" t="str">
        <f>Raw_Data!A914</f>
        <v>ORD-0067</v>
      </c>
      <c r="B914" s="2">
        <f>Raw_Data!B914</f>
        <v>45997</v>
      </c>
      <c r="C914" t="str">
        <f>Raw_Data!C914</f>
        <v>East</v>
      </c>
      <c r="D914" t="str">
        <f>Raw_Data!D914</f>
        <v>Bhubaneswar</v>
      </c>
      <c r="E914" t="str">
        <f>Raw_Data!E914</f>
        <v>Furniture</v>
      </c>
      <c r="F914" t="str">
        <f>Raw_Data!F914</f>
        <v>Standing Desk</v>
      </c>
      <c r="G914" t="str">
        <f>Raw_Data!G914</f>
        <v>Small Business</v>
      </c>
      <c r="H914" t="str">
        <f>Raw_Data!H914</f>
        <v>Marketplace</v>
      </c>
      <c r="I914">
        <f>Raw_Data!I914</f>
        <v>9</v>
      </c>
      <c r="J914" s="3">
        <f>Raw_Data!J914</f>
        <v>269.31</v>
      </c>
      <c r="K914" s="4">
        <f>Raw_Data!K914</f>
        <v>0.1</v>
      </c>
      <c r="L914" s="3">
        <f>Raw_Data!L914</f>
        <v>2181.41</v>
      </c>
      <c r="M914" s="3">
        <f>Raw_Data!M914</f>
        <v>1888.11</v>
      </c>
      <c r="N914" s="3">
        <f>Raw_Data!N914</f>
        <v>293.3</v>
      </c>
      <c r="O914" t="str">
        <f t="shared" si="42"/>
        <v>2025-12</v>
      </c>
      <c r="P914" s="5">
        <f t="shared" si="43"/>
        <v>0.13445432082918848</v>
      </c>
      <c r="Q914" s="3">
        <f t="shared" si="44"/>
        <v>2181.41</v>
      </c>
    </row>
    <row r="915" spans="1:17" x14ac:dyDescent="0.35">
      <c r="A915" t="str">
        <f>Raw_Data!A915</f>
        <v>ORD-0031</v>
      </c>
      <c r="B915" s="2">
        <f>Raw_Data!B915</f>
        <v>45997</v>
      </c>
      <c r="C915" t="str">
        <f>Raw_Data!C915</f>
        <v>South</v>
      </c>
      <c r="D915" t="str">
        <f>Raw_Data!D915</f>
        <v>Hyderabad</v>
      </c>
      <c r="E915" t="str">
        <f>Raw_Data!E915</f>
        <v>Technology</v>
      </c>
      <c r="F915" t="str">
        <f>Raw_Data!F915</f>
        <v>Keyboard</v>
      </c>
      <c r="G915" t="str">
        <f>Raw_Data!G915</f>
        <v>Small Business</v>
      </c>
      <c r="H915" t="str">
        <f>Raw_Data!H915</f>
        <v>In-Store</v>
      </c>
      <c r="I915">
        <f>Raw_Data!I915</f>
        <v>5</v>
      </c>
      <c r="J915" s="3">
        <f>Raw_Data!J915</f>
        <v>28.49</v>
      </c>
      <c r="K915" s="4">
        <f>Raw_Data!K915</f>
        <v>0</v>
      </c>
      <c r="L915" s="3">
        <f>Raw_Data!L915</f>
        <v>142.44999999999999</v>
      </c>
      <c r="M915" s="3">
        <f>Raw_Data!M915</f>
        <v>100.1</v>
      </c>
      <c r="N915" s="3">
        <f>Raw_Data!N915</f>
        <v>42.35</v>
      </c>
      <c r="O915" t="str">
        <f t="shared" si="42"/>
        <v>2025-12</v>
      </c>
      <c r="P915" s="5">
        <f t="shared" si="43"/>
        <v>0.29729729729729731</v>
      </c>
      <c r="Q915" s="3">
        <f t="shared" si="44"/>
        <v>142.44999999999999</v>
      </c>
    </row>
    <row r="916" spans="1:17" x14ac:dyDescent="0.35">
      <c r="A916" t="str">
        <f>Raw_Data!A916</f>
        <v>ORD-0877</v>
      </c>
      <c r="B916" s="2">
        <f>Raw_Data!B916</f>
        <v>45998</v>
      </c>
      <c r="C916" t="str">
        <f>Raw_Data!C916</f>
        <v>North</v>
      </c>
      <c r="D916" t="str">
        <f>Raw_Data!D916</f>
        <v>Jaipur</v>
      </c>
      <c r="E916" t="str">
        <f>Raw_Data!E916</f>
        <v>Home &amp; Kitchen</v>
      </c>
      <c r="F916" t="str">
        <f>Raw_Data!F916</f>
        <v>Lunch Box</v>
      </c>
      <c r="G916" t="str">
        <f>Raw_Data!G916</f>
        <v>Consumer</v>
      </c>
      <c r="H916" t="str">
        <f>Raw_Data!H916</f>
        <v>In-Store</v>
      </c>
      <c r="I916">
        <f>Raw_Data!I916</f>
        <v>10</v>
      </c>
      <c r="J916" s="3">
        <f>Raw_Data!J916</f>
        <v>17.399999999999999</v>
      </c>
      <c r="K916" s="4">
        <f>Raw_Data!K916</f>
        <v>0.05</v>
      </c>
      <c r="L916" s="3">
        <f>Raw_Data!L916</f>
        <v>165.3</v>
      </c>
      <c r="M916" s="3">
        <f>Raw_Data!M916</f>
        <v>129.09</v>
      </c>
      <c r="N916" s="3">
        <f>Raw_Data!N916</f>
        <v>36.21</v>
      </c>
      <c r="O916" t="str">
        <f t="shared" si="42"/>
        <v>2025-12</v>
      </c>
      <c r="P916" s="5">
        <f t="shared" si="43"/>
        <v>0.2190562613430127</v>
      </c>
      <c r="Q916" s="3">
        <f t="shared" si="44"/>
        <v>165.3</v>
      </c>
    </row>
    <row r="917" spans="1:17" x14ac:dyDescent="0.35">
      <c r="A917" t="str">
        <f>Raw_Data!A917</f>
        <v>ORD-0278</v>
      </c>
      <c r="B917" s="2">
        <f>Raw_Data!B917</f>
        <v>45998</v>
      </c>
      <c r="C917" t="str">
        <f>Raw_Data!C917</f>
        <v>North</v>
      </c>
      <c r="D917" t="str">
        <f>Raw_Data!D917</f>
        <v>Delhi</v>
      </c>
      <c r="E917" t="str">
        <f>Raw_Data!E917</f>
        <v>Office Supplies</v>
      </c>
      <c r="F917" t="str">
        <f>Raw_Data!F917</f>
        <v>Notebook Pack</v>
      </c>
      <c r="G917" t="str">
        <f>Raw_Data!G917</f>
        <v>Corporate</v>
      </c>
      <c r="H917" t="str">
        <f>Raw_Data!H917</f>
        <v>Online</v>
      </c>
      <c r="I917">
        <f>Raw_Data!I917</f>
        <v>7</v>
      </c>
      <c r="J917" s="3">
        <f>Raw_Data!J917</f>
        <v>12.83</v>
      </c>
      <c r="K917" s="4">
        <f>Raw_Data!K917</f>
        <v>0</v>
      </c>
      <c r="L917" s="3">
        <f>Raw_Data!L917</f>
        <v>89.81</v>
      </c>
      <c r="M917" s="3">
        <f>Raw_Data!M917</f>
        <v>54.67</v>
      </c>
      <c r="N917" s="3">
        <f>Raw_Data!N917</f>
        <v>35.14</v>
      </c>
      <c r="O917" t="str">
        <f t="shared" si="42"/>
        <v>2025-12</v>
      </c>
      <c r="P917" s="5">
        <f t="shared" si="43"/>
        <v>0.39127045985970382</v>
      </c>
      <c r="Q917" s="3">
        <f t="shared" si="44"/>
        <v>89.81</v>
      </c>
    </row>
    <row r="918" spans="1:17" x14ac:dyDescent="0.35">
      <c r="A918" t="str">
        <f>Raw_Data!A918</f>
        <v>ORD-0252</v>
      </c>
      <c r="B918" s="2">
        <f>Raw_Data!B918</f>
        <v>45998</v>
      </c>
      <c r="C918" t="str">
        <f>Raw_Data!C918</f>
        <v>West</v>
      </c>
      <c r="D918" t="str">
        <f>Raw_Data!D918</f>
        <v>Mumbai</v>
      </c>
      <c r="E918" t="str">
        <f>Raw_Data!E918</f>
        <v>Furniture</v>
      </c>
      <c r="F918" t="str">
        <f>Raw_Data!F918</f>
        <v>Desk Lamp</v>
      </c>
      <c r="G918" t="str">
        <f>Raw_Data!G918</f>
        <v>Small Business</v>
      </c>
      <c r="H918" t="str">
        <f>Raw_Data!H918</f>
        <v>In-Store</v>
      </c>
      <c r="I918">
        <f>Raw_Data!I918</f>
        <v>11</v>
      </c>
      <c r="J918" s="3">
        <f>Raw_Data!J918</f>
        <v>40.450000000000003</v>
      </c>
      <c r="K918" s="4">
        <f>Raw_Data!K918</f>
        <v>0.15</v>
      </c>
      <c r="L918" s="3">
        <f>Raw_Data!L918</f>
        <v>378.21</v>
      </c>
      <c r="M918" s="3">
        <f>Raw_Data!M918</f>
        <v>344.87</v>
      </c>
      <c r="N918" s="3">
        <f>Raw_Data!N918</f>
        <v>33.340000000000003</v>
      </c>
      <c r="O918" t="str">
        <f t="shared" si="42"/>
        <v>2025-12</v>
      </c>
      <c r="P918" s="5">
        <f t="shared" si="43"/>
        <v>8.8152084820602328E-2</v>
      </c>
      <c r="Q918" s="3">
        <f t="shared" si="44"/>
        <v>378.21</v>
      </c>
    </row>
    <row r="919" spans="1:17" x14ac:dyDescent="0.35">
      <c r="A919" t="str">
        <f>Raw_Data!A919</f>
        <v>ORD-0762</v>
      </c>
      <c r="B919" s="2">
        <f>Raw_Data!B919</f>
        <v>45999</v>
      </c>
      <c r="C919" t="str">
        <f>Raw_Data!C919</f>
        <v>South</v>
      </c>
      <c r="D919" t="str">
        <f>Raw_Data!D919</f>
        <v>Bengaluru</v>
      </c>
      <c r="E919" t="str">
        <f>Raw_Data!E919</f>
        <v>Office Supplies</v>
      </c>
      <c r="F919" t="str">
        <f>Raw_Data!F919</f>
        <v>Printer Paper</v>
      </c>
      <c r="G919" t="str">
        <f>Raw_Data!G919</f>
        <v>Small Business</v>
      </c>
      <c r="H919" t="str">
        <f>Raw_Data!H919</f>
        <v>In-Store</v>
      </c>
      <c r="I919">
        <f>Raw_Data!I919</f>
        <v>9</v>
      </c>
      <c r="J919" s="3">
        <f>Raw_Data!J919</f>
        <v>16.62</v>
      </c>
      <c r="K919" s="4">
        <f>Raw_Data!K919</f>
        <v>0</v>
      </c>
      <c r="L919" s="3">
        <f>Raw_Data!L919</f>
        <v>149.58000000000001</v>
      </c>
      <c r="M919" s="3">
        <f>Raw_Data!M919</f>
        <v>86.51</v>
      </c>
      <c r="N919" s="3">
        <f>Raw_Data!N919</f>
        <v>63.07</v>
      </c>
      <c r="O919" t="str">
        <f t="shared" si="42"/>
        <v>2025-12</v>
      </c>
      <c r="P919" s="5">
        <f t="shared" si="43"/>
        <v>0.42164727904800103</v>
      </c>
      <c r="Q919" s="3">
        <f t="shared" si="44"/>
        <v>149.58000000000001</v>
      </c>
    </row>
    <row r="920" spans="1:17" x14ac:dyDescent="0.35">
      <c r="A920" t="str">
        <f>Raw_Data!A920</f>
        <v>ORD-0807</v>
      </c>
      <c r="B920" s="2">
        <f>Raw_Data!B920</f>
        <v>45999</v>
      </c>
      <c r="C920" t="str">
        <f>Raw_Data!C920</f>
        <v>East</v>
      </c>
      <c r="D920" t="str">
        <f>Raw_Data!D920</f>
        <v>Bhubaneswar</v>
      </c>
      <c r="E920" t="str">
        <f>Raw_Data!E920</f>
        <v>Home &amp; Kitchen</v>
      </c>
      <c r="F920" t="str">
        <f>Raw_Data!F920</f>
        <v>Lunch Box</v>
      </c>
      <c r="G920" t="str">
        <f>Raw_Data!G920</f>
        <v>Corporate</v>
      </c>
      <c r="H920" t="str">
        <f>Raw_Data!H920</f>
        <v>In-Store</v>
      </c>
      <c r="I920">
        <f>Raw_Data!I920</f>
        <v>10</v>
      </c>
      <c r="J920" s="3">
        <f>Raw_Data!J920</f>
        <v>21.85</v>
      </c>
      <c r="K920" s="4">
        <f>Raw_Data!K920</f>
        <v>0.15</v>
      </c>
      <c r="L920" s="3">
        <f>Raw_Data!L920</f>
        <v>185.72</v>
      </c>
      <c r="M920" s="3">
        <f>Raw_Data!M920</f>
        <v>141.99</v>
      </c>
      <c r="N920" s="3">
        <f>Raw_Data!N920</f>
        <v>43.73</v>
      </c>
      <c r="O920" t="str">
        <f t="shared" si="42"/>
        <v>2025-12</v>
      </c>
      <c r="P920" s="5">
        <f t="shared" si="43"/>
        <v>0.23546198578505276</v>
      </c>
      <c r="Q920" s="3">
        <f t="shared" si="44"/>
        <v>185.72</v>
      </c>
    </row>
    <row r="921" spans="1:17" x14ac:dyDescent="0.35">
      <c r="A921" t="str">
        <f>Raw_Data!A921</f>
        <v>ORD-0685</v>
      </c>
      <c r="B921" s="2">
        <f>Raw_Data!B921</f>
        <v>45999</v>
      </c>
      <c r="C921" t="str">
        <f>Raw_Data!C921</f>
        <v>North</v>
      </c>
      <c r="D921" t="str">
        <f>Raw_Data!D921</f>
        <v>Chandigarh</v>
      </c>
      <c r="E921" t="str">
        <f>Raw_Data!E921</f>
        <v>Furniture</v>
      </c>
      <c r="F921" t="str">
        <f>Raw_Data!F921</f>
        <v>Desk Lamp</v>
      </c>
      <c r="G921" t="str">
        <f>Raw_Data!G921</f>
        <v>Corporate</v>
      </c>
      <c r="H921" t="str">
        <f>Raw_Data!H921</f>
        <v>Online</v>
      </c>
      <c r="I921">
        <f>Raw_Data!I921</f>
        <v>10</v>
      </c>
      <c r="J921" s="3">
        <f>Raw_Data!J921</f>
        <v>36.28</v>
      </c>
      <c r="K921" s="4">
        <f>Raw_Data!K921</f>
        <v>0.1</v>
      </c>
      <c r="L921" s="3">
        <f>Raw_Data!L921</f>
        <v>326.52</v>
      </c>
      <c r="M921" s="3">
        <f>Raw_Data!M921</f>
        <v>196.1</v>
      </c>
      <c r="N921" s="3">
        <f>Raw_Data!N921</f>
        <v>130.41999999999999</v>
      </c>
      <c r="O921" t="str">
        <f t="shared" si="42"/>
        <v>2025-12</v>
      </c>
      <c r="P921" s="5">
        <f t="shared" si="43"/>
        <v>0.39942423128751681</v>
      </c>
      <c r="Q921" s="3">
        <f t="shared" si="44"/>
        <v>326.52</v>
      </c>
    </row>
    <row r="922" spans="1:17" x14ac:dyDescent="0.35">
      <c r="A922" t="str">
        <f>Raw_Data!A922</f>
        <v>ORD-0580</v>
      </c>
      <c r="B922" s="2">
        <f>Raw_Data!B922</f>
        <v>46000</v>
      </c>
      <c r="C922" t="str">
        <f>Raw_Data!C922</f>
        <v>North</v>
      </c>
      <c r="D922" t="str">
        <f>Raw_Data!D922</f>
        <v>Jaipur</v>
      </c>
      <c r="E922" t="str">
        <f>Raw_Data!E922</f>
        <v>Technology</v>
      </c>
      <c r="F922" t="str">
        <f>Raw_Data!F922</f>
        <v>Headphones</v>
      </c>
      <c r="G922" t="str">
        <f>Raw_Data!G922</f>
        <v>Small Business</v>
      </c>
      <c r="H922" t="str">
        <f>Raw_Data!H922</f>
        <v>In-Store</v>
      </c>
      <c r="I922">
        <f>Raw_Data!I922</f>
        <v>10</v>
      </c>
      <c r="J922" s="3">
        <f>Raw_Data!J922</f>
        <v>47.77</v>
      </c>
      <c r="K922" s="4">
        <f>Raw_Data!K922</f>
        <v>0.05</v>
      </c>
      <c r="L922" s="3">
        <f>Raw_Data!L922</f>
        <v>453.81</v>
      </c>
      <c r="M922" s="3">
        <f>Raw_Data!M922</f>
        <v>305.97000000000003</v>
      </c>
      <c r="N922" s="3">
        <f>Raw_Data!N922</f>
        <v>147.84</v>
      </c>
      <c r="O922" t="str">
        <f t="shared" si="42"/>
        <v>2025-12</v>
      </c>
      <c r="P922" s="5">
        <f t="shared" si="43"/>
        <v>0.32577510411846367</v>
      </c>
      <c r="Q922" s="3">
        <f t="shared" si="44"/>
        <v>453.81</v>
      </c>
    </row>
    <row r="923" spans="1:17" x14ac:dyDescent="0.35">
      <c r="A923" t="str">
        <f>Raw_Data!A923</f>
        <v>ORD-0990</v>
      </c>
      <c r="B923" s="2">
        <f>Raw_Data!B923</f>
        <v>46000</v>
      </c>
      <c r="C923" t="str">
        <f>Raw_Data!C923</f>
        <v>West</v>
      </c>
      <c r="D923" t="str">
        <f>Raw_Data!D923</f>
        <v>Mumbai</v>
      </c>
      <c r="E923" t="str">
        <f>Raw_Data!E923</f>
        <v>Technology</v>
      </c>
      <c r="F923" t="str">
        <f>Raw_Data!F923</f>
        <v>Headphones</v>
      </c>
      <c r="G923" t="str">
        <f>Raw_Data!G923</f>
        <v>Consumer</v>
      </c>
      <c r="H923" t="str">
        <f>Raw_Data!H923</f>
        <v>Online</v>
      </c>
      <c r="I923">
        <f>Raw_Data!I923</f>
        <v>8</v>
      </c>
      <c r="J923" s="3">
        <f>Raw_Data!J923</f>
        <v>55.77</v>
      </c>
      <c r="K923" s="4">
        <f>Raw_Data!K923</f>
        <v>0.15</v>
      </c>
      <c r="L923" s="3">
        <f>Raw_Data!L923</f>
        <v>379.24</v>
      </c>
      <c r="M923" s="3">
        <f>Raw_Data!M923</f>
        <v>334.64</v>
      </c>
      <c r="N923" s="3">
        <f>Raw_Data!N923</f>
        <v>44.6</v>
      </c>
      <c r="O923" t="str">
        <f t="shared" si="42"/>
        <v>2025-12</v>
      </c>
      <c r="P923" s="5">
        <f t="shared" si="43"/>
        <v>0.11760362830925009</v>
      </c>
      <c r="Q923" s="3">
        <f t="shared" si="44"/>
        <v>379.24</v>
      </c>
    </row>
    <row r="924" spans="1:17" x14ac:dyDescent="0.35">
      <c r="A924" t="str">
        <f>Raw_Data!A924</f>
        <v>ORD-0714</v>
      </c>
      <c r="B924" s="2">
        <f>Raw_Data!B924</f>
        <v>46001</v>
      </c>
      <c r="C924" t="str">
        <f>Raw_Data!C924</f>
        <v>West</v>
      </c>
      <c r="D924" t="str">
        <f>Raw_Data!D924</f>
        <v>Mumbai</v>
      </c>
      <c r="E924" t="str">
        <f>Raw_Data!E924</f>
        <v>Technology</v>
      </c>
      <c r="F924" t="str">
        <f>Raw_Data!F924</f>
        <v>Wireless Mouse</v>
      </c>
      <c r="G924" t="str">
        <f>Raw_Data!G924</f>
        <v>Corporate</v>
      </c>
      <c r="H924" t="str">
        <f>Raw_Data!H924</f>
        <v>In-Store</v>
      </c>
      <c r="I924">
        <f>Raw_Data!I924</f>
        <v>5</v>
      </c>
      <c r="J924" s="3">
        <f>Raw_Data!J924</f>
        <v>18.48</v>
      </c>
      <c r="K924" s="4">
        <f>Raw_Data!K924</f>
        <v>0.1</v>
      </c>
      <c r="L924" s="3">
        <f>Raw_Data!L924</f>
        <v>83.16</v>
      </c>
      <c r="M924" s="3">
        <f>Raw_Data!M924</f>
        <v>52.74</v>
      </c>
      <c r="N924" s="3">
        <f>Raw_Data!N924</f>
        <v>30.42</v>
      </c>
      <c r="O924" t="str">
        <f t="shared" si="42"/>
        <v>2025-12</v>
      </c>
      <c r="P924" s="5">
        <f t="shared" si="43"/>
        <v>0.36580086580086585</v>
      </c>
      <c r="Q924" s="3">
        <f t="shared" si="44"/>
        <v>83.16</v>
      </c>
    </row>
    <row r="925" spans="1:17" x14ac:dyDescent="0.35">
      <c r="A925" t="str">
        <f>Raw_Data!A925</f>
        <v>ORD-0695</v>
      </c>
      <c r="B925" s="2">
        <f>Raw_Data!B925</f>
        <v>46001</v>
      </c>
      <c r="C925" t="str">
        <f>Raw_Data!C925</f>
        <v>North</v>
      </c>
      <c r="D925" t="str">
        <f>Raw_Data!D925</f>
        <v>Jaipur</v>
      </c>
      <c r="E925" t="str">
        <f>Raw_Data!E925</f>
        <v>Technology</v>
      </c>
      <c r="F925" t="str">
        <f>Raw_Data!F925</f>
        <v>USB Hub</v>
      </c>
      <c r="G925" t="str">
        <f>Raw_Data!G925</f>
        <v>Corporate</v>
      </c>
      <c r="H925" t="str">
        <f>Raw_Data!H925</f>
        <v>Marketplace</v>
      </c>
      <c r="I925">
        <f>Raw_Data!I925</f>
        <v>12</v>
      </c>
      <c r="J925" s="3">
        <f>Raw_Data!J925</f>
        <v>27.48</v>
      </c>
      <c r="K925" s="4">
        <f>Raw_Data!K925</f>
        <v>0</v>
      </c>
      <c r="L925" s="3">
        <f>Raw_Data!L925</f>
        <v>329.76</v>
      </c>
      <c r="M925" s="3">
        <f>Raw_Data!M925</f>
        <v>169.36</v>
      </c>
      <c r="N925" s="3">
        <f>Raw_Data!N925</f>
        <v>160.4</v>
      </c>
      <c r="O925" t="str">
        <f t="shared" si="42"/>
        <v>2025-12</v>
      </c>
      <c r="P925" s="5">
        <f t="shared" si="43"/>
        <v>0.48641436196021354</v>
      </c>
      <c r="Q925" s="3">
        <f t="shared" si="44"/>
        <v>329.76</v>
      </c>
    </row>
    <row r="926" spans="1:17" x14ac:dyDescent="0.35">
      <c r="A926" t="str">
        <f>Raw_Data!A926</f>
        <v>ORD-0689</v>
      </c>
      <c r="B926" s="2">
        <f>Raw_Data!B926</f>
        <v>46001</v>
      </c>
      <c r="C926" t="str">
        <f>Raw_Data!C926</f>
        <v>South</v>
      </c>
      <c r="D926" t="str">
        <f>Raw_Data!D926</f>
        <v>Chennai</v>
      </c>
      <c r="E926" t="str">
        <f>Raw_Data!E926</f>
        <v>Office Supplies</v>
      </c>
      <c r="F926" t="str">
        <f>Raw_Data!F926</f>
        <v>Notebook Pack</v>
      </c>
      <c r="G926" t="str">
        <f>Raw_Data!G926</f>
        <v>Corporate</v>
      </c>
      <c r="H926" t="str">
        <f>Raw_Data!H926</f>
        <v>Marketplace</v>
      </c>
      <c r="I926">
        <f>Raw_Data!I926</f>
        <v>11</v>
      </c>
      <c r="J926" s="3">
        <f>Raw_Data!J926</f>
        <v>13.15</v>
      </c>
      <c r="K926" s="4">
        <f>Raw_Data!K926</f>
        <v>0</v>
      </c>
      <c r="L926" s="3">
        <f>Raw_Data!L926</f>
        <v>144.65</v>
      </c>
      <c r="M926" s="3">
        <f>Raw_Data!M926</f>
        <v>94.46</v>
      </c>
      <c r="N926" s="3">
        <f>Raw_Data!N926</f>
        <v>50.19</v>
      </c>
      <c r="O926" t="str">
        <f t="shared" si="42"/>
        <v>2025-12</v>
      </c>
      <c r="P926" s="5">
        <f t="shared" si="43"/>
        <v>0.34697545800207397</v>
      </c>
      <c r="Q926" s="3">
        <f t="shared" si="44"/>
        <v>144.65</v>
      </c>
    </row>
    <row r="927" spans="1:17" x14ac:dyDescent="0.35">
      <c r="A927" t="str">
        <f>Raw_Data!A927</f>
        <v>ORD-0262</v>
      </c>
      <c r="B927" s="2">
        <f>Raw_Data!B927</f>
        <v>46002</v>
      </c>
      <c r="C927" t="str">
        <f>Raw_Data!C927</f>
        <v>South</v>
      </c>
      <c r="D927" t="str">
        <f>Raw_Data!D927</f>
        <v>Chennai</v>
      </c>
      <c r="E927" t="str">
        <f>Raw_Data!E927</f>
        <v>Office Supplies</v>
      </c>
      <c r="F927" t="str">
        <f>Raw_Data!F927</f>
        <v>Desk Organizer</v>
      </c>
      <c r="G927" t="str">
        <f>Raw_Data!G927</f>
        <v>Corporate</v>
      </c>
      <c r="H927" t="str">
        <f>Raw_Data!H927</f>
        <v>In-Store</v>
      </c>
      <c r="I927">
        <f>Raw_Data!I927</f>
        <v>2</v>
      </c>
      <c r="J927" s="3">
        <f>Raw_Data!J927</f>
        <v>19.600000000000001</v>
      </c>
      <c r="K927" s="4">
        <f>Raw_Data!K927</f>
        <v>0</v>
      </c>
      <c r="L927" s="3">
        <f>Raw_Data!L927</f>
        <v>39.200000000000003</v>
      </c>
      <c r="M927" s="3">
        <f>Raw_Data!M927</f>
        <v>20.97</v>
      </c>
      <c r="N927" s="3">
        <f>Raw_Data!N927</f>
        <v>18.23</v>
      </c>
      <c r="O927" t="str">
        <f t="shared" si="42"/>
        <v>2025-12</v>
      </c>
      <c r="P927" s="5">
        <f t="shared" si="43"/>
        <v>0.46505102040816326</v>
      </c>
      <c r="Q927" s="3">
        <f t="shared" si="44"/>
        <v>39.200000000000003</v>
      </c>
    </row>
    <row r="928" spans="1:17" x14ac:dyDescent="0.35">
      <c r="A928" t="str">
        <f>Raw_Data!A928</f>
        <v>ORD-0465</v>
      </c>
      <c r="B928" s="2">
        <f>Raw_Data!B928</f>
        <v>46002</v>
      </c>
      <c r="C928" t="str">
        <f>Raw_Data!C928</f>
        <v>South</v>
      </c>
      <c r="D928" t="str">
        <f>Raw_Data!D928</f>
        <v>Chennai</v>
      </c>
      <c r="E928" t="str">
        <f>Raw_Data!E928</f>
        <v>Home &amp; Kitchen</v>
      </c>
      <c r="F928" t="str">
        <f>Raw_Data!F928</f>
        <v>Lunch Box</v>
      </c>
      <c r="G928" t="str">
        <f>Raw_Data!G928</f>
        <v>Consumer</v>
      </c>
      <c r="H928" t="str">
        <f>Raw_Data!H928</f>
        <v>Marketplace</v>
      </c>
      <c r="I928">
        <f>Raw_Data!I928</f>
        <v>2</v>
      </c>
      <c r="J928" s="3">
        <f>Raw_Data!J928</f>
        <v>19.670000000000002</v>
      </c>
      <c r="K928" s="4">
        <f>Raw_Data!K928</f>
        <v>0.05</v>
      </c>
      <c r="L928" s="3">
        <f>Raw_Data!L928</f>
        <v>37.369999999999997</v>
      </c>
      <c r="M928" s="3">
        <f>Raw_Data!M928</f>
        <v>24.36</v>
      </c>
      <c r="N928" s="3">
        <f>Raw_Data!N928</f>
        <v>13.01</v>
      </c>
      <c r="O928" t="str">
        <f t="shared" si="42"/>
        <v>2025-12</v>
      </c>
      <c r="P928" s="5">
        <f t="shared" si="43"/>
        <v>0.34814021942734819</v>
      </c>
      <c r="Q928" s="3">
        <f t="shared" si="44"/>
        <v>37.369999999999997</v>
      </c>
    </row>
    <row r="929" spans="1:17" x14ac:dyDescent="0.35">
      <c r="A929" t="str">
        <f>Raw_Data!A929</f>
        <v>ORD-0122</v>
      </c>
      <c r="B929" s="2">
        <f>Raw_Data!B929</f>
        <v>46003</v>
      </c>
      <c r="C929" t="str">
        <f>Raw_Data!C929</f>
        <v>East</v>
      </c>
      <c r="D929" t="str">
        <f>Raw_Data!D929</f>
        <v>Kolkata</v>
      </c>
      <c r="E929" t="str">
        <f>Raw_Data!E929</f>
        <v>Technology</v>
      </c>
      <c r="F929" t="str">
        <f>Raw_Data!F929</f>
        <v>Headphones</v>
      </c>
      <c r="G929" t="str">
        <f>Raw_Data!G929</f>
        <v>Consumer</v>
      </c>
      <c r="H929" t="str">
        <f>Raw_Data!H929</f>
        <v>Online</v>
      </c>
      <c r="I929">
        <f>Raw_Data!I929</f>
        <v>1</v>
      </c>
      <c r="J929" s="3">
        <f>Raw_Data!J929</f>
        <v>50.22</v>
      </c>
      <c r="K929" s="4">
        <f>Raw_Data!K929</f>
        <v>0.05</v>
      </c>
      <c r="L929" s="3">
        <f>Raw_Data!L929</f>
        <v>47.71</v>
      </c>
      <c r="M929" s="3">
        <f>Raw_Data!M929</f>
        <v>37.99</v>
      </c>
      <c r="N929" s="3">
        <f>Raw_Data!N929</f>
        <v>9.7200000000000006</v>
      </c>
      <c r="O929" t="str">
        <f t="shared" si="42"/>
        <v>2025-12</v>
      </c>
      <c r="P929" s="5">
        <f t="shared" si="43"/>
        <v>0.20373087403060156</v>
      </c>
      <c r="Q929" s="3">
        <f t="shared" si="44"/>
        <v>47.71</v>
      </c>
    </row>
    <row r="930" spans="1:17" x14ac:dyDescent="0.35">
      <c r="A930" t="str">
        <f>Raw_Data!A930</f>
        <v>ORD-0831</v>
      </c>
      <c r="B930" s="2">
        <f>Raw_Data!B930</f>
        <v>46003</v>
      </c>
      <c r="C930" t="str">
        <f>Raw_Data!C930</f>
        <v>North</v>
      </c>
      <c r="D930" t="str">
        <f>Raw_Data!D930</f>
        <v>Delhi</v>
      </c>
      <c r="E930" t="str">
        <f>Raw_Data!E930</f>
        <v>Office Supplies</v>
      </c>
      <c r="F930" t="str">
        <f>Raw_Data!F930</f>
        <v>Notebook Pack</v>
      </c>
      <c r="G930" t="str">
        <f>Raw_Data!G930</f>
        <v>Small Business</v>
      </c>
      <c r="H930" t="str">
        <f>Raw_Data!H930</f>
        <v>In-Store</v>
      </c>
      <c r="I930">
        <f>Raw_Data!I930</f>
        <v>12</v>
      </c>
      <c r="J930" s="3">
        <f>Raw_Data!J930</f>
        <v>12.73</v>
      </c>
      <c r="K930" s="4">
        <f>Raw_Data!K930</f>
        <v>0</v>
      </c>
      <c r="L930" s="3">
        <f>Raw_Data!L930</f>
        <v>152.76</v>
      </c>
      <c r="M930" s="3">
        <f>Raw_Data!M930</f>
        <v>81.88</v>
      </c>
      <c r="N930" s="3">
        <f>Raw_Data!N930</f>
        <v>70.88</v>
      </c>
      <c r="O930" t="str">
        <f t="shared" si="42"/>
        <v>2025-12</v>
      </c>
      <c r="P930" s="5">
        <f t="shared" si="43"/>
        <v>0.46399581042157634</v>
      </c>
      <c r="Q930" s="3">
        <f t="shared" si="44"/>
        <v>152.76</v>
      </c>
    </row>
    <row r="931" spans="1:17" x14ac:dyDescent="0.35">
      <c r="A931" t="str">
        <f>Raw_Data!A931</f>
        <v>ORD-0921</v>
      </c>
      <c r="B931" s="2">
        <f>Raw_Data!B931</f>
        <v>46003</v>
      </c>
      <c r="C931" t="str">
        <f>Raw_Data!C931</f>
        <v>North</v>
      </c>
      <c r="D931" t="str">
        <f>Raw_Data!D931</f>
        <v>Chandigarh</v>
      </c>
      <c r="E931" t="str">
        <f>Raw_Data!E931</f>
        <v>Office Supplies</v>
      </c>
      <c r="F931" t="str">
        <f>Raw_Data!F931</f>
        <v>Pen Set</v>
      </c>
      <c r="G931" t="str">
        <f>Raw_Data!G931</f>
        <v>Small Business</v>
      </c>
      <c r="H931" t="str">
        <f>Raw_Data!H931</f>
        <v>In-Store</v>
      </c>
      <c r="I931">
        <f>Raw_Data!I931</f>
        <v>2</v>
      </c>
      <c r="J931" s="3">
        <f>Raw_Data!J931</f>
        <v>7.83</v>
      </c>
      <c r="K931" s="4">
        <f>Raw_Data!K931</f>
        <v>0</v>
      </c>
      <c r="L931" s="3">
        <f>Raw_Data!L931</f>
        <v>15.66</v>
      </c>
      <c r="M931" s="3">
        <f>Raw_Data!M931</f>
        <v>9.93</v>
      </c>
      <c r="N931" s="3">
        <f>Raw_Data!N931</f>
        <v>5.73</v>
      </c>
      <c r="O931" t="str">
        <f t="shared" si="42"/>
        <v>2025-12</v>
      </c>
      <c r="P931" s="5">
        <f t="shared" si="43"/>
        <v>0.36590038314176249</v>
      </c>
      <c r="Q931" s="3">
        <f t="shared" si="44"/>
        <v>15.66</v>
      </c>
    </row>
    <row r="932" spans="1:17" x14ac:dyDescent="0.35">
      <c r="A932" t="str">
        <f>Raw_Data!A932</f>
        <v>ORD-0780</v>
      </c>
      <c r="B932" s="2">
        <f>Raw_Data!B932</f>
        <v>46003</v>
      </c>
      <c r="C932" t="str">
        <f>Raw_Data!C932</f>
        <v>West</v>
      </c>
      <c r="D932" t="str">
        <f>Raw_Data!D932</f>
        <v>Ahmedabad</v>
      </c>
      <c r="E932" t="str">
        <f>Raw_Data!E932</f>
        <v>Technology</v>
      </c>
      <c r="F932" t="str">
        <f>Raw_Data!F932</f>
        <v>Keyboard</v>
      </c>
      <c r="G932" t="str">
        <f>Raw_Data!G932</f>
        <v>Small Business</v>
      </c>
      <c r="H932" t="str">
        <f>Raw_Data!H932</f>
        <v>Online</v>
      </c>
      <c r="I932">
        <f>Raw_Data!I932</f>
        <v>9</v>
      </c>
      <c r="J932" s="3">
        <f>Raw_Data!J932</f>
        <v>34.5</v>
      </c>
      <c r="K932" s="4">
        <f>Raw_Data!K932</f>
        <v>0</v>
      </c>
      <c r="L932" s="3">
        <f>Raw_Data!L932</f>
        <v>310.5</v>
      </c>
      <c r="M932" s="3">
        <f>Raw_Data!M932</f>
        <v>177.41</v>
      </c>
      <c r="N932" s="3">
        <f>Raw_Data!N932</f>
        <v>133.09</v>
      </c>
      <c r="O932" t="str">
        <f t="shared" si="42"/>
        <v>2025-12</v>
      </c>
      <c r="P932" s="5">
        <f t="shared" si="43"/>
        <v>0.42863123993558777</v>
      </c>
      <c r="Q932" s="3">
        <f t="shared" si="44"/>
        <v>310.5</v>
      </c>
    </row>
    <row r="933" spans="1:17" x14ac:dyDescent="0.35">
      <c r="A933" t="str">
        <f>Raw_Data!A933</f>
        <v>ORD-0193</v>
      </c>
      <c r="B933" s="2">
        <f>Raw_Data!B933</f>
        <v>46004</v>
      </c>
      <c r="C933" t="str">
        <f>Raw_Data!C933</f>
        <v>East</v>
      </c>
      <c r="D933" t="str">
        <f>Raw_Data!D933</f>
        <v>Bhubaneswar</v>
      </c>
      <c r="E933" t="str">
        <f>Raw_Data!E933</f>
        <v>Home &amp; Kitchen</v>
      </c>
      <c r="F933" t="str">
        <f>Raw_Data!F933</f>
        <v>Lunch Box</v>
      </c>
      <c r="G933" t="str">
        <f>Raw_Data!G933</f>
        <v>Corporate</v>
      </c>
      <c r="H933" t="str">
        <f>Raw_Data!H933</f>
        <v>Online</v>
      </c>
      <c r="I933">
        <f>Raw_Data!I933</f>
        <v>6</v>
      </c>
      <c r="J933" s="3">
        <f>Raw_Data!J933</f>
        <v>23.68</v>
      </c>
      <c r="K933" s="4">
        <f>Raw_Data!K933</f>
        <v>0</v>
      </c>
      <c r="L933" s="3">
        <f>Raw_Data!L933</f>
        <v>142.08000000000001</v>
      </c>
      <c r="M933" s="3">
        <f>Raw_Data!M933</f>
        <v>80.58</v>
      </c>
      <c r="N933" s="3">
        <f>Raw_Data!N933</f>
        <v>61.5</v>
      </c>
      <c r="O933" t="str">
        <f t="shared" si="42"/>
        <v>2025-12</v>
      </c>
      <c r="P933" s="5">
        <f t="shared" si="43"/>
        <v>0.43285472972972971</v>
      </c>
      <c r="Q933" s="3">
        <f t="shared" si="44"/>
        <v>142.08000000000001</v>
      </c>
    </row>
    <row r="934" spans="1:17" x14ac:dyDescent="0.35">
      <c r="A934" t="str">
        <f>Raw_Data!A934</f>
        <v>ORD-0413</v>
      </c>
      <c r="B934" s="2">
        <f>Raw_Data!B934</f>
        <v>46004</v>
      </c>
      <c r="C934" t="str">
        <f>Raw_Data!C934</f>
        <v>North</v>
      </c>
      <c r="D934" t="str">
        <f>Raw_Data!D934</f>
        <v>Chandigarh</v>
      </c>
      <c r="E934" t="str">
        <f>Raw_Data!E934</f>
        <v>Furniture</v>
      </c>
      <c r="F934" t="str">
        <f>Raw_Data!F934</f>
        <v>Office Chair</v>
      </c>
      <c r="G934" t="str">
        <f>Raw_Data!G934</f>
        <v>Corporate</v>
      </c>
      <c r="H934" t="str">
        <f>Raw_Data!H934</f>
        <v>Marketplace</v>
      </c>
      <c r="I934">
        <f>Raw_Data!I934</f>
        <v>9</v>
      </c>
      <c r="J934" s="3">
        <f>Raw_Data!J934</f>
        <v>167.64</v>
      </c>
      <c r="K934" s="4">
        <f>Raw_Data!K934</f>
        <v>0</v>
      </c>
      <c r="L934" s="3">
        <f>Raw_Data!L934</f>
        <v>1508.76</v>
      </c>
      <c r="M934" s="3">
        <f>Raw_Data!M934</f>
        <v>779.98</v>
      </c>
      <c r="N934" s="3">
        <f>Raw_Data!N934</f>
        <v>728.78</v>
      </c>
      <c r="O934" t="str">
        <f t="shared" si="42"/>
        <v>2025-12</v>
      </c>
      <c r="P934" s="5">
        <f t="shared" si="43"/>
        <v>0.48303242397730584</v>
      </c>
      <c r="Q934" s="3">
        <f t="shared" si="44"/>
        <v>1508.76</v>
      </c>
    </row>
    <row r="935" spans="1:17" x14ac:dyDescent="0.35">
      <c r="A935" t="str">
        <f>Raw_Data!A935</f>
        <v>ORD-0555</v>
      </c>
      <c r="B935" s="2">
        <f>Raw_Data!B935</f>
        <v>46004</v>
      </c>
      <c r="C935" t="str">
        <f>Raw_Data!C935</f>
        <v>North</v>
      </c>
      <c r="D935" t="str">
        <f>Raw_Data!D935</f>
        <v>Delhi</v>
      </c>
      <c r="E935" t="str">
        <f>Raw_Data!E935</f>
        <v>Office Supplies</v>
      </c>
      <c r="F935" t="str">
        <f>Raw_Data!F935</f>
        <v>Pen Set</v>
      </c>
      <c r="G935" t="str">
        <f>Raw_Data!G935</f>
        <v>Consumer</v>
      </c>
      <c r="H935" t="str">
        <f>Raw_Data!H935</f>
        <v>In-Store</v>
      </c>
      <c r="I935">
        <f>Raw_Data!I935</f>
        <v>12</v>
      </c>
      <c r="J935" s="3">
        <f>Raw_Data!J935</f>
        <v>6.9</v>
      </c>
      <c r="K935" s="4">
        <f>Raw_Data!K935</f>
        <v>0.1</v>
      </c>
      <c r="L935" s="3">
        <f>Raw_Data!L935</f>
        <v>74.52</v>
      </c>
      <c r="M935" s="3">
        <f>Raw_Data!M935</f>
        <v>57.47</v>
      </c>
      <c r="N935" s="3">
        <f>Raw_Data!N935</f>
        <v>17.05</v>
      </c>
      <c r="O935" t="str">
        <f t="shared" si="42"/>
        <v>2025-12</v>
      </c>
      <c r="P935" s="5">
        <f t="shared" si="43"/>
        <v>0.22879763821792809</v>
      </c>
      <c r="Q935" s="3">
        <f t="shared" si="44"/>
        <v>74.52</v>
      </c>
    </row>
    <row r="936" spans="1:17" x14ac:dyDescent="0.35">
      <c r="A936" t="str">
        <f>Raw_Data!A936</f>
        <v>ORD-0374</v>
      </c>
      <c r="B936" s="2">
        <f>Raw_Data!B936</f>
        <v>46004</v>
      </c>
      <c r="C936" t="str">
        <f>Raw_Data!C936</f>
        <v>South</v>
      </c>
      <c r="D936" t="str">
        <f>Raw_Data!D936</f>
        <v>Bengaluru</v>
      </c>
      <c r="E936" t="str">
        <f>Raw_Data!E936</f>
        <v>Furniture</v>
      </c>
      <c r="F936" t="str">
        <f>Raw_Data!F936</f>
        <v>Standing Desk</v>
      </c>
      <c r="G936" t="str">
        <f>Raw_Data!G936</f>
        <v>Corporate</v>
      </c>
      <c r="H936" t="str">
        <f>Raw_Data!H936</f>
        <v>Marketplace</v>
      </c>
      <c r="I936">
        <f>Raw_Data!I936</f>
        <v>12</v>
      </c>
      <c r="J936" s="3">
        <f>Raw_Data!J936</f>
        <v>231.55</v>
      </c>
      <c r="K936" s="4">
        <f>Raw_Data!K936</f>
        <v>0</v>
      </c>
      <c r="L936" s="3">
        <f>Raw_Data!L936</f>
        <v>2778.6</v>
      </c>
      <c r="M936" s="3">
        <f>Raw_Data!M936</f>
        <v>1341.79</v>
      </c>
      <c r="N936" s="3">
        <f>Raw_Data!N936</f>
        <v>1436.81</v>
      </c>
      <c r="O936" t="str">
        <f t="shared" si="42"/>
        <v>2025-12</v>
      </c>
      <c r="P936" s="5">
        <f t="shared" si="43"/>
        <v>0.51709853883250556</v>
      </c>
      <c r="Q936" s="3">
        <f t="shared" si="44"/>
        <v>2778.6</v>
      </c>
    </row>
    <row r="937" spans="1:17" x14ac:dyDescent="0.35">
      <c r="A937" t="str">
        <f>Raw_Data!A937</f>
        <v>ORD-0671</v>
      </c>
      <c r="B937" s="2">
        <f>Raw_Data!B937</f>
        <v>46004</v>
      </c>
      <c r="C937" t="str">
        <f>Raw_Data!C937</f>
        <v>South</v>
      </c>
      <c r="D937" t="str">
        <f>Raw_Data!D937</f>
        <v>Bengaluru</v>
      </c>
      <c r="E937" t="str">
        <f>Raw_Data!E937</f>
        <v>Technology</v>
      </c>
      <c r="F937" t="str">
        <f>Raw_Data!F937</f>
        <v>Wireless Mouse</v>
      </c>
      <c r="G937" t="str">
        <f>Raw_Data!G937</f>
        <v>Consumer</v>
      </c>
      <c r="H937" t="str">
        <f>Raw_Data!H937</f>
        <v>In-Store</v>
      </c>
      <c r="I937">
        <f>Raw_Data!I937</f>
        <v>3</v>
      </c>
      <c r="J937" s="3">
        <f>Raw_Data!J937</f>
        <v>17.79</v>
      </c>
      <c r="K937" s="4">
        <f>Raw_Data!K937</f>
        <v>0.15</v>
      </c>
      <c r="L937" s="3">
        <f>Raw_Data!L937</f>
        <v>45.36</v>
      </c>
      <c r="M937" s="3">
        <f>Raw_Data!M937</f>
        <v>41.27</v>
      </c>
      <c r="N937" s="3">
        <f>Raw_Data!N937</f>
        <v>4.09</v>
      </c>
      <c r="O937" t="str">
        <f t="shared" si="42"/>
        <v>2025-12</v>
      </c>
      <c r="P937" s="5">
        <f t="shared" si="43"/>
        <v>9.0167548500881836E-2</v>
      </c>
      <c r="Q937" s="3">
        <f t="shared" si="44"/>
        <v>45.36</v>
      </c>
    </row>
    <row r="938" spans="1:17" x14ac:dyDescent="0.35">
      <c r="A938" t="str">
        <f>Raw_Data!A938</f>
        <v>ORD-0888</v>
      </c>
      <c r="B938" s="2">
        <f>Raw_Data!B938</f>
        <v>46005</v>
      </c>
      <c r="C938" t="str">
        <f>Raw_Data!C938</f>
        <v>East</v>
      </c>
      <c r="D938" t="str">
        <f>Raw_Data!D938</f>
        <v>Kolkata</v>
      </c>
      <c r="E938" t="str">
        <f>Raw_Data!E938</f>
        <v>Office Supplies</v>
      </c>
      <c r="F938" t="str">
        <f>Raw_Data!F938</f>
        <v>Pen Set</v>
      </c>
      <c r="G938" t="str">
        <f>Raw_Data!G938</f>
        <v>Consumer</v>
      </c>
      <c r="H938" t="str">
        <f>Raw_Data!H938</f>
        <v>In-Store</v>
      </c>
      <c r="I938">
        <f>Raw_Data!I938</f>
        <v>2</v>
      </c>
      <c r="J938" s="3">
        <f>Raw_Data!J938</f>
        <v>7.91</v>
      </c>
      <c r="K938" s="4">
        <f>Raw_Data!K938</f>
        <v>0.15</v>
      </c>
      <c r="L938" s="3">
        <f>Raw_Data!L938</f>
        <v>13.45</v>
      </c>
      <c r="M938" s="3">
        <f>Raw_Data!M938</f>
        <v>11.64</v>
      </c>
      <c r="N938" s="3">
        <f>Raw_Data!N938</f>
        <v>1.81</v>
      </c>
      <c r="O938" t="str">
        <f t="shared" si="42"/>
        <v>2025-12</v>
      </c>
      <c r="P938" s="5">
        <f t="shared" si="43"/>
        <v>0.13457249070631971</v>
      </c>
      <c r="Q938" s="3">
        <f t="shared" si="44"/>
        <v>13.45</v>
      </c>
    </row>
    <row r="939" spans="1:17" x14ac:dyDescent="0.35">
      <c r="A939" t="str">
        <f>Raw_Data!A939</f>
        <v>ORD-0880</v>
      </c>
      <c r="B939" s="2">
        <f>Raw_Data!B939</f>
        <v>46005</v>
      </c>
      <c r="C939" t="str">
        <f>Raw_Data!C939</f>
        <v>East</v>
      </c>
      <c r="D939" t="str">
        <f>Raw_Data!D939</f>
        <v>Guwahati</v>
      </c>
      <c r="E939" t="str">
        <f>Raw_Data!E939</f>
        <v>Home &amp; Kitchen</v>
      </c>
      <c r="F939" t="str">
        <f>Raw_Data!F939</f>
        <v>Storage Box</v>
      </c>
      <c r="G939" t="str">
        <f>Raw_Data!G939</f>
        <v>Small Business</v>
      </c>
      <c r="H939" t="str">
        <f>Raw_Data!H939</f>
        <v>In-Store</v>
      </c>
      <c r="I939">
        <f>Raw_Data!I939</f>
        <v>10</v>
      </c>
      <c r="J939" s="3">
        <f>Raw_Data!J939</f>
        <v>14.27</v>
      </c>
      <c r="K939" s="4">
        <f>Raw_Data!K939</f>
        <v>0.15</v>
      </c>
      <c r="L939" s="3">
        <f>Raw_Data!L939</f>
        <v>121.29</v>
      </c>
      <c r="M939" s="3">
        <f>Raw_Data!M939</f>
        <v>102.49</v>
      </c>
      <c r="N939" s="3">
        <f>Raw_Data!N939</f>
        <v>18.8</v>
      </c>
      <c r="O939" t="str">
        <f t="shared" si="42"/>
        <v>2025-12</v>
      </c>
      <c r="P939" s="5">
        <f t="shared" si="43"/>
        <v>0.15500041223513891</v>
      </c>
      <c r="Q939" s="3">
        <f t="shared" si="44"/>
        <v>121.29</v>
      </c>
    </row>
    <row r="940" spans="1:17" x14ac:dyDescent="0.35">
      <c r="A940" t="str">
        <f>Raw_Data!A940</f>
        <v>ORD-0931</v>
      </c>
      <c r="B940" s="2">
        <f>Raw_Data!B940</f>
        <v>46005</v>
      </c>
      <c r="C940" t="str">
        <f>Raw_Data!C940</f>
        <v>East</v>
      </c>
      <c r="D940" t="str">
        <f>Raw_Data!D940</f>
        <v>Bhubaneswar</v>
      </c>
      <c r="E940" t="str">
        <f>Raw_Data!E940</f>
        <v>Furniture</v>
      </c>
      <c r="F940" t="str">
        <f>Raw_Data!F940</f>
        <v>Standing Desk</v>
      </c>
      <c r="G940" t="str">
        <f>Raw_Data!G940</f>
        <v>Small Business</v>
      </c>
      <c r="H940" t="str">
        <f>Raw_Data!H940</f>
        <v>Online</v>
      </c>
      <c r="I940">
        <f>Raw_Data!I940</f>
        <v>10</v>
      </c>
      <c r="J940" s="3">
        <f>Raw_Data!J940</f>
        <v>288.11</v>
      </c>
      <c r="K940" s="4">
        <f>Raw_Data!K940</f>
        <v>0.1</v>
      </c>
      <c r="L940" s="3">
        <f>Raw_Data!L940</f>
        <v>2592.9899999999998</v>
      </c>
      <c r="M940" s="3">
        <f>Raw_Data!M940</f>
        <v>1797.97</v>
      </c>
      <c r="N940" s="3">
        <f>Raw_Data!N940</f>
        <v>795.02</v>
      </c>
      <c r="O940" t="str">
        <f t="shared" si="42"/>
        <v>2025-12</v>
      </c>
      <c r="P940" s="5">
        <f t="shared" si="43"/>
        <v>0.30660357348080791</v>
      </c>
      <c r="Q940" s="3">
        <f t="shared" si="44"/>
        <v>2592.9899999999998</v>
      </c>
    </row>
    <row r="941" spans="1:17" x14ac:dyDescent="0.35">
      <c r="A941" t="str">
        <f>Raw_Data!A941</f>
        <v>ORD-0522</v>
      </c>
      <c r="B941" s="2">
        <f>Raw_Data!B941</f>
        <v>46005</v>
      </c>
      <c r="C941" t="str">
        <f>Raw_Data!C941</f>
        <v>East</v>
      </c>
      <c r="D941" t="str">
        <f>Raw_Data!D941</f>
        <v>Kolkata</v>
      </c>
      <c r="E941" t="str">
        <f>Raw_Data!E941</f>
        <v>Office Supplies</v>
      </c>
      <c r="F941" t="str">
        <f>Raw_Data!F941</f>
        <v>Printer Paper</v>
      </c>
      <c r="G941" t="str">
        <f>Raw_Data!G941</f>
        <v>Small Business</v>
      </c>
      <c r="H941" t="str">
        <f>Raw_Data!H941</f>
        <v>Marketplace</v>
      </c>
      <c r="I941">
        <f>Raw_Data!I941</f>
        <v>4</v>
      </c>
      <c r="J941" s="3">
        <f>Raw_Data!J941</f>
        <v>15.76</v>
      </c>
      <c r="K941" s="4">
        <f>Raw_Data!K941</f>
        <v>0.1</v>
      </c>
      <c r="L941" s="3">
        <f>Raw_Data!L941</f>
        <v>56.74</v>
      </c>
      <c r="M941" s="3">
        <f>Raw_Data!M941</f>
        <v>48.61</v>
      </c>
      <c r="N941" s="3">
        <f>Raw_Data!N941</f>
        <v>8.1300000000000008</v>
      </c>
      <c r="O941" t="str">
        <f t="shared" si="42"/>
        <v>2025-12</v>
      </c>
      <c r="P941" s="5">
        <f t="shared" si="43"/>
        <v>0.14328516038068384</v>
      </c>
      <c r="Q941" s="3">
        <f t="shared" si="44"/>
        <v>56.74</v>
      </c>
    </row>
    <row r="942" spans="1:17" x14ac:dyDescent="0.35">
      <c r="A942" t="str">
        <f>Raw_Data!A942</f>
        <v>ORD-0783</v>
      </c>
      <c r="B942" s="2">
        <f>Raw_Data!B942</f>
        <v>46006</v>
      </c>
      <c r="C942" t="str">
        <f>Raw_Data!C942</f>
        <v>South</v>
      </c>
      <c r="D942" t="str">
        <f>Raw_Data!D942</f>
        <v>Hyderabad</v>
      </c>
      <c r="E942" t="str">
        <f>Raw_Data!E942</f>
        <v>Home &amp; Kitchen</v>
      </c>
      <c r="F942" t="str">
        <f>Raw_Data!F942</f>
        <v>Coffee Maker</v>
      </c>
      <c r="G942" t="str">
        <f>Raw_Data!G942</f>
        <v>Corporate</v>
      </c>
      <c r="H942" t="str">
        <f>Raw_Data!H942</f>
        <v>Marketplace</v>
      </c>
      <c r="I942">
        <f>Raw_Data!I942</f>
        <v>11</v>
      </c>
      <c r="J942" s="3">
        <f>Raw_Data!J942</f>
        <v>66.56</v>
      </c>
      <c r="K942" s="4">
        <f>Raw_Data!K942</f>
        <v>0.15</v>
      </c>
      <c r="L942" s="3">
        <f>Raw_Data!L942</f>
        <v>622.34</v>
      </c>
      <c r="M942" s="3">
        <f>Raw_Data!M942</f>
        <v>413.23</v>
      </c>
      <c r="N942" s="3">
        <f>Raw_Data!N942</f>
        <v>209.11</v>
      </c>
      <c r="O942" t="str">
        <f t="shared" si="42"/>
        <v>2025-12</v>
      </c>
      <c r="P942" s="5">
        <f t="shared" si="43"/>
        <v>0.33600604171353282</v>
      </c>
      <c r="Q942" s="3">
        <f t="shared" si="44"/>
        <v>622.34</v>
      </c>
    </row>
    <row r="943" spans="1:17" x14ac:dyDescent="0.35">
      <c r="A943" t="str">
        <f>Raw_Data!A943</f>
        <v>ORD-0276</v>
      </c>
      <c r="B943" s="2">
        <f>Raw_Data!B943</f>
        <v>46007</v>
      </c>
      <c r="C943" t="str">
        <f>Raw_Data!C943</f>
        <v>South</v>
      </c>
      <c r="D943" t="str">
        <f>Raw_Data!D943</f>
        <v>Bengaluru</v>
      </c>
      <c r="E943" t="str">
        <f>Raw_Data!E943</f>
        <v>Technology</v>
      </c>
      <c r="F943" t="str">
        <f>Raw_Data!F943</f>
        <v>Wireless Mouse</v>
      </c>
      <c r="G943" t="str">
        <f>Raw_Data!G943</f>
        <v>Small Business</v>
      </c>
      <c r="H943" t="str">
        <f>Raw_Data!H943</f>
        <v>In-Store</v>
      </c>
      <c r="I943">
        <f>Raw_Data!I943</f>
        <v>2</v>
      </c>
      <c r="J943" s="3">
        <f>Raw_Data!J943</f>
        <v>19.239999999999998</v>
      </c>
      <c r="K943" s="4">
        <f>Raw_Data!K943</f>
        <v>0.1</v>
      </c>
      <c r="L943" s="3">
        <f>Raw_Data!L943</f>
        <v>34.630000000000003</v>
      </c>
      <c r="M943" s="3">
        <f>Raw_Data!M943</f>
        <v>18.66</v>
      </c>
      <c r="N943" s="3">
        <f>Raw_Data!N943</f>
        <v>15.97</v>
      </c>
      <c r="O943" t="str">
        <f t="shared" si="42"/>
        <v>2025-12</v>
      </c>
      <c r="P943" s="5">
        <f t="shared" si="43"/>
        <v>0.46116084319953798</v>
      </c>
      <c r="Q943" s="3">
        <f t="shared" si="44"/>
        <v>34.630000000000003</v>
      </c>
    </row>
    <row r="944" spans="1:17" x14ac:dyDescent="0.35">
      <c r="A944" t="str">
        <f>Raw_Data!A944</f>
        <v>ORD-0824</v>
      </c>
      <c r="B944" s="2">
        <f>Raw_Data!B944</f>
        <v>46007</v>
      </c>
      <c r="C944" t="str">
        <f>Raw_Data!C944</f>
        <v>East</v>
      </c>
      <c r="D944" t="str">
        <f>Raw_Data!D944</f>
        <v>Bhubaneswar</v>
      </c>
      <c r="E944" t="str">
        <f>Raw_Data!E944</f>
        <v>Furniture</v>
      </c>
      <c r="F944" t="str">
        <f>Raw_Data!F944</f>
        <v>Desk Lamp</v>
      </c>
      <c r="G944" t="str">
        <f>Raw_Data!G944</f>
        <v>Consumer</v>
      </c>
      <c r="H944" t="str">
        <f>Raw_Data!H944</f>
        <v>In-Store</v>
      </c>
      <c r="I944">
        <f>Raw_Data!I944</f>
        <v>12</v>
      </c>
      <c r="J944" s="3">
        <f>Raw_Data!J944</f>
        <v>40.33</v>
      </c>
      <c r="K944" s="4">
        <f>Raw_Data!K944</f>
        <v>0</v>
      </c>
      <c r="L944" s="3">
        <f>Raw_Data!L944</f>
        <v>483.96</v>
      </c>
      <c r="M944" s="3">
        <f>Raw_Data!M944</f>
        <v>377.26</v>
      </c>
      <c r="N944" s="3">
        <f>Raw_Data!N944</f>
        <v>106.7</v>
      </c>
      <c r="O944" t="str">
        <f t="shared" si="42"/>
        <v>2025-12</v>
      </c>
      <c r="P944" s="5">
        <f t="shared" si="43"/>
        <v>0.220472766344326</v>
      </c>
      <c r="Q944" s="3">
        <f t="shared" si="44"/>
        <v>483.96</v>
      </c>
    </row>
    <row r="945" spans="1:17" x14ac:dyDescent="0.35">
      <c r="A945" t="str">
        <f>Raw_Data!A945</f>
        <v>ORD-0249</v>
      </c>
      <c r="B945" s="2">
        <f>Raw_Data!B945</f>
        <v>46007</v>
      </c>
      <c r="C945" t="str">
        <f>Raw_Data!C945</f>
        <v>North</v>
      </c>
      <c r="D945" t="str">
        <f>Raw_Data!D945</f>
        <v>Chandigarh</v>
      </c>
      <c r="E945" t="str">
        <f>Raw_Data!E945</f>
        <v>Technology</v>
      </c>
      <c r="F945" t="str">
        <f>Raw_Data!F945</f>
        <v>USB Hub</v>
      </c>
      <c r="G945" t="str">
        <f>Raw_Data!G945</f>
        <v>Small Business</v>
      </c>
      <c r="H945" t="str">
        <f>Raw_Data!H945</f>
        <v>Marketplace</v>
      </c>
      <c r="I945">
        <f>Raw_Data!I945</f>
        <v>12</v>
      </c>
      <c r="J945" s="3">
        <f>Raw_Data!J945</f>
        <v>22.16</v>
      </c>
      <c r="K945" s="4">
        <f>Raw_Data!K945</f>
        <v>0.05</v>
      </c>
      <c r="L945" s="3">
        <f>Raw_Data!L945</f>
        <v>252.62</v>
      </c>
      <c r="M945" s="3">
        <f>Raw_Data!M945</f>
        <v>193.96</v>
      </c>
      <c r="N945" s="3">
        <f>Raw_Data!N945</f>
        <v>58.66</v>
      </c>
      <c r="O945" t="str">
        <f t="shared" si="42"/>
        <v>2025-12</v>
      </c>
      <c r="P945" s="5">
        <f t="shared" si="43"/>
        <v>0.23220647613015594</v>
      </c>
      <c r="Q945" s="3">
        <f t="shared" si="44"/>
        <v>252.62</v>
      </c>
    </row>
    <row r="946" spans="1:17" x14ac:dyDescent="0.35">
      <c r="A946" t="str">
        <f>Raw_Data!A946</f>
        <v>ORD-0013</v>
      </c>
      <c r="B946" s="2">
        <f>Raw_Data!B946</f>
        <v>46007</v>
      </c>
      <c r="C946" t="str">
        <f>Raw_Data!C946</f>
        <v>East</v>
      </c>
      <c r="D946" t="str">
        <f>Raw_Data!D946</f>
        <v>Guwahati</v>
      </c>
      <c r="E946" t="str">
        <f>Raw_Data!E946</f>
        <v>Furniture</v>
      </c>
      <c r="F946" t="str">
        <f>Raw_Data!F946</f>
        <v>Bookshelf</v>
      </c>
      <c r="G946" t="str">
        <f>Raw_Data!G946</f>
        <v>Corporate</v>
      </c>
      <c r="H946" t="str">
        <f>Raw_Data!H946</f>
        <v>Online</v>
      </c>
      <c r="I946">
        <f>Raw_Data!I946</f>
        <v>2</v>
      </c>
      <c r="J946" s="3">
        <f>Raw_Data!J946</f>
        <v>104.8</v>
      </c>
      <c r="K946" s="4">
        <f>Raw_Data!K946</f>
        <v>0</v>
      </c>
      <c r="L946" s="3">
        <f>Raw_Data!L946</f>
        <v>209.6</v>
      </c>
      <c r="M946" s="3">
        <f>Raw_Data!M946</f>
        <v>129.13999999999999</v>
      </c>
      <c r="N946" s="3">
        <f>Raw_Data!N946</f>
        <v>80.459999999999994</v>
      </c>
      <c r="O946" t="str">
        <f t="shared" si="42"/>
        <v>2025-12</v>
      </c>
      <c r="P946" s="5">
        <f t="shared" si="43"/>
        <v>0.38387404580152668</v>
      </c>
      <c r="Q946" s="3">
        <f t="shared" si="44"/>
        <v>209.6</v>
      </c>
    </row>
    <row r="947" spans="1:17" x14ac:dyDescent="0.35">
      <c r="A947" t="str">
        <f>Raw_Data!A947</f>
        <v>ORD-0398</v>
      </c>
      <c r="B947" s="2">
        <f>Raw_Data!B947</f>
        <v>46008</v>
      </c>
      <c r="C947" t="str">
        <f>Raw_Data!C947</f>
        <v>West</v>
      </c>
      <c r="D947" t="str">
        <f>Raw_Data!D947</f>
        <v>Ahmedabad</v>
      </c>
      <c r="E947" t="str">
        <f>Raw_Data!E947</f>
        <v>Furniture</v>
      </c>
      <c r="F947" t="str">
        <f>Raw_Data!F947</f>
        <v>Office Chair</v>
      </c>
      <c r="G947" t="str">
        <f>Raw_Data!G947</f>
        <v>Consumer</v>
      </c>
      <c r="H947" t="str">
        <f>Raw_Data!H947</f>
        <v>Marketplace</v>
      </c>
      <c r="I947">
        <f>Raw_Data!I947</f>
        <v>1</v>
      </c>
      <c r="J947" s="3">
        <f>Raw_Data!J947</f>
        <v>160.99</v>
      </c>
      <c r="K947" s="4">
        <f>Raw_Data!K947</f>
        <v>0</v>
      </c>
      <c r="L947" s="3">
        <f>Raw_Data!L947</f>
        <v>160.99</v>
      </c>
      <c r="M947" s="3">
        <f>Raw_Data!M947</f>
        <v>107.25</v>
      </c>
      <c r="N947" s="3">
        <f>Raw_Data!N947</f>
        <v>53.74</v>
      </c>
      <c r="O947" t="str">
        <f t="shared" si="42"/>
        <v>2025-12</v>
      </c>
      <c r="P947" s="5">
        <f t="shared" si="43"/>
        <v>0.33380955338840923</v>
      </c>
      <c r="Q947" s="3">
        <f t="shared" si="44"/>
        <v>160.99</v>
      </c>
    </row>
    <row r="948" spans="1:17" x14ac:dyDescent="0.35">
      <c r="A948" t="str">
        <f>Raw_Data!A948</f>
        <v>ORD-0712</v>
      </c>
      <c r="B948" s="2">
        <f>Raw_Data!B948</f>
        <v>46008</v>
      </c>
      <c r="C948" t="str">
        <f>Raw_Data!C948</f>
        <v>West</v>
      </c>
      <c r="D948" t="str">
        <f>Raw_Data!D948</f>
        <v>Ahmedabad</v>
      </c>
      <c r="E948" t="str">
        <f>Raw_Data!E948</f>
        <v>Home &amp; Kitchen</v>
      </c>
      <c r="F948" t="str">
        <f>Raw_Data!F948</f>
        <v>Water Bottle</v>
      </c>
      <c r="G948" t="str">
        <f>Raw_Data!G948</f>
        <v>Corporate</v>
      </c>
      <c r="H948" t="str">
        <f>Raw_Data!H948</f>
        <v>Online</v>
      </c>
      <c r="I948">
        <f>Raw_Data!I948</f>
        <v>1</v>
      </c>
      <c r="J948" s="3">
        <f>Raw_Data!J948</f>
        <v>16.23</v>
      </c>
      <c r="K948" s="4">
        <f>Raw_Data!K948</f>
        <v>0.05</v>
      </c>
      <c r="L948" s="3">
        <f>Raw_Data!L948</f>
        <v>15.42</v>
      </c>
      <c r="M948" s="3">
        <f>Raw_Data!M948</f>
        <v>12.53</v>
      </c>
      <c r="N948" s="3">
        <f>Raw_Data!N948</f>
        <v>2.89</v>
      </c>
      <c r="O948" t="str">
        <f t="shared" si="42"/>
        <v>2025-12</v>
      </c>
      <c r="P948" s="5">
        <f t="shared" si="43"/>
        <v>0.1874189364461738</v>
      </c>
      <c r="Q948" s="3">
        <f t="shared" si="44"/>
        <v>15.42</v>
      </c>
    </row>
    <row r="949" spans="1:17" x14ac:dyDescent="0.35">
      <c r="A949" t="str">
        <f>Raw_Data!A949</f>
        <v>ORD-0227</v>
      </c>
      <c r="B949" s="2">
        <f>Raw_Data!B949</f>
        <v>46008</v>
      </c>
      <c r="C949" t="str">
        <f>Raw_Data!C949</f>
        <v>East</v>
      </c>
      <c r="D949" t="str">
        <f>Raw_Data!D949</f>
        <v>Guwahati</v>
      </c>
      <c r="E949" t="str">
        <f>Raw_Data!E949</f>
        <v>Furniture</v>
      </c>
      <c r="F949" t="str">
        <f>Raw_Data!F949</f>
        <v>Bookshelf</v>
      </c>
      <c r="G949" t="str">
        <f>Raw_Data!G949</f>
        <v>Consumer</v>
      </c>
      <c r="H949" t="str">
        <f>Raw_Data!H949</f>
        <v>Online</v>
      </c>
      <c r="I949">
        <f>Raw_Data!I949</f>
        <v>8</v>
      </c>
      <c r="J949" s="3">
        <f>Raw_Data!J949</f>
        <v>130.71</v>
      </c>
      <c r="K949" s="4">
        <f>Raw_Data!K949</f>
        <v>0.1</v>
      </c>
      <c r="L949" s="3">
        <f>Raw_Data!L949</f>
        <v>941.11</v>
      </c>
      <c r="M949" s="3">
        <f>Raw_Data!M949</f>
        <v>646.49</v>
      </c>
      <c r="N949" s="3">
        <f>Raw_Data!N949</f>
        <v>294.62</v>
      </c>
      <c r="O949" t="str">
        <f t="shared" si="42"/>
        <v>2025-12</v>
      </c>
      <c r="P949" s="5">
        <f t="shared" si="43"/>
        <v>0.31305585957008214</v>
      </c>
      <c r="Q949" s="3">
        <f t="shared" si="44"/>
        <v>941.11</v>
      </c>
    </row>
    <row r="950" spans="1:17" x14ac:dyDescent="0.35">
      <c r="A950" t="str">
        <f>Raw_Data!A950</f>
        <v>ORD-0658</v>
      </c>
      <c r="B950" s="2">
        <f>Raw_Data!B950</f>
        <v>46008</v>
      </c>
      <c r="C950" t="str">
        <f>Raw_Data!C950</f>
        <v>East</v>
      </c>
      <c r="D950" t="str">
        <f>Raw_Data!D950</f>
        <v>Bhubaneswar</v>
      </c>
      <c r="E950" t="str">
        <f>Raw_Data!E950</f>
        <v>Furniture</v>
      </c>
      <c r="F950" t="str">
        <f>Raw_Data!F950</f>
        <v>Office Chair</v>
      </c>
      <c r="G950" t="str">
        <f>Raw_Data!G950</f>
        <v>Small Business</v>
      </c>
      <c r="H950" t="str">
        <f>Raw_Data!H950</f>
        <v>In-Store</v>
      </c>
      <c r="I950">
        <f>Raw_Data!I950</f>
        <v>9</v>
      </c>
      <c r="J950" s="3">
        <f>Raw_Data!J950</f>
        <v>152.69</v>
      </c>
      <c r="K950" s="4">
        <f>Raw_Data!K950</f>
        <v>0</v>
      </c>
      <c r="L950" s="3">
        <f>Raw_Data!L950</f>
        <v>1374.21</v>
      </c>
      <c r="M950" s="3">
        <f>Raw_Data!M950</f>
        <v>664.94</v>
      </c>
      <c r="N950" s="3">
        <f>Raw_Data!N950</f>
        <v>709.27</v>
      </c>
      <c r="O950" t="str">
        <f t="shared" si="42"/>
        <v>2025-12</v>
      </c>
      <c r="P950" s="5">
        <f t="shared" si="43"/>
        <v>0.51612926699703832</v>
      </c>
      <c r="Q950" s="3">
        <f t="shared" si="44"/>
        <v>1374.21</v>
      </c>
    </row>
    <row r="951" spans="1:17" x14ac:dyDescent="0.35">
      <c r="A951" t="str">
        <f>Raw_Data!A951</f>
        <v>ORD-0727</v>
      </c>
      <c r="B951" s="2">
        <f>Raw_Data!B951</f>
        <v>46008</v>
      </c>
      <c r="C951" t="str">
        <f>Raw_Data!C951</f>
        <v>West</v>
      </c>
      <c r="D951" t="str">
        <f>Raw_Data!D951</f>
        <v>Pune</v>
      </c>
      <c r="E951" t="str">
        <f>Raw_Data!E951</f>
        <v>Office Supplies</v>
      </c>
      <c r="F951" t="str">
        <f>Raw_Data!F951</f>
        <v>Desk Organizer</v>
      </c>
      <c r="G951" t="str">
        <f>Raw_Data!G951</f>
        <v>Small Business</v>
      </c>
      <c r="H951" t="str">
        <f>Raw_Data!H951</f>
        <v>In-Store</v>
      </c>
      <c r="I951">
        <f>Raw_Data!I951</f>
        <v>11</v>
      </c>
      <c r="J951" s="3">
        <f>Raw_Data!J951</f>
        <v>18.559999999999999</v>
      </c>
      <c r="K951" s="4">
        <f>Raw_Data!K951</f>
        <v>0.05</v>
      </c>
      <c r="L951" s="3">
        <f>Raw_Data!L951</f>
        <v>193.95</v>
      </c>
      <c r="M951" s="3">
        <f>Raw_Data!M951</f>
        <v>129.4</v>
      </c>
      <c r="N951" s="3">
        <f>Raw_Data!N951</f>
        <v>64.55</v>
      </c>
      <c r="O951" t="str">
        <f t="shared" si="42"/>
        <v>2025-12</v>
      </c>
      <c r="P951" s="5">
        <f t="shared" si="43"/>
        <v>0.33281773653003349</v>
      </c>
      <c r="Q951" s="3">
        <f t="shared" si="44"/>
        <v>193.95</v>
      </c>
    </row>
    <row r="952" spans="1:17" x14ac:dyDescent="0.35">
      <c r="A952" t="str">
        <f>Raw_Data!A952</f>
        <v>ORD-0879</v>
      </c>
      <c r="B952" s="2">
        <f>Raw_Data!B952</f>
        <v>46009</v>
      </c>
      <c r="C952" t="str">
        <f>Raw_Data!C952</f>
        <v>East</v>
      </c>
      <c r="D952" t="str">
        <f>Raw_Data!D952</f>
        <v>Bhubaneswar</v>
      </c>
      <c r="E952" t="str">
        <f>Raw_Data!E952</f>
        <v>Home &amp; Kitchen</v>
      </c>
      <c r="F952" t="str">
        <f>Raw_Data!F952</f>
        <v>Lunch Box</v>
      </c>
      <c r="G952" t="str">
        <f>Raw_Data!G952</f>
        <v>Consumer</v>
      </c>
      <c r="H952" t="str">
        <f>Raw_Data!H952</f>
        <v>Marketplace</v>
      </c>
      <c r="I952">
        <f>Raw_Data!I952</f>
        <v>11</v>
      </c>
      <c r="J952" s="3">
        <f>Raw_Data!J952</f>
        <v>18.32</v>
      </c>
      <c r="K952" s="4">
        <f>Raw_Data!K952</f>
        <v>0.05</v>
      </c>
      <c r="L952" s="3">
        <f>Raw_Data!L952</f>
        <v>191.44</v>
      </c>
      <c r="M952" s="3">
        <f>Raw_Data!M952</f>
        <v>97.74</v>
      </c>
      <c r="N952" s="3">
        <f>Raw_Data!N952</f>
        <v>93.7</v>
      </c>
      <c r="O952" t="str">
        <f t="shared" si="42"/>
        <v>2025-12</v>
      </c>
      <c r="P952" s="5">
        <f t="shared" si="43"/>
        <v>0.48944839114082744</v>
      </c>
      <c r="Q952" s="3">
        <f t="shared" si="44"/>
        <v>191.44</v>
      </c>
    </row>
    <row r="953" spans="1:17" x14ac:dyDescent="0.35">
      <c r="A953" t="str">
        <f>Raw_Data!A953</f>
        <v>ORD-0692</v>
      </c>
      <c r="B953" s="2">
        <f>Raw_Data!B953</f>
        <v>46009</v>
      </c>
      <c r="C953" t="str">
        <f>Raw_Data!C953</f>
        <v>East</v>
      </c>
      <c r="D953" t="str">
        <f>Raw_Data!D953</f>
        <v>Guwahati</v>
      </c>
      <c r="E953" t="str">
        <f>Raw_Data!E953</f>
        <v>Office Supplies</v>
      </c>
      <c r="F953" t="str">
        <f>Raw_Data!F953</f>
        <v>Printer Paper</v>
      </c>
      <c r="G953" t="str">
        <f>Raw_Data!G953</f>
        <v>Small Business</v>
      </c>
      <c r="H953" t="str">
        <f>Raw_Data!H953</f>
        <v>In-Store</v>
      </c>
      <c r="I953">
        <f>Raw_Data!I953</f>
        <v>4</v>
      </c>
      <c r="J953" s="3">
        <f>Raw_Data!J953</f>
        <v>13.35</v>
      </c>
      <c r="K953" s="4">
        <f>Raw_Data!K953</f>
        <v>0</v>
      </c>
      <c r="L953" s="3">
        <f>Raw_Data!L953</f>
        <v>53.4</v>
      </c>
      <c r="M953" s="3">
        <f>Raw_Data!M953</f>
        <v>26.08</v>
      </c>
      <c r="N953" s="3">
        <f>Raw_Data!N953</f>
        <v>27.32</v>
      </c>
      <c r="O953" t="str">
        <f t="shared" si="42"/>
        <v>2025-12</v>
      </c>
      <c r="P953" s="5">
        <f t="shared" si="43"/>
        <v>0.51161048689138577</v>
      </c>
      <c r="Q953" s="3">
        <f t="shared" si="44"/>
        <v>53.4</v>
      </c>
    </row>
    <row r="954" spans="1:17" x14ac:dyDescent="0.35">
      <c r="A954" t="str">
        <f>Raw_Data!A954</f>
        <v>ORD-0556</v>
      </c>
      <c r="B954" s="2">
        <f>Raw_Data!B954</f>
        <v>46009</v>
      </c>
      <c r="C954" t="str">
        <f>Raw_Data!C954</f>
        <v>East</v>
      </c>
      <c r="D954" t="str">
        <f>Raw_Data!D954</f>
        <v>Bhubaneswar</v>
      </c>
      <c r="E954" t="str">
        <f>Raw_Data!E954</f>
        <v>Technology</v>
      </c>
      <c r="F954" t="str">
        <f>Raw_Data!F954</f>
        <v>Headphones</v>
      </c>
      <c r="G954" t="str">
        <f>Raw_Data!G954</f>
        <v>Consumer</v>
      </c>
      <c r="H954" t="str">
        <f>Raw_Data!H954</f>
        <v>Marketplace</v>
      </c>
      <c r="I954">
        <f>Raw_Data!I954</f>
        <v>8</v>
      </c>
      <c r="J954" s="3">
        <f>Raw_Data!J954</f>
        <v>63.87</v>
      </c>
      <c r="K954" s="4">
        <f>Raw_Data!K954</f>
        <v>0</v>
      </c>
      <c r="L954" s="3">
        <f>Raw_Data!L954</f>
        <v>510.96</v>
      </c>
      <c r="M954" s="3">
        <f>Raw_Data!M954</f>
        <v>325.06</v>
      </c>
      <c r="N954" s="3">
        <f>Raw_Data!N954</f>
        <v>185.9</v>
      </c>
      <c r="O954" t="str">
        <f t="shared" si="42"/>
        <v>2025-12</v>
      </c>
      <c r="P954" s="5">
        <f t="shared" si="43"/>
        <v>0.36382495694379208</v>
      </c>
      <c r="Q954" s="3">
        <f t="shared" si="44"/>
        <v>510.96</v>
      </c>
    </row>
    <row r="955" spans="1:17" x14ac:dyDescent="0.35">
      <c r="A955" t="str">
        <f>Raw_Data!A955</f>
        <v>ORD-0327</v>
      </c>
      <c r="B955" s="2">
        <f>Raw_Data!B955</f>
        <v>46009</v>
      </c>
      <c r="C955" t="str">
        <f>Raw_Data!C955</f>
        <v>East</v>
      </c>
      <c r="D955" t="str">
        <f>Raw_Data!D955</f>
        <v>Kolkata</v>
      </c>
      <c r="E955" t="str">
        <f>Raw_Data!E955</f>
        <v>Office Supplies</v>
      </c>
      <c r="F955" t="str">
        <f>Raw_Data!F955</f>
        <v>Pen Set</v>
      </c>
      <c r="G955" t="str">
        <f>Raw_Data!G955</f>
        <v>Small Business</v>
      </c>
      <c r="H955" t="str">
        <f>Raw_Data!H955</f>
        <v>Online</v>
      </c>
      <c r="I955">
        <f>Raw_Data!I955</f>
        <v>8</v>
      </c>
      <c r="J955" s="3">
        <f>Raw_Data!J955</f>
        <v>7.01</v>
      </c>
      <c r="K955" s="4">
        <f>Raw_Data!K955</f>
        <v>0</v>
      </c>
      <c r="L955" s="3">
        <f>Raw_Data!L955</f>
        <v>56.08</v>
      </c>
      <c r="M955" s="3">
        <f>Raw_Data!M955</f>
        <v>31.88</v>
      </c>
      <c r="N955" s="3">
        <f>Raw_Data!N955</f>
        <v>24.2</v>
      </c>
      <c r="O955" t="str">
        <f t="shared" si="42"/>
        <v>2025-12</v>
      </c>
      <c r="P955" s="5">
        <f t="shared" si="43"/>
        <v>0.43152639087018546</v>
      </c>
      <c r="Q955" s="3">
        <f t="shared" si="44"/>
        <v>56.08</v>
      </c>
    </row>
    <row r="956" spans="1:17" x14ac:dyDescent="0.35">
      <c r="A956" t="str">
        <f>Raw_Data!A956</f>
        <v>ORD-0898</v>
      </c>
      <c r="B956" s="2">
        <f>Raw_Data!B956</f>
        <v>46010</v>
      </c>
      <c r="C956" t="str">
        <f>Raw_Data!C956</f>
        <v>West</v>
      </c>
      <c r="D956" t="str">
        <f>Raw_Data!D956</f>
        <v>Ahmedabad</v>
      </c>
      <c r="E956" t="str">
        <f>Raw_Data!E956</f>
        <v>Office Supplies</v>
      </c>
      <c r="F956" t="str">
        <f>Raw_Data!F956</f>
        <v>Printer Paper</v>
      </c>
      <c r="G956" t="str">
        <f>Raw_Data!G956</f>
        <v>Small Business</v>
      </c>
      <c r="H956" t="str">
        <f>Raw_Data!H956</f>
        <v>Marketplace</v>
      </c>
      <c r="I956">
        <f>Raw_Data!I956</f>
        <v>12</v>
      </c>
      <c r="J956" s="3">
        <f>Raw_Data!J956</f>
        <v>17.95</v>
      </c>
      <c r="K956" s="4">
        <f>Raw_Data!K956</f>
        <v>0</v>
      </c>
      <c r="L956" s="3">
        <f>Raw_Data!L956</f>
        <v>215.4</v>
      </c>
      <c r="M956" s="3">
        <f>Raw_Data!M956</f>
        <v>153.65</v>
      </c>
      <c r="N956" s="3">
        <f>Raw_Data!N956</f>
        <v>61.75</v>
      </c>
      <c r="O956" t="str">
        <f t="shared" si="42"/>
        <v>2025-12</v>
      </c>
      <c r="P956" s="5">
        <f t="shared" si="43"/>
        <v>0.28667595171773447</v>
      </c>
      <c r="Q956" s="3">
        <f t="shared" si="44"/>
        <v>215.4</v>
      </c>
    </row>
    <row r="957" spans="1:17" x14ac:dyDescent="0.35">
      <c r="A957" t="str">
        <f>Raw_Data!A957</f>
        <v>ORD-0078</v>
      </c>
      <c r="B957" s="2">
        <f>Raw_Data!B957</f>
        <v>46010</v>
      </c>
      <c r="C957" t="str">
        <f>Raw_Data!C957</f>
        <v>North</v>
      </c>
      <c r="D957" t="str">
        <f>Raw_Data!D957</f>
        <v>Chandigarh</v>
      </c>
      <c r="E957" t="str">
        <f>Raw_Data!E957</f>
        <v>Furniture</v>
      </c>
      <c r="F957" t="str">
        <f>Raw_Data!F957</f>
        <v>Standing Desk</v>
      </c>
      <c r="G957" t="str">
        <f>Raw_Data!G957</f>
        <v>Small Business</v>
      </c>
      <c r="H957" t="str">
        <f>Raw_Data!H957</f>
        <v>Marketplace</v>
      </c>
      <c r="I957">
        <f>Raw_Data!I957</f>
        <v>5</v>
      </c>
      <c r="J957" s="3">
        <f>Raw_Data!J957</f>
        <v>266.54000000000002</v>
      </c>
      <c r="K957" s="4">
        <f>Raw_Data!K957</f>
        <v>0.1</v>
      </c>
      <c r="L957" s="3">
        <f>Raw_Data!L957</f>
        <v>1199.43</v>
      </c>
      <c r="M957" s="3">
        <f>Raw_Data!M957</f>
        <v>814.72</v>
      </c>
      <c r="N957" s="3">
        <f>Raw_Data!N957</f>
        <v>384.71</v>
      </c>
      <c r="O957" t="str">
        <f t="shared" si="42"/>
        <v>2025-12</v>
      </c>
      <c r="P957" s="5">
        <f t="shared" si="43"/>
        <v>0.32074402007620284</v>
      </c>
      <c r="Q957" s="3">
        <f t="shared" si="44"/>
        <v>1199.43</v>
      </c>
    </row>
    <row r="958" spans="1:17" x14ac:dyDescent="0.35">
      <c r="A958" t="str">
        <f>Raw_Data!A958</f>
        <v>ORD-0653</v>
      </c>
      <c r="B958" s="2">
        <f>Raw_Data!B958</f>
        <v>46010</v>
      </c>
      <c r="C958" t="str">
        <f>Raw_Data!C958</f>
        <v>North</v>
      </c>
      <c r="D958" t="str">
        <f>Raw_Data!D958</f>
        <v>Chandigarh</v>
      </c>
      <c r="E958" t="str">
        <f>Raw_Data!E958</f>
        <v>Office Supplies</v>
      </c>
      <c r="F958" t="str">
        <f>Raw_Data!F958</f>
        <v>Notebook Pack</v>
      </c>
      <c r="G958" t="str">
        <f>Raw_Data!G958</f>
        <v>Corporate</v>
      </c>
      <c r="H958" t="str">
        <f>Raw_Data!H958</f>
        <v>Marketplace</v>
      </c>
      <c r="I958">
        <f>Raw_Data!I958</f>
        <v>2</v>
      </c>
      <c r="J958" s="3">
        <f>Raw_Data!J958</f>
        <v>13.41</v>
      </c>
      <c r="K958" s="4">
        <f>Raw_Data!K958</f>
        <v>0.1</v>
      </c>
      <c r="L958" s="3">
        <f>Raw_Data!L958</f>
        <v>24.14</v>
      </c>
      <c r="M958" s="3">
        <f>Raw_Data!M958</f>
        <v>20.87</v>
      </c>
      <c r="N958" s="3">
        <f>Raw_Data!N958</f>
        <v>3.27</v>
      </c>
      <c r="O958" t="str">
        <f t="shared" si="42"/>
        <v>2025-12</v>
      </c>
      <c r="P958" s="5">
        <f t="shared" si="43"/>
        <v>0.13545981772990887</v>
      </c>
      <c r="Q958" s="3">
        <f t="shared" si="44"/>
        <v>24.14</v>
      </c>
    </row>
    <row r="959" spans="1:17" x14ac:dyDescent="0.35">
      <c r="A959" t="str">
        <f>Raw_Data!A959</f>
        <v>ORD-0852</v>
      </c>
      <c r="B959" s="2">
        <f>Raw_Data!B959</f>
        <v>46010</v>
      </c>
      <c r="C959" t="str">
        <f>Raw_Data!C959</f>
        <v>West</v>
      </c>
      <c r="D959" t="str">
        <f>Raw_Data!D959</f>
        <v>Ahmedabad</v>
      </c>
      <c r="E959" t="str">
        <f>Raw_Data!E959</f>
        <v>Furniture</v>
      </c>
      <c r="F959" t="str">
        <f>Raw_Data!F959</f>
        <v>Standing Desk</v>
      </c>
      <c r="G959" t="str">
        <f>Raw_Data!G959</f>
        <v>Small Business</v>
      </c>
      <c r="H959" t="str">
        <f>Raw_Data!H959</f>
        <v>Marketplace</v>
      </c>
      <c r="I959">
        <f>Raw_Data!I959</f>
        <v>2</v>
      </c>
      <c r="J959" s="3">
        <f>Raw_Data!J959</f>
        <v>251.49</v>
      </c>
      <c r="K959" s="4">
        <f>Raw_Data!K959</f>
        <v>0.15</v>
      </c>
      <c r="L959" s="3">
        <f>Raw_Data!L959</f>
        <v>427.53</v>
      </c>
      <c r="M959" s="3">
        <f>Raw_Data!M959</f>
        <v>379.06</v>
      </c>
      <c r="N959" s="3">
        <f>Raw_Data!N959</f>
        <v>48.47</v>
      </c>
      <c r="O959" t="str">
        <f t="shared" si="42"/>
        <v>2025-12</v>
      </c>
      <c r="P959" s="5">
        <f t="shared" si="43"/>
        <v>0.11337216101794026</v>
      </c>
      <c r="Q959" s="3">
        <f t="shared" si="44"/>
        <v>427.53</v>
      </c>
    </row>
    <row r="960" spans="1:17" x14ac:dyDescent="0.35">
      <c r="A960" t="str">
        <f>Raw_Data!A960</f>
        <v>ORD-0486</v>
      </c>
      <c r="B960" s="2">
        <f>Raw_Data!B960</f>
        <v>46010</v>
      </c>
      <c r="C960" t="str">
        <f>Raw_Data!C960</f>
        <v>East</v>
      </c>
      <c r="D960" t="str">
        <f>Raw_Data!D960</f>
        <v>Kolkata</v>
      </c>
      <c r="E960" t="str">
        <f>Raw_Data!E960</f>
        <v>Office Supplies</v>
      </c>
      <c r="F960" t="str">
        <f>Raw_Data!F960</f>
        <v>Desk Organizer</v>
      </c>
      <c r="G960" t="str">
        <f>Raw_Data!G960</f>
        <v>Corporate</v>
      </c>
      <c r="H960" t="str">
        <f>Raw_Data!H960</f>
        <v>Online</v>
      </c>
      <c r="I960">
        <f>Raw_Data!I960</f>
        <v>2</v>
      </c>
      <c r="J960" s="3">
        <f>Raw_Data!J960</f>
        <v>19.68</v>
      </c>
      <c r="K960" s="4">
        <f>Raw_Data!K960</f>
        <v>0.1</v>
      </c>
      <c r="L960" s="3">
        <f>Raw_Data!L960</f>
        <v>35.42</v>
      </c>
      <c r="M960" s="3">
        <f>Raw_Data!M960</f>
        <v>19.97</v>
      </c>
      <c r="N960" s="3">
        <f>Raw_Data!N960</f>
        <v>15.45</v>
      </c>
      <c r="O960" t="str">
        <f t="shared" si="42"/>
        <v>2025-12</v>
      </c>
      <c r="P960" s="5">
        <f t="shared" si="43"/>
        <v>0.43619424054206657</v>
      </c>
      <c r="Q960" s="3">
        <f t="shared" si="44"/>
        <v>35.42</v>
      </c>
    </row>
    <row r="961" spans="1:17" x14ac:dyDescent="0.35">
      <c r="A961" t="str">
        <f>Raw_Data!A961</f>
        <v>ORD-0017</v>
      </c>
      <c r="B961" s="2">
        <f>Raw_Data!B961</f>
        <v>46011</v>
      </c>
      <c r="C961" t="str">
        <f>Raw_Data!C961</f>
        <v>West</v>
      </c>
      <c r="D961" t="str">
        <f>Raw_Data!D961</f>
        <v>Mumbai</v>
      </c>
      <c r="E961" t="str">
        <f>Raw_Data!E961</f>
        <v>Office Supplies</v>
      </c>
      <c r="F961" t="str">
        <f>Raw_Data!F961</f>
        <v>Desk Organizer</v>
      </c>
      <c r="G961" t="str">
        <f>Raw_Data!G961</f>
        <v>Consumer</v>
      </c>
      <c r="H961" t="str">
        <f>Raw_Data!H961</f>
        <v>Online</v>
      </c>
      <c r="I961">
        <f>Raw_Data!I961</f>
        <v>7</v>
      </c>
      <c r="J961" s="3">
        <f>Raw_Data!J961</f>
        <v>25.16</v>
      </c>
      <c r="K961" s="4">
        <f>Raw_Data!K961</f>
        <v>0.05</v>
      </c>
      <c r="L961" s="3">
        <f>Raw_Data!L961</f>
        <v>167.31</v>
      </c>
      <c r="M961" s="3">
        <f>Raw_Data!M961</f>
        <v>107.69</v>
      </c>
      <c r="N961" s="3">
        <f>Raw_Data!N961</f>
        <v>59.62</v>
      </c>
      <c r="O961" t="str">
        <f t="shared" si="42"/>
        <v>2025-12</v>
      </c>
      <c r="P961" s="5">
        <f t="shared" si="43"/>
        <v>0.35634451019066404</v>
      </c>
      <c r="Q961" s="3">
        <f t="shared" si="44"/>
        <v>167.31</v>
      </c>
    </row>
    <row r="962" spans="1:17" x14ac:dyDescent="0.35">
      <c r="A962" t="str">
        <f>Raw_Data!A962</f>
        <v>ORD-0342</v>
      </c>
      <c r="B962" s="2">
        <f>Raw_Data!B962</f>
        <v>46011</v>
      </c>
      <c r="C962" t="str">
        <f>Raw_Data!C962</f>
        <v>North</v>
      </c>
      <c r="D962" t="str">
        <f>Raw_Data!D962</f>
        <v>Chandigarh</v>
      </c>
      <c r="E962" t="str">
        <f>Raw_Data!E962</f>
        <v>Office Supplies</v>
      </c>
      <c r="F962" t="str">
        <f>Raw_Data!F962</f>
        <v>Notebook Pack</v>
      </c>
      <c r="G962" t="str">
        <f>Raw_Data!G962</f>
        <v>Small Business</v>
      </c>
      <c r="H962" t="str">
        <f>Raw_Data!H962</f>
        <v>In-Store</v>
      </c>
      <c r="I962">
        <f>Raw_Data!I962</f>
        <v>12</v>
      </c>
      <c r="J962" s="3">
        <f>Raw_Data!J962</f>
        <v>12.2</v>
      </c>
      <c r="K962" s="4">
        <f>Raw_Data!K962</f>
        <v>0.05</v>
      </c>
      <c r="L962" s="3">
        <f>Raw_Data!L962</f>
        <v>139.08000000000001</v>
      </c>
      <c r="M962" s="3">
        <f>Raw_Data!M962</f>
        <v>109.67</v>
      </c>
      <c r="N962" s="3">
        <f>Raw_Data!N962</f>
        <v>29.41</v>
      </c>
      <c r="O962" t="str">
        <f t="shared" ref="O962:O1001" si="45">TEXT(B962,"yyyy-mm")</f>
        <v>2025-12</v>
      </c>
      <c r="P962" s="5">
        <f t="shared" ref="P962:P1001" si="46">IFERROR(N962/L962,0)</f>
        <v>0.2114610296232384</v>
      </c>
      <c r="Q962" s="3">
        <f t="shared" ref="Q962:Q1001" si="47">IFERROR(L962,0)</f>
        <v>139.08000000000001</v>
      </c>
    </row>
    <row r="963" spans="1:17" x14ac:dyDescent="0.35">
      <c r="A963" t="str">
        <f>Raw_Data!A963</f>
        <v>ORD-0700</v>
      </c>
      <c r="B963" s="2">
        <f>Raw_Data!B963</f>
        <v>46011</v>
      </c>
      <c r="C963" t="str">
        <f>Raw_Data!C963</f>
        <v>North</v>
      </c>
      <c r="D963" t="str">
        <f>Raw_Data!D963</f>
        <v>Chandigarh</v>
      </c>
      <c r="E963" t="str">
        <f>Raw_Data!E963</f>
        <v>Office Supplies</v>
      </c>
      <c r="F963" t="str">
        <f>Raw_Data!F963</f>
        <v>Desk Organizer</v>
      </c>
      <c r="G963" t="str">
        <f>Raw_Data!G963</f>
        <v>Corporate</v>
      </c>
      <c r="H963" t="str">
        <f>Raw_Data!H963</f>
        <v>Online</v>
      </c>
      <c r="I963">
        <f>Raw_Data!I963</f>
        <v>9</v>
      </c>
      <c r="J963" s="3">
        <f>Raw_Data!J963</f>
        <v>20.68</v>
      </c>
      <c r="K963" s="4">
        <f>Raw_Data!K963</f>
        <v>0.05</v>
      </c>
      <c r="L963" s="3">
        <f>Raw_Data!L963</f>
        <v>176.81</v>
      </c>
      <c r="M963" s="3">
        <f>Raw_Data!M963</f>
        <v>139.77000000000001</v>
      </c>
      <c r="N963" s="3">
        <f>Raw_Data!N963</f>
        <v>37.04</v>
      </c>
      <c r="O963" t="str">
        <f t="shared" si="45"/>
        <v>2025-12</v>
      </c>
      <c r="P963" s="5">
        <f t="shared" si="46"/>
        <v>0.20949041343815394</v>
      </c>
      <c r="Q963" s="3">
        <f t="shared" si="47"/>
        <v>176.81</v>
      </c>
    </row>
    <row r="964" spans="1:17" x14ac:dyDescent="0.35">
      <c r="A964" t="str">
        <f>Raw_Data!A964</f>
        <v>ORD-0505</v>
      </c>
      <c r="B964" s="2">
        <f>Raw_Data!B964</f>
        <v>46011</v>
      </c>
      <c r="C964" t="str">
        <f>Raw_Data!C964</f>
        <v>North</v>
      </c>
      <c r="D964" t="str">
        <f>Raw_Data!D964</f>
        <v>Chandigarh</v>
      </c>
      <c r="E964" t="str">
        <f>Raw_Data!E964</f>
        <v>Technology</v>
      </c>
      <c r="F964" t="str">
        <f>Raw_Data!F964</f>
        <v>Headphones</v>
      </c>
      <c r="G964" t="str">
        <f>Raw_Data!G964</f>
        <v>Small Business</v>
      </c>
      <c r="H964" t="str">
        <f>Raw_Data!H964</f>
        <v>In-Store</v>
      </c>
      <c r="I964">
        <f>Raw_Data!I964</f>
        <v>1</v>
      </c>
      <c r="J964" s="3">
        <f>Raw_Data!J964</f>
        <v>60.82</v>
      </c>
      <c r="K964" s="4">
        <f>Raw_Data!K964</f>
        <v>0.15</v>
      </c>
      <c r="L964" s="3">
        <f>Raw_Data!L964</f>
        <v>51.7</v>
      </c>
      <c r="M964" s="3">
        <f>Raw_Data!M964</f>
        <v>36.159999999999997</v>
      </c>
      <c r="N964" s="3">
        <f>Raw_Data!N964</f>
        <v>15.54</v>
      </c>
      <c r="O964" t="str">
        <f t="shared" si="45"/>
        <v>2025-12</v>
      </c>
      <c r="P964" s="5">
        <f t="shared" si="46"/>
        <v>0.30058027079303673</v>
      </c>
      <c r="Q964" s="3">
        <f t="shared" si="47"/>
        <v>51.7</v>
      </c>
    </row>
    <row r="965" spans="1:17" x14ac:dyDescent="0.35">
      <c r="A965" t="str">
        <f>Raw_Data!A965</f>
        <v>ORD-0066</v>
      </c>
      <c r="B965" s="2">
        <f>Raw_Data!B965</f>
        <v>46011</v>
      </c>
      <c r="C965" t="str">
        <f>Raw_Data!C965</f>
        <v>West</v>
      </c>
      <c r="D965" t="str">
        <f>Raw_Data!D965</f>
        <v>Pune</v>
      </c>
      <c r="E965" t="str">
        <f>Raw_Data!E965</f>
        <v>Home &amp; Kitchen</v>
      </c>
      <c r="F965" t="str">
        <f>Raw_Data!F965</f>
        <v>Lunch Box</v>
      </c>
      <c r="G965" t="str">
        <f>Raw_Data!G965</f>
        <v>Corporate</v>
      </c>
      <c r="H965" t="str">
        <f>Raw_Data!H965</f>
        <v>Online</v>
      </c>
      <c r="I965">
        <f>Raw_Data!I965</f>
        <v>8</v>
      </c>
      <c r="J965" s="3">
        <f>Raw_Data!J965</f>
        <v>22.55</v>
      </c>
      <c r="K965" s="4">
        <f>Raw_Data!K965</f>
        <v>0</v>
      </c>
      <c r="L965" s="3">
        <f>Raw_Data!L965</f>
        <v>180.4</v>
      </c>
      <c r="M965" s="3">
        <f>Raw_Data!M965</f>
        <v>102.52</v>
      </c>
      <c r="N965" s="3">
        <f>Raw_Data!N965</f>
        <v>77.88</v>
      </c>
      <c r="O965" t="str">
        <f t="shared" si="45"/>
        <v>2025-12</v>
      </c>
      <c r="P965" s="5">
        <f t="shared" si="46"/>
        <v>0.43170731707317067</v>
      </c>
      <c r="Q965" s="3">
        <f t="shared" si="47"/>
        <v>180.4</v>
      </c>
    </row>
    <row r="966" spans="1:17" x14ac:dyDescent="0.35">
      <c r="A966" t="str">
        <f>Raw_Data!A966</f>
        <v>ORD-0793</v>
      </c>
      <c r="B966" s="2">
        <f>Raw_Data!B966</f>
        <v>46012</v>
      </c>
      <c r="C966" t="str">
        <f>Raw_Data!C966</f>
        <v>East</v>
      </c>
      <c r="D966" t="str">
        <f>Raw_Data!D966</f>
        <v>Bhubaneswar</v>
      </c>
      <c r="E966" t="str">
        <f>Raw_Data!E966</f>
        <v>Furniture</v>
      </c>
      <c r="F966" t="str">
        <f>Raw_Data!F966</f>
        <v>Standing Desk</v>
      </c>
      <c r="G966" t="str">
        <f>Raw_Data!G966</f>
        <v>Small Business</v>
      </c>
      <c r="H966" t="str">
        <f>Raw_Data!H966</f>
        <v>In-Store</v>
      </c>
      <c r="I966">
        <f>Raw_Data!I966</f>
        <v>1</v>
      </c>
      <c r="J966" s="3">
        <f>Raw_Data!J966</f>
        <v>306.35000000000002</v>
      </c>
      <c r="K966" s="4">
        <f>Raw_Data!K966</f>
        <v>0</v>
      </c>
      <c r="L966" s="3">
        <f>Raw_Data!L966</f>
        <v>306.35000000000002</v>
      </c>
      <c r="M966" s="3">
        <f>Raw_Data!M966</f>
        <v>225.52</v>
      </c>
      <c r="N966" s="3">
        <f>Raw_Data!N966</f>
        <v>80.83</v>
      </c>
      <c r="O966" t="str">
        <f t="shared" si="45"/>
        <v>2025-12</v>
      </c>
      <c r="P966" s="5">
        <f t="shared" si="46"/>
        <v>0.26384853925248897</v>
      </c>
      <c r="Q966" s="3">
        <f t="shared" si="47"/>
        <v>306.35000000000002</v>
      </c>
    </row>
    <row r="967" spans="1:17" x14ac:dyDescent="0.35">
      <c r="A967" t="str">
        <f>Raw_Data!A967</f>
        <v>ORD-0997</v>
      </c>
      <c r="B967" s="2">
        <f>Raw_Data!B967</f>
        <v>46012</v>
      </c>
      <c r="C967" t="str">
        <f>Raw_Data!C967</f>
        <v>South</v>
      </c>
      <c r="D967" t="str">
        <f>Raw_Data!D967</f>
        <v>Hyderabad</v>
      </c>
      <c r="E967" t="str">
        <f>Raw_Data!E967</f>
        <v>Home &amp; Kitchen</v>
      </c>
      <c r="F967" t="str">
        <f>Raw_Data!F967</f>
        <v>Water Bottle</v>
      </c>
      <c r="G967" t="str">
        <f>Raw_Data!G967</f>
        <v>Small Business</v>
      </c>
      <c r="H967" t="str">
        <f>Raw_Data!H967</f>
        <v>Marketplace</v>
      </c>
      <c r="I967">
        <f>Raw_Data!I967</f>
        <v>9</v>
      </c>
      <c r="J967" s="3">
        <f>Raw_Data!J967</f>
        <v>17.989999999999998</v>
      </c>
      <c r="K967" s="4">
        <f>Raw_Data!K967</f>
        <v>0.15</v>
      </c>
      <c r="L967" s="3">
        <f>Raw_Data!L967</f>
        <v>137.62</v>
      </c>
      <c r="M967" s="3">
        <f>Raw_Data!M967</f>
        <v>87.36</v>
      </c>
      <c r="N967" s="3">
        <f>Raw_Data!N967</f>
        <v>50.26</v>
      </c>
      <c r="O967" t="str">
        <f t="shared" si="45"/>
        <v>2025-12</v>
      </c>
      <c r="P967" s="5">
        <f t="shared" si="46"/>
        <v>0.36520854526958291</v>
      </c>
      <c r="Q967" s="3">
        <f t="shared" si="47"/>
        <v>137.62</v>
      </c>
    </row>
    <row r="968" spans="1:17" x14ac:dyDescent="0.35">
      <c r="A968" t="str">
        <f>Raw_Data!A968</f>
        <v>ORD-0799</v>
      </c>
      <c r="B968" s="2">
        <f>Raw_Data!B968</f>
        <v>46013</v>
      </c>
      <c r="C968" t="str">
        <f>Raw_Data!C968</f>
        <v>West</v>
      </c>
      <c r="D968" t="str">
        <f>Raw_Data!D968</f>
        <v>Ahmedabad</v>
      </c>
      <c r="E968" t="str">
        <f>Raw_Data!E968</f>
        <v>Technology</v>
      </c>
      <c r="F968" t="str">
        <f>Raw_Data!F968</f>
        <v>Keyboard</v>
      </c>
      <c r="G968" t="str">
        <f>Raw_Data!G968</f>
        <v>Consumer</v>
      </c>
      <c r="H968" t="str">
        <f>Raw_Data!H968</f>
        <v>Online</v>
      </c>
      <c r="I968">
        <f>Raw_Data!I968</f>
        <v>1</v>
      </c>
      <c r="J968" s="3">
        <f>Raw_Data!J968</f>
        <v>37.49</v>
      </c>
      <c r="K968" s="4">
        <f>Raw_Data!K968</f>
        <v>0.1</v>
      </c>
      <c r="L968" s="3">
        <f>Raw_Data!L968</f>
        <v>33.74</v>
      </c>
      <c r="M968" s="3">
        <f>Raw_Data!M968</f>
        <v>18.61</v>
      </c>
      <c r="N968" s="3">
        <f>Raw_Data!N968</f>
        <v>15.13</v>
      </c>
      <c r="O968" t="str">
        <f t="shared" si="45"/>
        <v>2025-12</v>
      </c>
      <c r="P968" s="5">
        <f t="shared" si="46"/>
        <v>0.44842916419679907</v>
      </c>
      <c r="Q968" s="3">
        <f t="shared" si="47"/>
        <v>33.74</v>
      </c>
    </row>
    <row r="969" spans="1:17" x14ac:dyDescent="0.35">
      <c r="A969" t="str">
        <f>Raw_Data!A969</f>
        <v>ORD-0567</v>
      </c>
      <c r="B969" s="2">
        <f>Raw_Data!B969</f>
        <v>46013</v>
      </c>
      <c r="C969" t="str">
        <f>Raw_Data!C969</f>
        <v>South</v>
      </c>
      <c r="D969" t="str">
        <f>Raw_Data!D969</f>
        <v>Bengaluru</v>
      </c>
      <c r="E969" t="str">
        <f>Raw_Data!E969</f>
        <v>Home &amp; Kitchen</v>
      </c>
      <c r="F969" t="str">
        <f>Raw_Data!F969</f>
        <v>Lunch Box</v>
      </c>
      <c r="G969" t="str">
        <f>Raw_Data!G969</f>
        <v>Corporate</v>
      </c>
      <c r="H969" t="str">
        <f>Raw_Data!H969</f>
        <v>Marketplace</v>
      </c>
      <c r="I969">
        <f>Raw_Data!I969</f>
        <v>10</v>
      </c>
      <c r="J969" s="3">
        <f>Raw_Data!J969</f>
        <v>22.51</v>
      </c>
      <c r="K969" s="4">
        <f>Raw_Data!K969</f>
        <v>0.15</v>
      </c>
      <c r="L969" s="3">
        <f>Raw_Data!L969</f>
        <v>191.34</v>
      </c>
      <c r="M969" s="3">
        <f>Raw_Data!M969</f>
        <v>154.91999999999999</v>
      </c>
      <c r="N969" s="3">
        <f>Raw_Data!N969</f>
        <v>36.42</v>
      </c>
      <c r="O969" t="str">
        <f t="shared" si="45"/>
        <v>2025-12</v>
      </c>
      <c r="P969" s="5">
        <f t="shared" si="46"/>
        <v>0.19034179993728442</v>
      </c>
      <c r="Q969" s="3">
        <f t="shared" si="47"/>
        <v>191.34</v>
      </c>
    </row>
    <row r="970" spans="1:17" x14ac:dyDescent="0.35">
      <c r="A970" t="str">
        <f>Raw_Data!A970</f>
        <v>ORD-0248</v>
      </c>
      <c r="B970" s="2">
        <f>Raw_Data!B970</f>
        <v>46013</v>
      </c>
      <c r="C970" t="str">
        <f>Raw_Data!C970</f>
        <v>South</v>
      </c>
      <c r="D970" t="str">
        <f>Raw_Data!D970</f>
        <v>Bengaluru</v>
      </c>
      <c r="E970" t="str">
        <f>Raw_Data!E970</f>
        <v>Home &amp; Kitchen</v>
      </c>
      <c r="F970" t="str">
        <f>Raw_Data!F970</f>
        <v>Storage Box</v>
      </c>
      <c r="G970" t="str">
        <f>Raw_Data!G970</f>
        <v>Corporate</v>
      </c>
      <c r="H970" t="str">
        <f>Raw_Data!H970</f>
        <v>Marketplace</v>
      </c>
      <c r="I970">
        <f>Raw_Data!I970</f>
        <v>6</v>
      </c>
      <c r="J970" s="3">
        <f>Raw_Data!J970</f>
        <v>13.74</v>
      </c>
      <c r="K970" s="4">
        <f>Raw_Data!K970</f>
        <v>0.1</v>
      </c>
      <c r="L970" s="3">
        <f>Raw_Data!L970</f>
        <v>74.2</v>
      </c>
      <c r="M970" s="3">
        <f>Raw_Data!M970</f>
        <v>48.6</v>
      </c>
      <c r="N970" s="3">
        <f>Raw_Data!N970</f>
        <v>25.6</v>
      </c>
      <c r="O970" t="str">
        <f t="shared" si="45"/>
        <v>2025-12</v>
      </c>
      <c r="P970" s="5">
        <f t="shared" si="46"/>
        <v>0.34501347708894881</v>
      </c>
      <c r="Q970" s="3">
        <f t="shared" si="47"/>
        <v>74.2</v>
      </c>
    </row>
    <row r="971" spans="1:17" x14ac:dyDescent="0.35">
      <c r="A971" t="str">
        <f>Raw_Data!A971</f>
        <v>ORD-0866</v>
      </c>
      <c r="B971" s="2">
        <f>Raw_Data!B971</f>
        <v>46014</v>
      </c>
      <c r="C971" t="str">
        <f>Raw_Data!C971</f>
        <v>East</v>
      </c>
      <c r="D971" t="str">
        <f>Raw_Data!D971</f>
        <v>Guwahati</v>
      </c>
      <c r="E971" t="str">
        <f>Raw_Data!E971</f>
        <v>Technology</v>
      </c>
      <c r="F971" t="str">
        <f>Raw_Data!F971</f>
        <v>USB Hub</v>
      </c>
      <c r="G971" t="str">
        <f>Raw_Data!G971</f>
        <v>Corporate</v>
      </c>
      <c r="H971" t="str">
        <f>Raw_Data!H971</f>
        <v>Marketplace</v>
      </c>
      <c r="I971">
        <f>Raw_Data!I971</f>
        <v>7</v>
      </c>
      <c r="J971" s="3">
        <f>Raw_Data!J971</f>
        <v>26.58</v>
      </c>
      <c r="K971" s="4">
        <f>Raw_Data!K971</f>
        <v>0</v>
      </c>
      <c r="L971" s="3">
        <f>Raw_Data!L971</f>
        <v>186.06</v>
      </c>
      <c r="M971" s="3">
        <f>Raw_Data!M971</f>
        <v>115.97</v>
      </c>
      <c r="N971" s="3">
        <f>Raw_Data!N971</f>
        <v>70.09</v>
      </c>
      <c r="O971" t="str">
        <f t="shared" si="45"/>
        <v>2025-12</v>
      </c>
      <c r="P971" s="5">
        <f t="shared" si="46"/>
        <v>0.37670643878318821</v>
      </c>
      <c r="Q971" s="3">
        <f t="shared" si="47"/>
        <v>186.06</v>
      </c>
    </row>
    <row r="972" spans="1:17" x14ac:dyDescent="0.35">
      <c r="A972" t="str">
        <f>Raw_Data!A972</f>
        <v>ORD-1000</v>
      </c>
      <c r="B972" s="2">
        <f>Raw_Data!B972</f>
        <v>46014</v>
      </c>
      <c r="C972" t="str">
        <f>Raw_Data!C972</f>
        <v>North</v>
      </c>
      <c r="D972" t="str">
        <f>Raw_Data!D972</f>
        <v>Delhi</v>
      </c>
      <c r="E972" t="str">
        <f>Raw_Data!E972</f>
        <v>Office Supplies</v>
      </c>
      <c r="F972" t="str">
        <f>Raw_Data!F972</f>
        <v>Printer Paper</v>
      </c>
      <c r="G972" t="str">
        <f>Raw_Data!G972</f>
        <v>Small Business</v>
      </c>
      <c r="H972" t="str">
        <f>Raw_Data!H972</f>
        <v>In-Store</v>
      </c>
      <c r="I972">
        <f>Raw_Data!I972</f>
        <v>4</v>
      </c>
      <c r="J972" s="3">
        <f>Raw_Data!J972</f>
        <v>14.58</v>
      </c>
      <c r="K972" s="4">
        <f>Raw_Data!K972</f>
        <v>0</v>
      </c>
      <c r="L972" s="3">
        <f>Raw_Data!L972</f>
        <v>58.32</v>
      </c>
      <c r="M972" s="3">
        <f>Raw_Data!M972</f>
        <v>45</v>
      </c>
      <c r="N972" s="3">
        <f>Raw_Data!N972</f>
        <v>13.32</v>
      </c>
      <c r="O972" t="str">
        <f t="shared" si="45"/>
        <v>2025-12</v>
      </c>
      <c r="P972" s="5">
        <f t="shared" si="46"/>
        <v>0.22839506172839508</v>
      </c>
      <c r="Q972" s="3">
        <f t="shared" si="47"/>
        <v>58.32</v>
      </c>
    </row>
    <row r="973" spans="1:17" x14ac:dyDescent="0.35">
      <c r="A973" t="str">
        <f>Raw_Data!A973</f>
        <v>ORD-0489</v>
      </c>
      <c r="B973" s="2">
        <f>Raw_Data!B973</f>
        <v>46014</v>
      </c>
      <c r="C973" t="str">
        <f>Raw_Data!C973</f>
        <v>West</v>
      </c>
      <c r="D973" t="str">
        <f>Raw_Data!D973</f>
        <v>Ahmedabad</v>
      </c>
      <c r="E973" t="str">
        <f>Raw_Data!E973</f>
        <v>Home &amp; Kitchen</v>
      </c>
      <c r="F973" t="str">
        <f>Raw_Data!F973</f>
        <v>Storage Box</v>
      </c>
      <c r="G973" t="str">
        <f>Raw_Data!G973</f>
        <v>Small Business</v>
      </c>
      <c r="H973" t="str">
        <f>Raw_Data!H973</f>
        <v>Marketplace</v>
      </c>
      <c r="I973">
        <f>Raw_Data!I973</f>
        <v>10</v>
      </c>
      <c r="J973" s="3">
        <f>Raw_Data!J973</f>
        <v>12.81</v>
      </c>
      <c r="K973" s="4">
        <f>Raw_Data!K973</f>
        <v>0.05</v>
      </c>
      <c r="L973" s="3">
        <f>Raw_Data!L973</f>
        <v>121.69</v>
      </c>
      <c r="M973" s="3">
        <f>Raw_Data!M973</f>
        <v>73.930000000000007</v>
      </c>
      <c r="N973" s="3">
        <f>Raw_Data!N973</f>
        <v>47.76</v>
      </c>
      <c r="O973" t="str">
        <f t="shared" si="45"/>
        <v>2025-12</v>
      </c>
      <c r="P973" s="5">
        <f t="shared" si="46"/>
        <v>0.39247267647300516</v>
      </c>
      <c r="Q973" s="3">
        <f t="shared" si="47"/>
        <v>121.69</v>
      </c>
    </row>
    <row r="974" spans="1:17" x14ac:dyDescent="0.35">
      <c r="A974" t="str">
        <f>Raw_Data!A974</f>
        <v>ORD-0256</v>
      </c>
      <c r="B974" s="2">
        <f>Raw_Data!B974</f>
        <v>46014</v>
      </c>
      <c r="C974" t="str">
        <f>Raw_Data!C974</f>
        <v>East</v>
      </c>
      <c r="D974" t="str">
        <f>Raw_Data!D974</f>
        <v>Guwahati</v>
      </c>
      <c r="E974" t="str">
        <f>Raw_Data!E974</f>
        <v>Home &amp; Kitchen</v>
      </c>
      <c r="F974" t="str">
        <f>Raw_Data!F974</f>
        <v>Coffee Maker</v>
      </c>
      <c r="G974" t="str">
        <f>Raw_Data!G974</f>
        <v>Corporate</v>
      </c>
      <c r="H974" t="str">
        <f>Raw_Data!H974</f>
        <v>Online</v>
      </c>
      <c r="I974">
        <f>Raw_Data!I974</f>
        <v>2</v>
      </c>
      <c r="J974" s="3">
        <f>Raw_Data!J974</f>
        <v>68.77</v>
      </c>
      <c r="K974" s="4">
        <f>Raw_Data!K974</f>
        <v>0</v>
      </c>
      <c r="L974" s="3">
        <f>Raw_Data!L974</f>
        <v>137.54</v>
      </c>
      <c r="M974" s="3">
        <f>Raw_Data!M974</f>
        <v>66.95</v>
      </c>
      <c r="N974" s="3">
        <f>Raw_Data!N974</f>
        <v>70.59</v>
      </c>
      <c r="O974" t="str">
        <f t="shared" si="45"/>
        <v>2025-12</v>
      </c>
      <c r="P974" s="5">
        <f t="shared" si="46"/>
        <v>0.51323251417769378</v>
      </c>
      <c r="Q974" s="3">
        <f t="shared" si="47"/>
        <v>137.54</v>
      </c>
    </row>
    <row r="975" spans="1:17" x14ac:dyDescent="0.35">
      <c r="A975" t="str">
        <f>Raw_Data!A975</f>
        <v>ORD-0437</v>
      </c>
      <c r="B975" s="2">
        <f>Raw_Data!B975</f>
        <v>46014</v>
      </c>
      <c r="C975" t="str">
        <f>Raw_Data!C975</f>
        <v>North</v>
      </c>
      <c r="D975" t="str">
        <f>Raw_Data!D975</f>
        <v>Jaipur</v>
      </c>
      <c r="E975" t="str">
        <f>Raw_Data!E975</f>
        <v>Technology</v>
      </c>
      <c r="F975" t="str">
        <f>Raw_Data!F975</f>
        <v>USB Hub</v>
      </c>
      <c r="G975" t="str">
        <f>Raw_Data!G975</f>
        <v>Small Business</v>
      </c>
      <c r="H975" t="str">
        <f>Raw_Data!H975</f>
        <v>Marketplace</v>
      </c>
      <c r="I975">
        <f>Raw_Data!I975</f>
        <v>3</v>
      </c>
      <c r="J975" s="3">
        <f>Raw_Data!J975</f>
        <v>22.54</v>
      </c>
      <c r="K975" s="4">
        <f>Raw_Data!K975</f>
        <v>0</v>
      </c>
      <c r="L975" s="3">
        <f>Raw_Data!L975</f>
        <v>67.62</v>
      </c>
      <c r="M975" s="3">
        <f>Raw_Data!M975</f>
        <v>50.92</v>
      </c>
      <c r="N975" s="3">
        <f>Raw_Data!N975</f>
        <v>16.7</v>
      </c>
      <c r="O975" t="str">
        <f t="shared" si="45"/>
        <v>2025-12</v>
      </c>
      <c r="P975" s="5">
        <f t="shared" si="46"/>
        <v>0.24696835255841465</v>
      </c>
      <c r="Q975" s="3">
        <f t="shared" si="47"/>
        <v>67.62</v>
      </c>
    </row>
    <row r="976" spans="1:17" x14ac:dyDescent="0.35">
      <c r="A976" t="str">
        <f>Raw_Data!A976</f>
        <v>ORD-0446</v>
      </c>
      <c r="B976" s="2">
        <f>Raw_Data!B976</f>
        <v>46015</v>
      </c>
      <c r="C976" t="str">
        <f>Raw_Data!C976</f>
        <v>South</v>
      </c>
      <c r="D976" t="str">
        <f>Raw_Data!D976</f>
        <v>Chennai</v>
      </c>
      <c r="E976" t="str">
        <f>Raw_Data!E976</f>
        <v>Office Supplies</v>
      </c>
      <c r="F976" t="str">
        <f>Raw_Data!F976</f>
        <v>Pen Set</v>
      </c>
      <c r="G976" t="str">
        <f>Raw_Data!G976</f>
        <v>Consumer</v>
      </c>
      <c r="H976" t="str">
        <f>Raw_Data!H976</f>
        <v>In-Store</v>
      </c>
      <c r="I976">
        <f>Raw_Data!I976</f>
        <v>11</v>
      </c>
      <c r="J976" s="3">
        <f>Raw_Data!J976</f>
        <v>6.9</v>
      </c>
      <c r="K976" s="4">
        <f>Raw_Data!K976</f>
        <v>0</v>
      </c>
      <c r="L976" s="3">
        <f>Raw_Data!L976</f>
        <v>75.900000000000006</v>
      </c>
      <c r="M976" s="3">
        <f>Raw_Data!M976</f>
        <v>51.35</v>
      </c>
      <c r="N976" s="3">
        <f>Raw_Data!N976</f>
        <v>24.55</v>
      </c>
      <c r="O976" t="str">
        <f t="shared" si="45"/>
        <v>2025-12</v>
      </c>
      <c r="P976" s="5">
        <f t="shared" si="46"/>
        <v>0.32345191040843213</v>
      </c>
      <c r="Q976" s="3">
        <f t="shared" si="47"/>
        <v>75.900000000000006</v>
      </c>
    </row>
    <row r="977" spans="1:17" x14ac:dyDescent="0.35">
      <c r="A977" t="str">
        <f>Raw_Data!A977</f>
        <v>ORD-0089</v>
      </c>
      <c r="B977" s="2">
        <f>Raw_Data!B977</f>
        <v>46015</v>
      </c>
      <c r="C977" t="str">
        <f>Raw_Data!C977</f>
        <v>West</v>
      </c>
      <c r="D977" t="str">
        <f>Raw_Data!D977</f>
        <v>Pune</v>
      </c>
      <c r="E977" t="str">
        <f>Raw_Data!E977</f>
        <v>Office Supplies</v>
      </c>
      <c r="F977" t="str">
        <f>Raw_Data!F977</f>
        <v>Printer Paper</v>
      </c>
      <c r="G977" t="str">
        <f>Raw_Data!G977</f>
        <v>Corporate</v>
      </c>
      <c r="H977" t="str">
        <f>Raw_Data!H977</f>
        <v>In-Store</v>
      </c>
      <c r="I977">
        <f>Raw_Data!I977</f>
        <v>4</v>
      </c>
      <c r="J977" s="3">
        <f>Raw_Data!J977</f>
        <v>17.239999999999998</v>
      </c>
      <c r="K977" s="4">
        <f>Raw_Data!K977</f>
        <v>0.1</v>
      </c>
      <c r="L977" s="3">
        <f>Raw_Data!L977</f>
        <v>62.06</v>
      </c>
      <c r="M977" s="3">
        <f>Raw_Data!M977</f>
        <v>34</v>
      </c>
      <c r="N977" s="3">
        <f>Raw_Data!N977</f>
        <v>28.06</v>
      </c>
      <c r="O977" t="str">
        <f t="shared" si="45"/>
        <v>2025-12</v>
      </c>
      <c r="P977" s="5">
        <f t="shared" si="46"/>
        <v>0.45214308733483721</v>
      </c>
      <c r="Q977" s="3">
        <f t="shared" si="47"/>
        <v>62.06</v>
      </c>
    </row>
    <row r="978" spans="1:17" x14ac:dyDescent="0.35">
      <c r="A978" t="str">
        <f>Raw_Data!A978</f>
        <v>ORD-0541</v>
      </c>
      <c r="B978" s="2">
        <f>Raw_Data!B978</f>
        <v>46016</v>
      </c>
      <c r="C978" t="str">
        <f>Raw_Data!C978</f>
        <v>East</v>
      </c>
      <c r="D978" t="str">
        <f>Raw_Data!D978</f>
        <v>Bhubaneswar</v>
      </c>
      <c r="E978" t="str">
        <f>Raw_Data!E978</f>
        <v>Office Supplies</v>
      </c>
      <c r="F978" t="str">
        <f>Raw_Data!F978</f>
        <v>Printer Paper</v>
      </c>
      <c r="G978" t="str">
        <f>Raw_Data!G978</f>
        <v>Small Business</v>
      </c>
      <c r="H978" t="str">
        <f>Raw_Data!H978</f>
        <v>In-Store</v>
      </c>
      <c r="I978">
        <f>Raw_Data!I978</f>
        <v>12</v>
      </c>
      <c r="J978" s="3">
        <f>Raw_Data!J978</f>
        <v>15.79</v>
      </c>
      <c r="K978" s="4">
        <f>Raw_Data!K978</f>
        <v>0</v>
      </c>
      <c r="L978" s="3">
        <f>Raw_Data!L978</f>
        <v>189.48</v>
      </c>
      <c r="M978" s="3">
        <f>Raw_Data!M978</f>
        <v>96.24</v>
      </c>
      <c r="N978" s="3">
        <f>Raw_Data!N978</f>
        <v>93.24</v>
      </c>
      <c r="O978" t="str">
        <f t="shared" si="45"/>
        <v>2025-12</v>
      </c>
      <c r="P978" s="5">
        <f t="shared" si="46"/>
        <v>0.4920835972134262</v>
      </c>
      <c r="Q978" s="3">
        <f t="shared" si="47"/>
        <v>189.48</v>
      </c>
    </row>
    <row r="979" spans="1:17" x14ac:dyDescent="0.35">
      <c r="A979" t="str">
        <f>Raw_Data!A979</f>
        <v>ORD-0392</v>
      </c>
      <c r="B979" s="2">
        <f>Raw_Data!B979</f>
        <v>46016</v>
      </c>
      <c r="C979" t="str">
        <f>Raw_Data!C979</f>
        <v>South</v>
      </c>
      <c r="D979" t="str">
        <f>Raw_Data!D979</f>
        <v>Hyderabad</v>
      </c>
      <c r="E979" t="str">
        <f>Raw_Data!E979</f>
        <v>Furniture</v>
      </c>
      <c r="F979" t="str">
        <f>Raw_Data!F979</f>
        <v>Bookshelf</v>
      </c>
      <c r="G979" t="str">
        <f>Raw_Data!G979</f>
        <v>Consumer</v>
      </c>
      <c r="H979" t="str">
        <f>Raw_Data!H979</f>
        <v>Marketplace</v>
      </c>
      <c r="I979">
        <f>Raw_Data!I979</f>
        <v>12</v>
      </c>
      <c r="J979" s="3">
        <f>Raw_Data!J979</f>
        <v>121.87</v>
      </c>
      <c r="K979" s="4">
        <f>Raw_Data!K979</f>
        <v>0.15</v>
      </c>
      <c r="L979" s="3">
        <f>Raw_Data!L979</f>
        <v>1243.07</v>
      </c>
      <c r="M979" s="3">
        <f>Raw_Data!M979</f>
        <v>979.51</v>
      </c>
      <c r="N979" s="3">
        <f>Raw_Data!N979</f>
        <v>263.56</v>
      </c>
      <c r="O979" t="str">
        <f t="shared" si="45"/>
        <v>2025-12</v>
      </c>
      <c r="P979" s="5">
        <f t="shared" si="46"/>
        <v>0.21202345805143719</v>
      </c>
      <c r="Q979" s="3">
        <f t="shared" si="47"/>
        <v>1243.07</v>
      </c>
    </row>
    <row r="980" spans="1:17" x14ac:dyDescent="0.35">
      <c r="A980" t="str">
        <f>Raw_Data!A980</f>
        <v>ORD-0411</v>
      </c>
      <c r="B980" s="2">
        <f>Raw_Data!B980</f>
        <v>46016</v>
      </c>
      <c r="C980" t="str">
        <f>Raw_Data!C980</f>
        <v>East</v>
      </c>
      <c r="D980" t="str">
        <f>Raw_Data!D980</f>
        <v>Bhubaneswar</v>
      </c>
      <c r="E980" t="str">
        <f>Raw_Data!E980</f>
        <v>Technology</v>
      </c>
      <c r="F980" t="str">
        <f>Raw_Data!F980</f>
        <v>Headphones</v>
      </c>
      <c r="G980" t="str">
        <f>Raw_Data!G980</f>
        <v>Small Business</v>
      </c>
      <c r="H980" t="str">
        <f>Raw_Data!H980</f>
        <v>In-Store</v>
      </c>
      <c r="I980">
        <f>Raw_Data!I980</f>
        <v>9</v>
      </c>
      <c r="J980" s="3">
        <f>Raw_Data!J980</f>
        <v>48.79</v>
      </c>
      <c r="K980" s="4">
        <f>Raw_Data!K980</f>
        <v>0.05</v>
      </c>
      <c r="L980" s="3">
        <f>Raw_Data!L980</f>
        <v>417.15</v>
      </c>
      <c r="M980" s="3">
        <f>Raw_Data!M980</f>
        <v>290.68</v>
      </c>
      <c r="N980" s="3">
        <f>Raw_Data!N980</f>
        <v>126.47</v>
      </c>
      <c r="O980" t="str">
        <f t="shared" si="45"/>
        <v>2025-12</v>
      </c>
      <c r="P980" s="5">
        <f t="shared" si="46"/>
        <v>0.30317631547405011</v>
      </c>
      <c r="Q980" s="3">
        <f t="shared" si="47"/>
        <v>417.15</v>
      </c>
    </row>
    <row r="981" spans="1:17" x14ac:dyDescent="0.35">
      <c r="A981" t="str">
        <f>Raw_Data!A981</f>
        <v>ORD-0881</v>
      </c>
      <c r="B981" s="2">
        <f>Raw_Data!B981</f>
        <v>46016</v>
      </c>
      <c r="C981" t="str">
        <f>Raw_Data!C981</f>
        <v>North</v>
      </c>
      <c r="D981" t="str">
        <f>Raw_Data!D981</f>
        <v>Delhi</v>
      </c>
      <c r="E981" t="str">
        <f>Raw_Data!E981</f>
        <v>Technology</v>
      </c>
      <c r="F981" t="str">
        <f>Raw_Data!F981</f>
        <v>USB Hub</v>
      </c>
      <c r="G981" t="str">
        <f>Raw_Data!G981</f>
        <v>Consumer</v>
      </c>
      <c r="H981" t="str">
        <f>Raw_Data!H981</f>
        <v>In-Store</v>
      </c>
      <c r="I981">
        <f>Raw_Data!I981</f>
        <v>5</v>
      </c>
      <c r="J981" s="3">
        <f>Raw_Data!J981</f>
        <v>25.5</v>
      </c>
      <c r="K981" s="4">
        <f>Raw_Data!K981</f>
        <v>0</v>
      </c>
      <c r="L981" s="3">
        <f>Raw_Data!L981</f>
        <v>127.5</v>
      </c>
      <c r="M981" s="3">
        <f>Raw_Data!M981</f>
        <v>94.47</v>
      </c>
      <c r="N981" s="3">
        <f>Raw_Data!N981</f>
        <v>33.03</v>
      </c>
      <c r="O981" t="str">
        <f t="shared" si="45"/>
        <v>2025-12</v>
      </c>
      <c r="P981" s="5">
        <f t="shared" si="46"/>
        <v>0.25905882352941179</v>
      </c>
      <c r="Q981" s="3">
        <f t="shared" si="47"/>
        <v>127.5</v>
      </c>
    </row>
    <row r="982" spans="1:17" x14ac:dyDescent="0.35">
      <c r="A982" t="str">
        <f>Raw_Data!A982</f>
        <v>ORD-0442</v>
      </c>
      <c r="B982" s="2">
        <f>Raw_Data!B982</f>
        <v>46016</v>
      </c>
      <c r="C982" t="str">
        <f>Raw_Data!C982</f>
        <v>North</v>
      </c>
      <c r="D982" t="str">
        <f>Raw_Data!D982</f>
        <v>Jaipur</v>
      </c>
      <c r="E982" t="str">
        <f>Raw_Data!E982</f>
        <v>Office Supplies</v>
      </c>
      <c r="F982" t="str">
        <f>Raw_Data!F982</f>
        <v>Notebook Pack</v>
      </c>
      <c r="G982" t="str">
        <f>Raw_Data!G982</f>
        <v>Consumer</v>
      </c>
      <c r="H982" t="str">
        <f>Raw_Data!H982</f>
        <v>In-Store</v>
      </c>
      <c r="I982">
        <f>Raw_Data!I982</f>
        <v>4</v>
      </c>
      <c r="J982" s="3">
        <f>Raw_Data!J982</f>
        <v>12.34</v>
      </c>
      <c r="K982" s="4">
        <f>Raw_Data!K982</f>
        <v>0.05</v>
      </c>
      <c r="L982" s="3">
        <f>Raw_Data!L982</f>
        <v>46.89</v>
      </c>
      <c r="M982" s="3">
        <f>Raw_Data!M982</f>
        <v>35.549999999999997</v>
      </c>
      <c r="N982" s="3">
        <f>Raw_Data!N982</f>
        <v>11.34</v>
      </c>
      <c r="O982" t="str">
        <f t="shared" si="45"/>
        <v>2025-12</v>
      </c>
      <c r="P982" s="5">
        <f t="shared" si="46"/>
        <v>0.2418426103646833</v>
      </c>
      <c r="Q982" s="3">
        <f t="shared" si="47"/>
        <v>46.89</v>
      </c>
    </row>
    <row r="983" spans="1:17" x14ac:dyDescent="0.35">
      <c r="A983" t="str">
        <f>Raw_Data!A983</f>
        <v>ORD-0893</v>
      </c>
      <c r="B983" s="2">
        <f>Raw_Data!B983</f>
        <v>46016</v>
      </c>
      <c r="C983" t="str">
        <f>Raw_Data!C983</f>
        <v>North</v>
      </c>
      <c r="D983" t="str">
        <f>Raw_Data!D983</f>
        <v>Chandigarh</v>
      </c>
      <c r="E983" t="str">
        <f>Raw_Data!E983</f>
        <v>Home &amp; Kitchen</v>
      </c>
      <c r="F983" t="str">
        <f>Raw_Data!F983</f>
        <v>Water Bottle</v>
      </c>
      <c r="G983" t="str">
        <f>Raw_Data!G983</f>
        <v>Corporate</v>
      </c>
      <c r="H983" t="str">
        <f>Raw_Data!H983</f>
        <v>In-Store</v>
      </c>
      <c r="I983">
        <f>Raw_Data!I983</f>
        <v>3</v>
      </c>
      <c r="J983" s="3">
        <f>Raw_Data!J983</f>
        <v>15.41</v>
      </c>
      <c r="K983" s="4">
        <f>Raw_Data!K983</f>
        <v>0.15</v>
      </c>
      <c r="L983" s="3">
        <f>Raw_Data!L983</f>
        <v>39.299999999999997</v>
      </c>
      <c r="M983" s="3">
        <f>Raw_Data!M983</f>
        <v>34.200000000000003</v>
      </c>
      <c r="N983" s="3">
        <f>Raw_Data!N983</f>
        <v>5.0999999999999996</v>
      </c>
      <c r="O983" t="str">
        <f t="shared" si="45"/>
        <v>2025-12</v>
      </c>
      <c r="P983" s="5">
        <f t="shared" si="46"/>
        <v>0.12977099236641221</v>
      </c>
      <c r="Q983" s="3">
        <f t="shared" si="47"/>
        <v>39.299999999999997</v>
      </c>
    </row>
    <row r="984" spans="1:17" x14ac:dyDescent="0.35">
      <c r="A984" t="str">
        <f>Raw_Data!A984</f>
        <v>ORD-0408</v>
      </c>
      <c r="B984" s="2">
        <f>Raw_Data!B984</f>
        <v>46017</v>
      </c>
      <c r="C984" t="str">
        <f>Raw_Data!C984</f>
        <v>East</v>
      </c>
      <c r="D984" t="str">
        <f>Raw_Data!D984</f>
        <v>Kolkata</v>
      </c>
      <c r="E984" t="str">
        <f>Raw_Data!E984</f>
        <v>Home &amp; Kitchen</v>
      </c>
      <c r="F984" t="str">
        <f>Raw_Data!F984</f>
        <v>Water Bottle</v>
      </c>
      <c r="G984" t="str">
        <f>Raw_Data!G984</f>
        <v>Consumer</v>
      </c>
      <c r="H984" t="str">
        <f>Raw_Data!H984</f>
        <v>Online</v>
      </c>
      <c r="I984">
        <f>Raw_Data!I984</f>
        <v>12</v>
      </c>
      <c r="J984" s="3">
        <f>Raw_Data!J984</f>
        <v>17.440000000000001</v>
      </c>
      <c r="K984" s="4">
        <f>Raw_Data!K984</f>
        <v>0</v>
      </c>
      <c r="L984" s="3">
        <f>Raw_Data!L984</f>
        <v>209.28</v>
      </c>
      <c r="M984" s="3">
        <f>Raw_Data!M984</f>
        <v>129.29</v>
      </c>
      <c r="N984" s="3">
        <f>Raw_Data!N984</f>
        <v>79.989999999999995</v>
      </c>
      <c r="O984" t="str">
        <f t="shared" si="45"/>
        <v>2025-12</v>
      </c>
      <c r="P984" s="5">
        <f t="shared" si="46"/>
        <v>0.38221521406727826</v>
      </c>
      <c r="Q984" s="3">
        <f t="shared" si="47"/>
        <v>209.28</v>
      </c>
    </row>
    <row r="985" spans="1:17" x14ac:dyDescent="0.35">
      <c r="A985" t="str">
        <f>Raw_Data!A985</f>
        <v>ORD-0739</v>
      </c>
      <c r="B985" s="2">
        <f>Raw_Data!B985</f>
        <v>46017</v>
      </c>
      <c r="C985" t="str">
        <f>Raw_Data!C985</f>
        <v>South</v>
      </c>
      <c r="D985" t="str">
        <f>Raw_Data!D985</f>
        <v>Chennai</v>
      </c>
      <c r="E985" t="str">
        <f>Raw_Data!E985</f>
        <v>Home &amp; Kitchen</v>
      </c>
      <c r="F985" t="str">
        <f>Raw_Data!F985</f>
        <v>Lunch Box</v>
      </c>
      <c r="G985" t="str">
        <f>Raw_Data!G985</f>
        <v>Small Business</v>
      </c>
      <c r="H985" t="str">
        <f>Raw_Data!H985</f>
        <v>Marketplace</v>
      </c>
      <c r="I985">
        <f>Raw_Data!I985</f>
        <v>8</v>
      </c>
      <c r="J985" s="3">
        <f>Raw_Data!J985</f>
        <v>17.14</v>
      </c>
      <c r="K985" s="4">
        <f>Raw_Data!K985</f>
        <v>0.1</v>
      </c>
      <c r="L985" s="3">
        <f>Raw_Data!L985</f>
        <v>123.41</v>
      </c>
      <c r="M985" s="3">
        <f>Raw_Data!M985</f>
        <v>89.89</v>
      </c>
      <c r="N985" s="3">
        <f>Raw_Data!N985</f>
        <v>33.520000000000003</v>
      </c>
      <c r="O985" t="str">
        <f t="shared" si="45"/>
        <v>2025-12</v>
      </c>
      <c r="P985" s="5">
        <f t="shared" si="46"/>
        <v>0.27161494206304193</v>
      </c>
      <c r="Q985" s="3">
        <f t="shared" si="47"/>
        <v>123.41</v>
      </c>
    </row>
    <row r="986" spans="1:17" x14ac:dyDescent="0.35">
      <c r="A986" t="str">
        <f>Raw_Data!A986</f>
        <v>ORD-0387</v>
      </c>
      <c r="B986" s="2">
        <f>Raw_Data!B986</f>
        <v>46017</v>
      </c>
      <c r="C986" t="str">
        <f>Raw_Data!C986</f>
        <v>South</v>
      </c>
      <c r="D986" t="str">
        <f>Raw_Data!D986</f>
        <v>Chennai</v>
      </c>
      <c r="E986" t="str">
        <f>Raw_Data!E986</f>
        <v>Technology</v>
      </c>
      <c r="F986" t="str">
        <f>Raw_Data!F986</f>
        <v>Wireless Mouse</v>
      </c>
      <c r="G986" t="str">
        <f>Raw_Data!G986</f>
        <v>Consumer</v>
      </c>
      <c r="H986" t="str">
        <f>Raw_Data!H986</f>
        <v>Online</v>
      </c>
      <c r="I986">
        <f>Raw_Data!I986</f>
        <v>3</v>
      </c>
      <c r="J986" s="3">
        <f>Raw_Data!J986</f>
        <v>18.399999999999999</v>
      </c>
      <c r="K986" s="4">
        <f>Raw_Data!K986</f>
        <v>0.1</v>
      </c>
      <c r="L986" s="3">
        <f>Raw_Data!L986</f>
        <v>49.68</v>
      </c>
      <c r="M986" s="3">
        <f>Raw_Data!M986</f>
        <v>28.27</v>
      </c>
      <c r="N986" s="3">
        <f>Raw_Data!N986</f>
        <v>21.41</v>
      </c>
      <c r="O986" t="str">
        <f t="shared" si="45"/>
        <v>2025-12</v>
      </c>
      <c r="P986" s="5">
        <f t="shared" si="46"/>
        <v>0.43095813204508859</v>
      </c>
      <c r="Q986" s="3">
        <f t="shared" si="47"/>
        <v>49.68</v>
      </c>
    </row>
    <row r="987" spans="1:17" x14ac:dyDescent="0.35">
      <c r="A987" t="str">
        <f>Raw_Data!A987</f>
        <v>ORD-0872</v>
      </c>
      <c r="B987" s="2">
        <f>Raw_Data!B987</f>
        <v>46018</v>
      </c>
      <c r="C987" t="str">
        <f>Raw_Data!C987</f>
        <v>South</v>
      </c>
      <c r="D987" t="str">
        <f>Raw_Data!D987</f>
        <v>Bengaluru</v>
      </c>
      <c r="E987" t="str">
        <f>Raw_Data!E987</f>
        <v>Office Supplies</v>
      </c>
      <c r="F987" t="str">
        <f>Raw_Data!F987</f>
        <v>Pen Set</v>
      </c>
      <c r="G987" t="str">
        <f>Raw_Data!G987</f>
        <v>Consumer</v>
      </c>
      <c r="H987" t="str">
        <f>Raw_Data!H987</f>
        <v>Online</v>
      </c>
      <c r="I987">
        <f>Raw_Data!I987</f>
        <v>8</v>
      </c>
      <c r="J987" s="3">
        <f>Raw_Data!J987</f>
        <v>7.31</v>
      </c>
      <c r="K987" s="4">
        <f>Raw_Data!K987</f>
        <v>0</v>
      </c>
      <c r="L987" s="3">
        <f>Raw_Data!L987</f>
        <v>58.48</v>
      </c>
      <c r="M987" s="3">
        <f>Raw_Data!M987</f>
        <v>35.979999999999997</v>
      </c>
      <c r="N987" s="3">
        <f>Raw_Data!N987</f>
        <v>22.5</v>
      </c>
      <c r="O987" t="str">
        <f t="shared" si="45"/>
        <v>2025-12</v>
      </c>
      <c r="P987" s="5">
        <f t="shared" si="46"/>
        <v>0.38474692202462385</v>
      </c>
      <c r="Q987" s="3">
        <f t="shared" si="47"/>
        <v>58.48</v>
      </c>
    </row>
    <row r="988" spans="1:17" x14ac:dyDescent="0.35">
      <c r="A988" t="str">
        <f>Raw_Data!A988</f>
        <v>ORD-0205</v>
      </c>
      <c r="B988" s="2">
        <f>Raw_Data!B988</f>
        <v>46018</v>
      </c>
      <c r="C988" t="str">
        <f>Raw_Data!C988</f>
        <v>South</v>
      </c>
      <c r="D988" t="str">
        <f>Raw_Data!D988</f>
        <v>Chennai</v>
      </c>
      <c r="E988" t="str">
        <f>Raw_Data!E988</f>
        <v>Furniture</v>
      </c>
      <c r="F988" t="str">
        <f>Raw_Data!F988</f>
        <v>Office Chair</v>
      </c>
      <c r="G988" t="str">
        <f>Raw_Data!G988</f>
        <v>Consumer</v>
      </c>
      <c r="H988" t="str">
        <f>Raw_Data!H988</f>
        <v>Online</v>
      </c>
      <c r="I988">
        <f>Raw_Data!I988</f>
        <v>11</v>
      </c>
      <c r="J988" s="3">
        <f>Raw_Data!J988</f>
        <v>169.74</v>
      </c>
      <c r="K988" s="4">
        <f>Raw_Data!K988</f>
        <v>0.05</v>
      </c>
      <c r="L988" s="3">
        <f>Raw_Data!L988</f>
        <v>1773.78</v>
      </c>
      <c r="M988" s="3">
        <f>Raw_Data!M988</f>
        <v>1102.0999999999999</v>
      </c>
      <c r="N988" s="3">
        <f>Raw_Data!N988</f>
        <v>671.68</v>
      </c>
      <c r="O988" t="str">
        <f t="shared" si="45"/>
        <v>2025-12</v>
      </c>
      <c r="P988" s="5">
        <f t="shared" si="46"/>
        <v>0.37867153762022343</v>
      </c>
      <c r="Q988" s="3">
        <f t="shared" si="47"/>
        <v>1773.78</v>
      </c>
    </row>
    <row r="989" spans="1:17" x14ac:dyDescent="0.35">
      <c r="A989" t="str">
        <f>Raw_Data!A989</f>
        <v>ORD-0192</v>
      </c>
      <c r="B989" s="2">
        <f>Raw_Data!B989</f>
        <v>46018</v>
      </c>
      <c r="C989" t="str">
        <f>Raw_Data!C989</f>
        <v>East</v>
      </c>
      <c r="D989" t="str">
        <f>Raw_Data!D989</f>
        <v>Guwahati</v>
      </c>
      <c r="E989" t="str">
        <f>Raw_Data!E989</f>
        <v>Office Supplies</v>
      </c>
      <c r="F989" t="str">
        <f>Raw_Data!F989</f>
        <v>Printer Paper</v>
      </c>
      <c r="G989" t="str">
        <f>Raw_Data!G989</f>
        <v>Small Business</v>
      </c>
      <c r="H989" t="str">
        <f>Raw_Data!H989</f>
        <v>Online</v>
      </c>
      <c r="I989">
        <f>Raw_Data!I989</f>
        <v>6</v>
      </c>
      <c r="J989" s="3">
        <f>Raw_Data!J989</f>
        <v>15.27</v>
      </c>
      <c r="K989" s="4">
        <f>Raw_Data!K989</f>
        <v>0.15</v>
      </c>
      <c r="L989" s="3">
        <f>Raw_Data!L989</f>
        <v>77.88</v>
      </c>
      <c r="M989" s="3">
        <f>Raw_Data!M989</f>
        <v>69.64</v>
      </c>
      <c r="N989" s="3">
        <f>Raw_Data!N989</f>
        <v>8.24</v>
      </c>
      <c r="O989" t="str">
        <f t="shared" si="45"/>
        <v>2025-12</v>
      </c>
      <c r="P989" s="5">
        <f t="shared" si="46"/>
        <v>0.10580380071905497</v>
      </c>
      <c r="Q989" s="3">
        <f t="shared" si="47"/>
        <v>77.88</v>
      </c>
    </row>
    <row r="990" spans="1:17" x14ac:dyDescent="0.35">
      <c r="A990" t="str">
        <f>Raw_Data!A990</f>
        <v>ORD-0190</v>
      </c>
      <c r="B990" s="2">
        <f>Raw_Data!B990</f>
        <v>46019</v>
      </c>
      <c r="C990" t="str">
        <f>Raw_Data!C990</f>
        <v>East</v>
      </c>
      <c r="D990" t="str">
        <f>Raw_Data!D990</f>
        <v>Guwahati</v>
      </c>
      <c r="E990" t="str">
        <f>Raw_Data!E990</f>
        <v>Office Supplies</v>
      </c>
      <c r="F990" t="str">
        <f>Raw_Data!F990</f>
        <v>Pen Set</v>
      </c>
      <c r="G990" t="str">
        <f>Raw_Data!G990</f>
        <v>Consumer</v>
      </c>
      <c r="H990" t="str">
        <f>Raw_Data!H990</f>
        <v>In-Store</v>
      </c>
      <c r="I990">
        <f>Raw_Data!I990</f>
        <v>9</v>
      </c>
      <c r="J990" s="3">
        <f>Raw_Data!J990</f>
        <v>7.71</v>
      </c>
      <c r="K990" s="4">
        <f>Raw_Data!K990</f>
        <v>0.1</v>
      </c>
      <c r="L990" s="3">
        <f>Raw_Data!L990</f>
        <v>62.45</v>
      </c>
      <c r="M990" s="3">
        <f>Raw_Data!M990</f>
        <v>44.25</v>
      </c>
      <c r="N990" s="3">
        <f>Raw_Data!N990</f>
        <v>18.2</v>
      </c>
      <c r="O990" t="str">
        <f t="shared" si="45"/>
        <v>2025-12</v>
      </c>
      <c r="P990" s="5">
        <f t="shared" si="46"/>
        <v>0.29143314651721375</v>
      </c>
      <c r="Q990" s="3">
        <f t="shared" si="47"/>
        <v>62.45</v>
      </c>
    </row>
    <row r="991" spans="1:17" x14ac:dyDescent="0.35">
      <c r="A991" t="str">
        <f>Raw_Data!A991</f>
        <v>ORD-0719</v>
      </c>
      <c r="B991" s="2">
        <f>Raw_Data!B991</f>
        <v>46019</v>
      </c>
      <c r="C991" t="str">
        <f>Raw_Data!C991</f>
        <v>East</v>
      </c>
      <c r="D991" t="str">
        <f>Raw_Data!D991</f>
        <v>Bhubaneswar</v>
      </c>
      <c r="E991" t="str">
        <f>Raw_Data!E991</f>
        <v>Home &amp; Kitchen</v>
      </c>
      <c r="F991" t="str">
        <f>Raw_Data!F991</f>
        <v>Lunch Box</v>
      </c>
      <c r="G991" t="str">
        <f>Raw_Data!G991</f>
        <v>Corporate</v>
      </c>
      <c r="H991" t="str">
        <f>Raw_Data!H991</f>
        <v>Marketplace</v>
      </c>
      <c r="I991">
        <f>Raw_Data!I991</f>
        <v>2</v>
      </c>
      <c r="J991" s="3">
        <f>Raw_Data!J991</f>
        <v>23.97</v>
      </c>
      <c r="K991" s="4">
        <f>Raw_Data!K991</f>
        <v>0.1</v>
      </c>
      <c r="L991" s="3">
        <f>Raw_Data!L991</f>
        <v>43.15</v>
      </c>
      <c r="M991" s="3">
        <f>Raw_Data!M991</f>
        <v>23.6</v>
      </c>
      <c r="N991" s="3">
        <f>Raw_Data!N991</f>
        <v>19.55</v>
      </c>
      <c r="O991" t="str">
        <f t="shared" si="45"/>
        <v>2025-12</v>
      </c>
      <c r="P991" s="5">
        <f t="shared" si="46"/>
        <v>0.45307068366164543</v>
      </c>
      <c r="Q991" s="3">
        <f t="shared" si="47"/>
        <v>43.15</v>
      </c>
    </row>
    <row r="992" spans="1:17" x14ac:dyDescent="0.35">
      <c r="A992" t="str">
        <f>Raw_Data!A992</f>
        <v>ORD-0593</v>
      </c>
      <c r="B992" s="2">
        <f>Raw_Data!B992</f>
        <v>46020</v>
      </c>
      <c r="C992" t="str">
        <f>Raw_Data!C992</f>
        <v>South</v>
      </c>
      <c r="D992" t="str">
        <f>Raw_Data!D992</f>
        <v>Bengaluru</v>
      </c>
      <c r="E992" t="str">
        <f>Raw_Data!E992</f>
        <v>Technology</v>
      </c>
      <c r="F992" t="str">
        <f>Raw_Data!F992</f>
        <v>Wireless Mouse</v>
      </c>
      <c r="G992" t="str">
        <f>Raw_Data!G992</f>
        <v>Consumer</v>
      </c>
      <c r="H992" t="str">
        <f>Raw_Data!H992</f>
        <v>Marketplace</v>
      </c>
      <c r="I992">
        <f>Raw_Data!I992</f>
        <v>10</v>
      </c>
      <c r="J992" s="3">
        <f>Raw_Data!J992</f>
        <v>16.12</v>
      </c>
      <c r="K992" s="4">
        <f>Raw_Data!K992</f>
        <v>0.15</v>
      </c>
      <c r="L992" s="3">
        <f>Raw_Data!L992</f>
        <v>137.02000000000001</v>
      </c>
      <c r="M992" s="3">
        <f>Raw_Data!M992</f>
        <v>116.22</v>
      </c>
      <c r="N992" s="3">
        <f>Raw_Data!N992</f>
        <v>20.8</v>
      </c>
      <c r="O992" t="str">
        <f t="shared" si="45"/>
        <v>2025-12</v>
      </c>
      <c r="P992" s="5">
        <f t="shared" si="46"/>
        <v>0.15180265654648956</v>
      </c>
      <c r="Q992" s="3">
        <f t="shared" si="47"/>
        <v>137.02000000000001</v>
      </c>
    </row>
    <row r="993" spans="1:17" x14ac:dyDescent="0.35">
      <c r="A993" t="str">
        <f>Raw_Data!A993</f>
        <v>ORD-0751</v>
      </c>
      <c r="B993" s="2">
        <f>Raw_Data!B993</f>
        <v>46020</v>
      </c>
      <c r="C993" t="str">
        <f>Raw_Data!C993</f>
        <v>East</v>
      </c>
      <c r="D993" t="str">
        <f>Raw_Data!D993</f>
        <v>Kolkata</v>
      </c>
      <c r="E993" t="str">
        <f>Raw_Data!E993</f>
        <v>Home &amp; Kitchen</v>
      </c>
      <c r="F993" t="str">
        <f>Raw_Data!F993</f>
        <v>Lunch Box</v>
      </c>
      <c r="G993" t="str">
        <f>Raw_Data!G993</f>
        <v>Consumer</v>
      </c>
      <c r="H993" t="str">
        <f>Raw_Data!H993</f>
        <v>Online</v>
      </c>
      <c r="I993">
        <f>Raw_Data!I993</f>
        <v>12</v>
      </c>
      <c r="J993" s="3">
        <f>Raw_Data!J993</f>
        <v>23.09</v>
      </c>
      <c r="K993" s="4">
        <f>Raw_Data!K993</f>
        <v>0</v>
      </c>
      <c r="L993" s="3">
        <f>Raw_Data!L993</f>
        <v>277.08</v>
      </c>
      <c r="M993" s="3">
        <f>Raw_Data!M993</f>
        <v>186.79</v>
      </c>
      <c r="N993" s="3">
        <f>Raw_Data!N993</f>
        <v>90.29</v>
      </c>
      <c r="O993" t="str">
        <f t="shared" si="45"/>
        <v>2025-12</v>
      </c>
      <c r="P993" s="5">
        <f t="shared" si="46"/>
        <v>0.32586256676772057</v>
      </c>
      <c r="Q993" s="3">
        <f t="shared" si="47"/>
        <v>277.08</v>
      </c>
    </row>
    <row r="994" spans="1:17" x14ac:dyDescent="0.35">
      <c r="A994" t="str">
        <f>Raw_Data!A994</f>
        <v>ORD-0716</v>
      </c>
      <c r="B994" s="2">
        <f>Raw_Data!B994</f>
        <v>46021</v>
      </c>
      <c r="C994" t="str">
        <f>Raw_Data!C994</f>
        <v>West</v>
      </c>
      <c r="D994" t="str">
        <f>Raw_Data!D994</f>
        <v>Pune</v>
      </c>
      <c r="E994" t="str">
        <f>Raw_Data!E994</f>
        <v>Home &amp; Kitchen</v>
      </c>
      <c r="F994" t="str">
        <f>Raw_Data!F994</f>
        <v>Storage Box</v>
      </c>
      <c r="G994" t="str">
        <f>Raw_Data!G994</f>
        <v>Small Business</v>
      </c>
      <c r="H994" t="str">
        <f>Raw_Data!H994</f>
        <v>Marketplace</v>
      </c>
      <c r="I994">
        <f>Raw_Data!I994</f>
        <v>5</v>
      </c>
      <c r="J994" s="3">
        <f>Raw_Data!J994</f>
        <v>12.47</v>
      </c>
      <c r="K994" s="4">
        <f>Raw_Data!K994</f>
        <v>0</v>
      </c>
      <c r="L994" s="3">
        <f>Raw_Data!L994</f>
        <v>62.35</v>
      </c>
      <c r="M994" s="3">
        <f>Raw_Data!M994</f>
        <v>48.23</v>
      </c>
      <c r="N994" s="3">
        <f>Raw_Data!N994</f>
        <v>14.12</v>
      </c>
      <c r="O994" t="str">
        <f t="shared" si="45"/>
        <v>2025-12</v>
      </c>
      <c r="P994" s="5">
        <f t="shared" si="46"/>
        <v>0.22646351242983156</v>
      </c>
      <c r="Q994" s="3">
        <f t="shared" si="47"/>
        <v>62.35</v>
      </c>
    </row>
    <row r="995" spans="1:17" x14ac:dyDescent="0.35">
      <c r="A995" t="str">
        <f>Raw_Data!A995</f>
        <v>ORD-0974</v>
      </c>
      <c r="B995" s="2">
        <f>Raw_Data!B995</f>
        <v>46021</v>
      </c>
      <c r="C995" t="str">
        <f>Raw_Data!C995</f>
        <v>South</v>
      </c>
      <c r="D995" t="str">
        <f>Raw_Data!D995</f>
        <v>Chennai</v>
      </c>
      <c r="E995" t="str">
        <f>Raw_Data!E995</f>
        <v>Office Supplies</v>
      </c>
      <c r="F995" t="str">
        <f>Raw_Data!F995</f>
        <v>Printer Paper</v>
      </c>
      <c r="G995" t="str">
        <f>Raw_Data!G995</f>
        <v>Corporate</v>
      </c>
      <c r="H995" t="str">
        <f>Raw_Data!H995</f>
        <v>Online</v>
      </c>
      <c r="I995">
        <f>Raw_Data!I995</f>
        <v>3</v>
      </c>
      <c r="J995" s="3">
        <f>Raw_Data!J995</f>
        <v>14.18</v>
      </c>
      <c r="K995" s="4">
        <f>Raw_Data!K995</f>
        <v>0</v>
      </c>
      <c r="L995" s="3">
        <f>Raw_Data!L995</f>
        <v>42.54</v>
      </c>
      <c r="M995" s="3">
        <f>Raw_Data!M995</f>
        <v>27.07</v>
      </c>
      <c r="N995" s="3">
        <f>Raw_Data!N995</f>
        <v>15.47</v>
      </c>
      <c r="O995" t="str">
        <f t="shared" si="45"/>
        <v>2025-12</v>
      </c>
      <c r="P995" s="5">
        <f t="shared" si="46"/>
        <v>0.36365773389750827</v>
      </c>
      <c r="Q995" s="3">
        <f t="shared" si="47"/>
        <v>42.54</v>
      </c>
    </row>
    <row r="996" spans="1:17" x14ac:dyDescent="0.35">
      <c r="A996" t="str">
        <f>Raw_Data!A996</f>
        <v>ORD-0399</v>
      </c>
      <c r="B996" s="2">
        <f>Raw_Data!B996</f>
        <v>46021</v>
      </c>
      <c r="C996" t="str">
        <f>Raw_Data!C996</f>
        <v>North</v>
      </c>
      <c r="D996" t="str">
        <f>Raw_Data!D996</f>
        <v>Jaipur</v>
      </c>
      <c r="E996" t="str">
        <f>Raw_Data!E996</f>
        <v>Furniture</v>
      </c>
      <c r="F996" t="str">
        <f>Raw_Data!F996</f>
        <v>Desk Lamp</v>
      </c>
      <c r="G996" t="str">
        <f>Raw_Data!G996</f>
        <v>Consumer</v>
      </c>
      <c r="H996" t="str">
        <f>Raw_Data!H996</f>
        <v>Online</v>
      </c>
      <c r="I996">
        <f>Raw_Data!I996</f>
        <v>12</v>
      </c>
      <c r="J996" s="3">
        <f>Raw_Data!J996</f>
        <v>45.13</v>
      </c>
      <c r="K996" s="4">
        <f>Raw_Data!K996</f>
        <v>0.05</v>
      </c>
      <c r="L996" s="3">
        <f>Raw_Data!L996</f>
        <v>514.48</v>
      </c>
      <c r="M996" s="3">
        <f>Raw_Data!M996</f>
        <v>332.87</v>
      </c>
      <c r="N996" s="3">
        <f>Raw_Data!N996</f>
        <v>181.61</v>
      </c>
      <c r="O996" t="str">
        <f t="shared" si="45"/>
        <v>2025-12</v>
      </c>
      <c r="P996" s="5">
        <f t="shared" si="46"/>
        <v>0.35299720105737836</v>
      </c>
      <c r="Q996" s="3">
        <f t="shared" si="47"/>
        <v>514.48</v>
      </c>
    </row>
    <row r="997" spans="1:17" x14ac:dyDescent="0.35">
      <c r="A997" t="str">
        <f>Raw_Data!A997</f>
        <v>ORD-0169</v>
      </c>
      <c r="B997" s="2">
        <f>Raw_Data!B997</f>
        <v>46021</v>
      </c>
      <c r="C997" t="str">
        <f>Raw_Data!C997</f>
        <v>South</v>
      </c>
      <c r="D997" t="str">
        <f>Raw_Data!D997</f>
        <v>Chennai</v>
      </c>
      <c r="E997" t="str">
        <f>Raw_Data!E997</f>
        <v>Office Supplies</v>
      </c>
      <c r="F997" t="str">
        <f>Raw_Data!F997</f>
        <v>Desk Organizer</v>
      </c>
      <c r="G997" t="str">
        <f>Raw_Data!G997</f>
        <v>Small Business</v>
      </c>
      <c r="H997" t="str">
        <f>Raw_Data!H997</f>
        <v>Online</v>
      </c>
      <c r="I997">
        <f>Raw_Data!I997</f>
        <v>9</v>
      </c>
      <c r="J997" s="3">
        <f>Raw_Data!J997</f>
        <v>19.5</v>
      </c>
      <c r="K997" s="4">
        <f>Raw_Data!K997</f>
        <v>0</v>
      </c>
      <c r="L997" s="3">
        <f>Raw_Data!L997</f>
        <v>175.5</v>
      </c>
      <c r="M997" s="3">
        <f>Raw_Data!M997</f>
        <v>125.94</v>
      </c>
      <c r="N997" s="3">
        <f>Raw_Data!N997</f>
        <v>49.56</v>
      </c>
      <c r="O997" t="str">
        <f t="shared" si="45"/>
        <v>2025-12</v>
      </c>
      <c r="P997" s="5">
        <f t="shared" si="46"/>
        <v>0.28239316239316242</v>
      </c>
      <c r="Q997" s="3">
        <f t="shared" si="47"/>
        <v>175.5</v>
      </c>
    </row>
    <row r="998" spans="1:17" x14ac:dyDescent="0.35">
      <c r="A998" t="str">
        <f>Raw_Data!A998</f>
        <v>ORD-0568</v>
      </c>
      <c r="B998" s="2">
        <f>Raw_Data!B998</f>
        <v>46022</v>
      </c>
      <c r="C998" t="str">
        <f>Raw_Data!C998</f>
        <v>West</v>
      </c>
      <c r="D998" t="str">
        <f>Raw_Data!D998</f>
        <v>Pune</v>
      </c>
      <c r="E998" t="str">
        <f>Raw_Data!E998</f>
        <v>Home &amp; Kitchen</v>
      </c>
      <c r="F998" t="str">
        <f>Raw_Data!F998</f>
        <v>Water Bottle</v>
      </c>
      <c r="G998" t="str">
        <f>Raw_Data!G998</f>
        <v>Consumer</v>
      </c>
      <c r="H998" t="str">
        <f>Raw_Data!H998</f>
        <v>In-Store</v>
      </c>
      <c r="I998">
        <f>Raw_Data!I998</f>
        <v>10</v>
      </c>
      <c r="J998" s="3">
        <f>Raw_Data!J998</f>
        <v>16.940000000000001</v>
      </c>
      <c r="K998" s="4">
        <f>Raw_Data!K998</f>
        <v>0.05</v>
      </c>
      <c r="L998" s="3">
        <f>Raw_Data!L998</f>
        <v>160.93</v>
      </c>
      <c r="M998" s="3">
        <f>Raw_Data!M998</f>
        <v>109.52</v>
      </c>
      <c r="N998" s="3">
        <f>Raw_Data!N998</f>
        <v>51.41</v>
      </c>
      <c r="O998" t="str">
        <f t="shared" si="45"/>
        <v>2025-12</v>
      </c>
      <c r="P998" s="5">
        <f t="shared" si="46"/>
        <v>0.31945566395327157</v>
      </c>
      <c r="Q998" s="3">
        <f t="shared" si="47"/>
        <v>160.93</v>
      </c>
    </row>
    <row r="999" spans="1:17" x14ac:dyDescent="0.35">
      <c r="A999" t="str">
        <f>Raw_Data!A999</f>
        <v>ORD-0288</v>
      </c>
      <c r="B999" s="2">
        <f>Raw_Data!B999</f>
        <v>46022</v>
      </c>
      <c r="C999" t="str">
        <f>Raw_Data!C999</f>
        <v>South</v>
      </c>
      <c r="D999" t="str">
        <f>Raw_Data!D999</f>
        <v>Chennai</v>
      </c>
      <c r="E999" t="str">
        <f>Raw_Data!E999</f>
        <v>Home &amp; Kitchen</v>
      </c>
      <c r="F999" t="str">
        <f>Raw_Data!F999</f>
        <v>Lunch Box</v>
      </c>
      <c r="G999" t="str">
        <f>Raw_Data!G999</f>
        <v>Small Business</v>
      </c>
      <c r="H999" t="str">
        <f>Raw_Data!H999</f>
        <v>Online</v>
      </c>
      <c r="I999">
        <f>Raw_Data!I999</f>
        <v>12</v>
      </c>
      <c r="J999" s="3">
        <f>Raw_Data!J999</f>
        <v>19.82</v>
      </c>
      <c r="K999" s="4">
        <f>Raw_Data!K999</f>
        <v>0.15</v>
      </c>
      <c r="L999" s="3">
        <f>Raw_Data!L999</f>
        <v>202.16</v>
      </c>
      <c r="M999" s="3">
        <f>Raw_Data!M999</f>
        <v>152.53</v>
      </c>
      <c r="N999" s="3">
        <f>Raw_Data!N999</f>
        <v>49.63</v>
      </c>
      <c r="O999" t="str">
        <f t="shared" si="45"/>
        <v>2025-12</v>
      </c>
      <c r="P999" s="5">
        <f t="shared" si="46"/>
        <v>0.24549861495844877</v>
      </c>
      <c r="Q999" s="3">
        <f t="shared" si="47"/>
        <v>202.16</v>
      </c>
    </row>
    <row r="1000" spans="1:17" x14ac:dyDescent="0.35">
      <c r="A1000" t="str">
        <f>Raw_Data!A1000</f>
        <v>ORD-0995</v>
      </c>
      <c r="B1000" s="2">
        <f>Raw_Data!B1000</f>
        <v>46022</v>
      </c>
      <c r="C1000" t="str">
        <f>Raw_Data!C1000</f>
        <v>North</v>
      </c>
      <c r="D1000" t="str">
        <f>Raw_Data!D1000</f>
        <v>Chandigarh</v>
      </c>
      <c r="E1000" t="str">
        <f>Raw_Data!E1000</f>
        <v>Home &amp; Kitchen</v>
      </c>
      <c r="F1000" t="str">
        <f>Raw_Data!F1000</f>
        <v>Lunch Box</v>
      </c>
      <c r="G1000" t="str">
        <f>Raw_Data!G1000</f>
        <v>Consumer</v>
      </c>
      <c r="H1000" t="str">
        <f>Raw_Data!H1000</f>
        <v>In-Store</v>
      </c>
      <c r="I1000">
        <f>Raw_Data!I1000</f>
        <v>9</v>
      </c>
      <c r="J1000" s="3">
        <f>Raw_Data!J1000</f>
        <v>18.5</v>
      </c>
      <c r="K1000" s="4">
        <f>Raw_Data!K1000</f>
        <v>0.05</v>
      </c>
      <c r="L1000" s="3">
        <f>Raw_Data!L1000</f>
        <v>158.16999999999999</v>
      </c>
      <c r="M1000" s="3">
        <f>Raw_Data!M1000</f>
        <v>89.11</v>
      </c>
      <c r="N1000" s="3">
        <f>Raw_Data!N1000</f>
        <v>69.06</v>
      </c>
      <c r="O1000" t="str">
        <f t="shared" si="45"/>
        <v>2025-12</v>
      </c>
      <c r="P1000" s="5">
        <f t="shared" si="46"/>
        <v>0.43661882784345962</v>
      </c>
      <c r="Q1000" s="3">
        <f t="shared" si="47"/>
        <v>158.16999999999999</v>
      </c>
    </row>
    <row r="1001" spans="1:17" x14ac:dyDescent="0.35">
      <c r="A1001" t="str">
        <f>Raw_Data!A1001</f>
        <v>ORD-0536</v>
      </c>
      <c r="B1001" s="2">
        <f>Raw_Data!B1001</f>
        <v>46022</v>
      </c>
      <c r="C1001" t="str">
        <f>Raw_Data!C1001</f>
        <v>South</v>
      </c>
      <c r="D1001" t="str">
        <f>Raw_Data!D1001</f>
        <v>Bengaluru</v>
      </c>
      <c r="E1001" t="str">
        <f>Raw_Data!E1001</f>
        <v>Technology</v>
      </c>
      <c r="F1001" t="str">
        <f>Raw_Data!F1001</f>
        <v>USB Hub</v>
      </c>
      <c r="G1001" t="str">
        <f>Raw_Data!G1001</f>
        <v>Consumer</v>
      </c>
      <c r="H1001" t="str">
        <f>Raw_Data!H1001</f>
        <v>Online</v>
      </c>
      <c r="I1001">
        <f>Raw_Data!I1001</f>
        <v>5</v>
      </c>
      <c r="J1001" s="3">
        <f>Raw_Data!J1001</f>
        <v>23</v>
      </c>
      <c r="K1001" s="4">
        <f>Raw_Data!K1001</f>
        <v>0.1</v>
      </c>
      <c r="L1001" s="3">
        <f>Raw_Data!L1001</f>
        <v>103.5</v>
      </c>
      <c r="M1001" s="3">
        <f>Raw_Data!M1001</f>
        <v>65.16</v>
      </c>
      <c r="N1001" s="3">
        <f>Raw_Data!N1001</f>
        <v>38.340000000000003</v>
      </c>
      <c r="O1001" t="str">
        <f t="shared" si="45"/>
        <v>2025-12</v>
      </c>
      <c r="P1001" s="5">
        <f t="shared" si="46"/>
        <v>0.37043478260869567</v>
      </c>
      <c r="Q1001" s="3">
        <f t="shared" si="47"/>
        <v>103.5</v>
      </c>
    </row>
  </sheetData>
  <autoFilter ref="A1:Q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showGridLines="0" workbookViewId="0">
      <pane ySplit="8" topLeftCell="A9" activePane="bottomLeft" state="frozen"/>
      <selection pane="bottomLeft" activeCell="E12" sqref="E12"/>
    </sheetView>
  </sheetViews>
  <sheetFormatPr defaultRowHeight="14.5" x14ac:dyDescent="0.35"/>
  <cols>
    <col min="1" max="10" width="20" customWidth="1"/>
  </cols>
  <sheetData>
    <row r="1" spans="1:9" ht="21" x14ac:dyDescent="0.35">
      <c r="A1" s="15" t="s">
        <v>1059</v>
      </c>
      <c r="B1" s="16"/>
      <c r="C1" s="16"/>
      <c r="D1" s="16"/>
      <c r="E1" s="16"/>
      <c r="F1" s="16"/>
    </row>
    <row r="2" spans="1:9" x14ac:dyDescent="0.35">
      <c r="A2" s="6" t="s">
        <v>1060</v>
      </c>
    </row>
    <row r="4" spans="1:9" ht="17" x14ac:dyDescent="0.35">
      <c r="A4" s="7" t="s">
        <v>1061</v>
      </c>
      <c r="B4" s="8">
        <f>SUM(Working_Analysis!L2:L1001)</f>
        <v>360030.04000000027</v>
      </c>
      <c r="C4" s="7" t="s">
        <v>1062</v>
      </c>
      <c r="D4" s="8">
        <f>SUM(Working_Analysis!N2:N1001)</f>
        <v>118139.89000000012</v>
      </c>
      <c r="E4" s="7" t="s">
        <v>1063</v>
      </c>
      <c r="F4" s="9">
        <f>COUNTA(Working_Analysis!A2:A1001)</f>
        <v>1000</v>
      </c>
    </row>
    <row r="6" spans="1:9" ht="17" x14ac:dyDescent="0.35">
      <c r="A6" s="7" t="s">
        <v>1064</v>
      </c>
      <c r="B6" s="8">
        <f>SUM(Working_Analysis!I2:I1001)</f>
        <v>6651</v>
      </c>
      <c r="C6" s="7" t="s">
        <v>1065</v>
      </c>
      <c r="D6" s="8">
        <f>AVERAGE(Working_Analysis!L2:L1001)</f>
        <v>360.03004000000027</v>
      </c>
      <c r="E6" s="7" t="s">
        <v>1066</v>
      </c>
      <c r="F6" s="10">
        <f>IFERROR(D4/B4,0)</f>
        <v>0.32813897973624651</v>
      </c>
    </row>
    <row r="9" spans="1:9" x14ac:dyDescent="0.35">
      <c r="A9" s="11" t="s">
        <v>1067</v>
      </c>
      <c r="F9" s="11" t="s">
        <v>1068</v>
      </c>
    </row>
    <row r="10" spans="1:9" x14ac:dyDescent="0.35">
      <c r="A10" s="12" t="s">
        <v>4</v>
      </c>
      <c r="B10" s="12" t="s">
        <v>1069</v>
      </c>
      <c r="C10" s="12" t="s">
        <v>13</v>
      </c>
      <c r="D10" s="12" t="s">
        <v>1070</v>
      </c>
      <c r="F10" s="12" t="s">
        <v>2</v>
      </c>
      <c r="G10" s="12" t="s">
        <v>1069</v>
      </c>
      <c r="H10" s="12" t="s">
        <v>13</v>
      </c>
      <c r="I10" s="12" t="s">
        <v>1070</v>
      </c>
    </row>
    <row r="11" spans="1:9" x14ac:dyDescent="0.35">
      <c r="A11" s="13" t="s">
        <v>27</v>
      </c>
      <c r="B11" s="14">
        <f>SUMIF(Working_Analysis!E$2:E$1001,A11,Working_Analysis!L$2:L$1001)</f>
        <v>239796.78999999992</v>
      </c>
      <c r="C11" s="14">
        <f>SUMIF(Working_Analysis!E$2:E$1001,A11,Working_Analysis!N$2:N$1001)</f>
        <v>78346.260000000024</v>
      </c>
      <c r="D11" s="14">
        <f>COUNTIF(Working_Analysis!E$2:E$1001,A11)</f>
        <v>235</v>
      </c>
      <c r="F11" s="13" t="s">
        <v>32</v>
      </c>
      <c r="G11" s="14">
        <f>SUMIF(Working_Analysis!C$2:C$1001,F11,Working_Analysis!L$2:L$1001)</f>
        <v>102056.35</v>
      </c>
      <c r="H11" s="13">
        <f>SUMIF(Working_Analysis!C$2:C$1001,F11,Working_Analysis!N$2:N$1001)</f>
        <v>34091.029999999992</v>
      </c>
      <c r="I11" s="13">
        <f>COUNTIF(Working_Analysis!C$2:C$1001,F11)</f>
        <v>241</v>
      </c>
    </row>
    <row r="12" spans="1:9" x14ac:dyDescent="0.35">
      <c r="A12" s="13" t="s">
        <v>17</v>
      </c>
      <c r="B12" s="14">
        <f>SUMIF(Working_Analysis!E$2:E$1001,A12,Working_Analysis!L$2:L$1001)</f>
        <v>48059.950000000012</v>
      </c>
      <c r="C12" s="14">
        <f>SUMIF(Working_Analysis!E$2:E$1001,A12,Working_Analysis!N$2:N$1001)</f>
        <v>16151.549999999994</v>
      </c>
      <c r="D12" s="14">
        <f>COUNTIF(Working_Analysis!E$2:E$1001,A12)</f>
        <v>276</v>
      </c>
      <c r="F12" s="13" t="s">
        <v>25</v>
      </c>
      <c r="G12" s="14">
        <f>SUMIF(Working_Analysis!C$2:C$1001,F12,Working_Analysis!L$2:L$1001)</f>
        <v>74480.729999999967</v>
      </c>
      <c r="H12" s="13">
        <f>SUMIF(Working_Analysis!C$2:C$1001,F12,Working_Analysis!N$2:N$1001)</f>
        <v>24724.73</v>
      </c>
      <c r="I12" s="13">
        <f>COUNTIF(Working_Analysis!C$2:C$1001,F12)</f>
        <v>245</v>
      </c>
    </row>
    <row r="13" spans="1:9" x14ac:dyDescent="0.35">
      <c r="A13" s="13" t="s">
        <v>53</v>
      </c>
      <c r="B13" s="14">
        <f>SUMIF(Working_Analysis!E$2:E$1001,A13,Working_Analysis!L$2:L$1001)</f>
        <v>21345.260000000006</v>
      </c>
      <c r="C13" s="14">
        <f>SUMIF(Working_Analysis!E$2:E$1001,A13,Working_Analysis!N$2:N$1001)</f>
        <v>7166.119999999999</v>
      </c>
      <c r="D13" s="14">
        <f>COUNTIF(Working_Analysis!E$2:E$1001,A13)</f>
        <v>248</v>
      </c>
      <c r="F13" s="13" t="s">
        <v>40</v>
      </c>
      <c r="G13" s="14">
        <f>SUMIF(Working_Analysis!C$2:C$1001,F13,Working_Analysis!L$2:L$1001)</f>
        <v>94009.780000000028</v>
      </c>
      <c r="H13" s="13">
        <f>SUMIF(Working_Analysis!C$2:C$1001,F13,Working_Analysis!N$2:N$1001)</f>
        <v>31784.839999999993</v>
      </c>
      <c r="I13" s="13">
        <f>COUNTIF(Working_Analysis!C$2:C$1001,F13)</f>
        <v>264</v>
      </c>
    </row>
    <row r="14" spans="1:9" x14ac:dyDescent="0.35">
      <c r="A14" s="13" t="s">
        <v>37</v>
      </c>
      <c r="B14" s="14">
        <f>SUMIF(Working_Analysis!E$2:E$1001,A14,Working_Analysis!L$2:L$1001)</f>
        <v>50828.039999999979</v>
      </c>
      <c r="C14" s="14">
        <f>SUMIF(Working_Analysis!E$2:E$1001,A14,Working_Analysis!N$2:N$1001)</f>
        <v>16475.959999999995</v>
      </c>
      <c r="D14" s="14">
        <f>COUNTIF(Working_Analysis!E$2:E$1001,A14)</f>
        <v>241</v>
      </c>
      <c r="F14" s="13" t="s">
        <v>15</v>
      </c>
      <c r="G14" s="14">
        <f>SUMIF(Working_Analysis!C$2:C$1001,F14,Working_Analysis!L$2:L$1001)</f>
        <v>89483.180000000051</v>
      </c>
      <c r="H14" s="13">
        <f>SUMIF(Working_Analysis!C$2:C$1001,F14,Working_Analysis!N$2:N$1001)</f>
        <v>27539.28999999999</v>
      </c>
      <c r="I14" s="13">
        <f>COUNTIF(Working_Analysis!C$2:C$1001,F14)</f>
        <v>250</v>
      </c>
    </row>
    <row r="18" spans="1:9" x14ac:dyDescent="0.35">
      <c r="A18" s="11" t="s">
        <v>1071</v>
      </c>
      <c r="F18" s="11" t="s">
        <v>1072</v>
      </c>
    </row>
    <row r="19" spans="1:9" x14ac:dyDescent="0.35">
      <c r="A19" s="12" t="s">
        <v>1056</v>
      </c>
      <c r="B19" s="12" t="s">
        <v>1069</v>
      </c>
      <c r="C19" s="12" t="s">
        <v>13</v>
      </c>
      <c r="D19" s="12" t="s">
        <v>1070</v>
      </c>
      <c r="F19" s="12" t="s">
        <v>1073</v>
      </c>
      <c r="G19" s="12" t="s">
        <v>1069</v>
      </c>
      <c r="H19" s="12" t="s">
        <v>13</v>
      </c>
      <c r="I19" s="12" t="s">
        <v>1070</v>
      </c>
    </row>
    <row r="20" spans="1:9" x14ac:dyDescent="0.35">
      <c r="A20" s="13" t="s">
        <v>1074</v>
      </c>
      <c r="B20" s="14">
        <f>SUMIF(Working_Analysis!O$2:O$1001,A20,Working_Analysis!L$2:L$1001)</f>
        <v>27488.14000000001</v>
      </c>
      <c r="C20" s="14">
        <f>SUMIF(Working_Analysis!O$2:O$1001,A20,Working_Analysis!N$2:N$1001)</f>
        <v>8668.9100000000035</v>
      </c>
      <c r="D20" s="14">
        <f>COUNTIF(Working_Analysis!O$2:O$1001,A20)</f>
        <v>94</v>
      </c>
      <c r="F20" s="13" t="s">
        <v>22</v>
      </c>
      <c r="G20" s="14">
        <f>SUMIF(Working_Analysis!G$2:G$1001,F20,Working_Analysis!L$2:L$1001)</f>
        <v>122458.87000000004</v>
      </c>
      <c r="H20" s="13">
        <f>SUMIF(Working_Analysis!G$2:G$1001,F20,Working_Analysis!N$2:N$1001)</f>
        <v>40100.249999999964</v>
      </c>
      <c r="I20" s="13">
        <f>COUNTIF(Working_Analysis!G$2:G$1001,F20)</f>
        <v>355</v>
      </c>
    </row>
    <row r="21" spans="1:9" x14ac:dyDescent="0.35">
      <c r="A21" s="13" t="s">
        <v>1075</v>
      </c>
      <c r="B21" s="14">
        <f>SUMIF(Working_Analysis!O$2:O$1001,A21,Working_Analysis!L$2:L$1001)</f>
        <v>24909.99</v>
      </c>
      <c r="C21" s="14">
        <f>SUMIF(Working_Analysis!O$2:O$1001,A21,Working_Analysis!N$2:N$1001)</f>
        <v>7991.9000000000024</v>
      </c>
      <c r="D21" s="14">
        <f>COUNTIF(Working_Analysis!O$2:O$1001,A21)</f>
        <v>72</v>
      </c>
      <c r="F21" s="13" t="s">
        <v>29</v>
      </c>
      <c r="G21" s="14">
        <f>SUMIF(Working_Analysis!G$2:G$1001,F21,Working_Analysis!L$2:L$1001)</f>
        <v>111743.24000000003</v>
      </c>
      <c r="H21" s="13">
        <f>SUMIF(Working_Analysis!G$2:G$1001,F21,Working_Analysis!N$2:N$1001)</f>
        <v>39271.099999999955</v>
      </c>
      <c r="I21" s="13">
        <f>COUNTIF(Working_Analysis!G$2:G$1001,F21)</f>
        <v>321</v>
      </c>
    </row>
    <row r="22" spans="1:9" x14ac:dyDescent="0.35">
      <c r="A22" s="13" t="s">
        <v>1076</v>
      </c>
      <c r="B22" s="14">
        <f>SUMIF(Working_Analysis!O$2:O$1001,A22,Working_Analysis!L$2:L$1001)</f>
        <v>35838.83</v>
      </c>
      <c r="C22" s="14">
        <f>SUMIF(Working_Analysis!O$2:O$1001,A22,Working_Analysis!N$2:N$1001)</f>
        <v>12869.849999999997</v>
      </c>
      <c r="D22" s="14">
        <f>COUNTIF(Working_Analysis!O$2:O$1001,A22)</f>
        <v>94</v>
      </c>
      <c r="F22" s="13" t="s">
        <v>19</v>
      </c>
      <c r="G22" s="14">
        <f>SUMIF(Working_Analysis!G$2:G$1001,F22,Working_Analysis!L$2:L$1001)</f>
        <v>125827.92999999998</v>
      </c>
      <c r="H22" s="13">
        <f>SUMIF(Working_Analysis!G$2:G$1001,F22,Working_Analysis!N$2:N$1001)</f>
        <v>38768.539999999986</v>
      </c>
      <c r="I22" s="13">
        <f>COUNTIF(Working_Analysis!G$2:G$1001,F22)</f>
        <v>324</v>
      </c>
    </row>
    <row r="23" spans="1:9" x14ac:dyDescent="0.35">
      <c r="A23" s="13" t="s">
        <v>1077</v>
      </c>
      <c r="B23" s="14">
        <f>SUMIF(Working_Analysis!O$2:O$1001,A23,Working_Analysis!L$2:L$1001)</f>
        <v>18171.490000000002</v>
      </c>
      <c r="C23" s="14">
        <f>SUMIF(Working_Analysis!O$2:O$1001,A23,Working_Analysis!N$2:N$1001)</f>
        <v>6233.4599999999982</v>
      </c>
      <c r="D23" s="14">
        <f>COUNTIF(Working_Analysis!O$2:O$1001,A23)</f>
        <v>67</v>
      </c>
    </row>
    <row r="24" spans="1:9" x14ac:dyDescent="0.35">
      <c r="A24" s="13" t="s">
        <v>1078</v>
      </c>
      <c r="B24" s="14">
        <f>SUMIF(Working_Analysis!O$2:O$1001,A24,Working_Analysis!L$2:L$1001)</f>
        <v>38345.230000000003</v>
      </c>
      <c r="C24" s="14">
        <f>SUMIF(Working_Analysis!O$2:O$1001,A24,Working_Analysis!N$2:N$1001)</f>
        <v>12895.670000000002</v>
      </c>
      <c r="D24" s="14">
        <f>COUNTIF(Working_Analysis!O$2:O$1001,A24)</f>
        <v>81</v>
      </c>
    </row>
    <row r="25" spans="1:9" x14ac:dyDescent="0.35">
      <c r="A25" s="13" t="s">
        <v>1079</v>
      </c>
      <c r="B25" s="14">
        <f>SUMIF(Working_Analysis!O$2:O$1001,A25,Working_Analysis!L$2:L$1001)</f>
        <v>38685.189999999995</v>
      </c>
      <c r="C25" s="14">
        <f>SUMIF(Working_Analysis!O$2:O$1001,A25,Working_Analysis!N$2:N$1001)</f>
        <v>11888.79</v>
      </c>
      <c r="D25" s="14">
        <f>COUNTIF(Working_Analysis!O$2:O$1001,A25)</f>
        <v>89</v>
      </c>
    </row>
    <row r="26" spans="1:9" x14ac:dyDescent="0.35">
      <c r="A26" s="13" t="s">
        <v>1080</v>
      </c>
      <c r="B26" s="14">
        <f>SUMIF(Working_Analysis!O$2:O$1001,A26,Working_Analysis!L$2:L$1001)</f>
        <v>26137.760000000002</v>
      </c>
      <c r="C26" s="14">
        <f>SUMIF(Working_Analysis!O$2:O$1001,A26,Working_Analysis!N$2:N$1001)</f>
        <v>8874.34</v>
      </c>
      <c r="D26" s="14">
        <f>COUNTIF(Working_Analysis!O$2:O$1001,A26)</f>
        <v>80</v>
      </c>
    </row>
    <row r="27" spans="1:9" x14ac:dyDescent="0.35">
      <c r="A27" s="13" t="s">
        <v>1081</v>
      </c>
      <c r="B27" s="14">
        <f>SUMIF(Working_Analysis!O$2:O$1001,A27,Working_Analysis!L$2:L$1001)</f>
        <v>33489.070000000007</v>
      </c>
      <c r="C27" s="14">
        <f>SUMIF(Working_Analysis!O$2:O$1001,A27,Working_Analysis!N$2:N$1001)</f>
        <v>11322.900000000001</v>
      </c>
      <c r="D27" s="14">
        <f>COUNTIF(Working_Analysis!O$2:O$1001,A27)</f>
        <v>92</v>
      </c>
    </row>
    <row r="28" spans="1:9" x14ac:dyDescent="0.35">
      <c r="A28" s="13" t="s">
        <v>1082</v>
      </c>
      <c r="B28" s="14">
        <f>SUMIF(Working_Analysis!O$2:O$1001,A28,Working_Analysis!L$2:L$1001)</f>
        <v>27464.99</v>
      </c>
      <c r="C28" s="14">
        <f>SUMIF(Working_Analysis!O$2:O$1001,A28,Working_Analysis!N$2:N$1001)</f>
        <v>8152.0999999999995</v>
      </c>
      <c r="D28" s="14">
        <f>COUNTIF(Working_Analysis!O$2:O$1001,A28)</f>
        <v>77</v>
      </c>
    </row>
    <row r="29" spans="1:9" x14ac:dyDescent="0.35">
      <c r="A29" s="13" t="s">
        <v>1083</v>
      </c>
      <c r="B29" s="14">
        <f>SUMIF(Working_Analysis!O$2:O$1001,A29,Working_Analysis!L$2:L$1001)</f>
        <v>23636.51999999999</v>
      </c>
      <c r="C29" s="14">
        <f>SUMIF(Working_Analysis!O$2:O$1001,A29,Working_Analysis!N$2:N$1001)</f>
        <v>8050.0400000000009</v>
      </c>
      <c r="D29" s="14">
        <f>COUNTIF(Working_Analysis!O$2:O$1001,A29)</f>
        <v>72</v>
      </c>
    </row>
    <row r="30" spans="1:9" x14ac:dyDescent="0.35">
      <c r="A30" s="13" t="s">
        <v>1084</v>
      </c>
      <c r="B30" s="14">
        <f>SUMIF(Working_Analysis!O$2:O$1001,A30,Working_Analysis!L$2:L$1001)</f>
        <v>28069.720000000005</v>
      </c>
      <c r="C30" s="14">
        <f>SUMIF(Working_Analysis!O$2:O$1001,A30,Working_Analysis!N$2:N$1001)</f>
        <v>9763.9900000000016</v>
      </c>
      <c r="D30" s="14">
        <f>COUNTIF(Working_Analysis!O$2:O$1001,A30)</f>
        <v>71</v>
      </c>
    </row>
    <row r="31" spans="1:9" x14ac:dyDescent="0.35">
      <c r="A31" s="13" t="s">
        <v>1085</v>
      </c>
      <c r="B31" s="14">
        <f>SUMIF(Working_Analysis!O$2:O$1001,A31,Working_Analysis!L$2:L$1001)</f>
        <v>37793.110000000015</v>
      </c>
      <c r="C31" s="14">
        <f>SUMIF(Working_Analysis!O$2:O$1001,A31,Working_Analysis!N$2:N$1001)</f>
        <v>11427.94</v>
      </c>
      <c r="D31" s="14">
        <f>COUNTIF(Working_Analysis!O$2:O$1001,A31)</f>
        <v>111</v>
      </c>
    </row>
    <row r="33" spans="1:4" x14ac:dyDescent="0.35">
      <c r="A33" s="11" t="s">
        <v>1086</v>
      </c>
    </row>
    <row r="34" spans="1:4" x14ac:dyDescent="0.35">
      <c r="A34" s="12" t="s">
        <v>1087</v>
      </c>
      <c r="B34" s="12" t="s">
        <v>1069</v>
      </c>
      <c r="C34" s="12" t="s">
        <v>13</v>
      </c>
      <c r="D34" s="12" t="s">
        <v>1070</v>
      </c>
    </row>
    <row r="35" spans="1:4" x14ac:dyDescent="0.35">
      <c r="A35" s="13" t="s">
        <v>30</v>
      </c>
      <c r="B35" s="14">
        <f>SUMIF(Working_Analysis!H$2:H$1001,A35,Working_Analysis!L$2:L$1001)</f>
        <v>119396.60000000008</v>
      </c>
      <c r="C35" s="14">
        <f>SUMIF(Working_Analysis!H$2:H$1001,A35,Working_Analysis!N$2:N$1001)</f>
        <v>40561.82</v>
      </c>
      <c r="D35" s="14">
        <f>COUNTIF(Working_Analysis!H$2:H$1001,A35)</f>
        <v>341</v>
      </c>
    </row>
    <row r="36" spans="1:4" x14ac:dyDescent="0.35">
      <c r="A36" s="13" t="s">
        <v>20</v>
      </c>
      <c r="B36" s="14">
        <f>SUMIF(Working_Analysis!H$2:H$1001,A36,Working_Analysis!L$2:L$1001)</f>
        <v>134062.94000000003</v>
      </c>
      <c r="C36" s="14">
        <f>SUMIF(Working_Analysis!H$2:H$1001,A36,Working_Analysis!N$2:N$1001)</f>
        <v>43652.909999999931</v>
      </c>
      <c r="D36" s="14">
        <f>COUNTIF(Working_Analysis!H$2:H$1001,A36)</f>
        <v>348</v>
      </c>
    </row>
    <row r="37" spans="1:4" x14ac:dyDescent="0.35">
      <c r="A37" s="13" t="s">
        <v>23</v>
      </c>
      <c r="B37" s="14">
        <f>SUMIF(Working_Analysis!H$2:H$1001,A37,Working_Analysis!L$2:L$1001)</f>
        <v>106570.49999999999</v>
      </c>
      <c r="C37" s="14">
        <f>SUMIF(Working_Analysis!H$2:H$1001,A37,Working_Analysis!N$2:N$1001)</f>
        <v>33925.159999999982</v>
      </c>
      <c r="D37" s="14">
        <f>COUNTIF(Working_Analysis!H$2:H$1001,A37)</f>
        <v>311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Working_Analysis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2026-10-24T09:10:40Z</dcterms:created>
  <dcterms:modified xsi:type="dcterms:W3CDTF">2026-10-24T19:14:16Z</dcterms:modified>
</cp:coreProperties>
</file>